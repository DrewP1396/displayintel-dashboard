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SCC\% XR Display Shipments and Forecast Report\2025Q3\xPublication\"/>
    </mc:Choice>
  </mc:AlternateContent>
  <xr:revisionPtr revIDLastSave="0" documentId="13_ncr:1_{B9E81473-9BC1-4657-8359-1664D71BCC2C}" xr6:coauthVersionLast="47" xr6:coauthVersionMax="47" xr10:uidLastSave="{00000000-0000-0000-0000-000000000000}"/>
  <bookViews>
    <workbookView xWindow="30612" yWindow="-108" windowWidth="30936" windowHeight="16776" tabRatio="915" xr2:uid="{FDBFDFA8-5E5B-4B99-BD1E-0879B8AFB73B}"/>
  </bookViews>
  <sheets>
    <sheet name="Cover" sheetId="1" r:id="rId1"/>
    <sheet name="Notice" sheetId="2" r:id="rId2"/>
    <sheet name="Parameter" sheetId="3" state="veryHidden" r:id="rId3"/>
    <sheet name="DB_VR_AR" sheetId="4" state="veryHidden" r:id="rId4"/>
    <sheet name="VR_PanelShipments" sheetId="5" r:id="rId5"/>
    <sheet name="VR_PanelRevenues" sheetId="13" r:id="rId6"/>
    <sheet name="&lt;-VR Pivot Tables_Flat Sheets-&gt;" sheetId="23" r:id="rId7"/>
    <sheet name="VR_Panel_Shipments" sheetId="11" r:id="rId8"/>
    <sheet name="VR_Panel_Revenues" sheetId="15" r:id="rId9"/>
    <sheet name="&lt;--VR____AR--&gt;" sheetId="9" r:id="rId10"/>
    <sheet name="AR_PanelShipments" sheetId="17" r:id="rId11"/>
    <sheet name="AR_PanelRevenues" sheetId="18" r:id="rId12"/>
    <sheet name="&lt;-AR Pivot Tables_Flat Sheets-&gt;" sheetId="22" r:id="rId13"/>
    <sheet name="AR_Panel_Shipments" sheetId="20" r:id="rId14"/>
    <sheet name="AR_Panel_Revenues" sheetId="21" r:id="rId15"/>
  </sheets>
  <definedNames>
    <definedName name="_xlnm._FilterDatabase" localSheetId="3" hidden="1">DB_VR_AR!$C$8:$Z$897</definedName>
    <definedName name="APP" hidden="1">DB_VR_AR!$I$8:$I$897</definedName>
    <definedName name="ARVR" hidden="1">DB_VR_AR!$D$8:$D$897</definedName>
    <definedName name="ARVR_Y_PC" hidden="1">DB_VR_AR!$Z$8:$Z$897</definedName>
    <definedName name="ARVR_Y_PC_PR" hidden="1">DB_VR_AR!$Y$8:$Y$897</definedName>
    <definedName name="ASPTable" hidden="1">DB_VR_AR!$Y$904:$Z$1013</definedName>
    <definedName name="BR" hidden="1">DB_VR_AR!$G$8:$G$897</definedName>
    <definedName name="CurrentYear" hidden="1">Parameter!$C$3</definedName>
    <definedName name="DB_ALL" hidden="1">DB_VR_AR!$D$8:$W$897</definedName>
    <definedName name="DBVR" hidden="1">DB_VR_AR!$G$8:$W$897</definedName>
    <definedName name="Model" hidden="1">DB_VR_AR!$H$8:$H$897</definedName>
    <definedName name="New_DB_ALL" hidden="1">DB_VR_AR!$D$8:$W$897</definedName>
    <definedName name="PanelQ" hidden="1">DB_VR_AR!$V$8:$V$897</definedName>
    <definedName name="PanelRev" hidden="1">DB_VR_AR!$W$8:$W$897</definedName>
    <definedName name="PC" hidden="1">DB_VR_AR!$L$8:$L$897</definedName>
    <definedName name="PRev" hidden="1">DB_VR_AR!$W$8:$W$897</definedName>
    <definedName name="PS" hidden="1">DB_VR_AR!$M$8:$M$897</definedName>
    <definedName name="PShip" hidden="1">DB_VR_AR!$V$8:$V$897</definedName>
    <definedName name="Type" hidden="1">DB_VR_AR!$K$8:$K$897</definedName>
    <definedName name="VRPanelQ" hidden="1">DB_VR_AR!$V$8:$V$897</definedName>
    <definedName name="VRPanelRev" hidden="1">DB_VR_AR!$W$8:$W$897</definedName>
    <definedName name="Y" hidden="1">DB_VR_AR!$E$8:$E$897</definedName>
    <definedName name="Y_VRPC" hidden="1">DB_VR_AR!$Z$8:$Z$897</definedName>
    <definedName name="Y_VRPC_PR" hidden="1">DB_VR_AR!$Y$8:$Y$897</definedName>
    <definedName name="Y2Num" hidden="1">Parameter!$L$7:$M$18</definedName>
  </definedNames>
  <calcPr calcId="191029"/>
  <pivotCaches>
    <pivotCache cacheId="22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897" i="4" l="1"/>
  <c r="W896" i="4"/>
  <c r="W895" i="4"/>
  <c r="W894" i="4"/>
  <c r="W893" i="4"/>
  <c r="W892" i="4"/>
  <c r="W404" i="4"/>
  <c r="W403" i="4"/>
  <c r="W402" i="4"/>
  <c r="W401" i="4"/>
  <c r="W891" i="4"/>
  <c r="W890" i="4"/>
  <c r="W889" i="4"/>
  <c r="W888" i="4"/>
  <c r="W887" i="4"/>
  <c r="R897" i="4"/>
  <c r="R896" i="4"/>
  <c r="R895" i="4"/>
  <c r="R894" i="4"/>
  <c r="R893" i="4"/>
  <c r="R892" i="4"/>
  <c r="R404" i="4"/>
  <c r="R403" i="4"/>
  <c r="R402" i="4"/>
  <c r="R401" i="4"/>
  <c r="R891" i="4"/>
  <c r="R890" i="4"/>
  <c r="R889" i="4"/>
  <c r="R888" i="4"/>
  <c r="R887" i="4"/>
  <c r="L897" i="4"/>
  <c r="Z897" i="4" s="1"/>
  <c r="L896" i="4"/>
  <c r="Z896" i="4" s="1"/>
  <c r="L895" i="4"/>
  <c r="Z895" i="4" s="1"/>
  <c r="L894" i="4"/>
  <c r="Z894" i="4" s="1"/>
  <c r="L893" i="4"/>
  <c r="Z893" i="4" s="1"/>
  <c r="L892" i="4"/>
  <c r="Z892" i="4" s="1"/>
  <c r="L404" i="4"/>
  <c r="Z404" i="4" s="1"/>
  <c r="L403" i="4"/>
  <c r="Z403" i="4" s="1"/>
  <c r="L402" i="4"/>
  <c r="Z402" i="4" s="1"/>
  <c r="L401" i="4"/>
  <c r="Y401" i="4" s="1"/>
  <c r="L891" i="4"/>
  <c r="Z891" i="4" s="1"/>
  <c r="L890" i="4"/>
  <c r="Z890" i="4" s="1"/>
  <c r="L889" i="4"/>
  <c r="Y889" i="4" s="1"/>
  <c r="L888" i="4"/>
  <c r="Z888" i="4" s="1"/>
  <c r="L887" i="4"/>
  <c r="Z887" i="4" s="1"/>
  <c r="Z401" i="4" l="1"/>
  <c r="Y402" i="4"/>
  <c r="Y403" i="4"/>
  <c r="Y404" i="4"/>
  <c r="Y892" i="4"/>
  <c r="Y893" i="4"/>
  <c r="Y894" i="4"/>
  <c r="Y895" i="4"/>
  <c r="Y896" i="4"/>
  <c r="Y887" i="4"/>
  <c r="Z889" i="4"/>
  <c r="Y890" i="4"/>
  <c r="Y891" i="4"/>
  <c r="Y897" i="4"/>
  <c r="Y888" i="4"/>
  <c r="R886" i="4"/>
  <c r="R400" i="4"/>
  <c r="R399" i="4"/>
  <c r="R398" i="4"/>
  <c r="R397" i="4"/>
  <c r="R885" i="4"/>
  <c r="R884" i="4"/>
  <c r="R883" i="4"/>
  <c r="R882" i="4"/>
  <c r="R881" i="4"/>
  <c r="R880" i="4"/>
  <c r="R396" i="4"/>
  <c r="R395" i="4"/>
  <c r="R394" i="4"/>
  <c r="R393" i="4"/>
  <c r="R879" i="4"/>
  <c r="R878" i="4"/>
  <c r="R877" i="4"/>
  <c r="R876" i="4"/>
  <c r="R875" i="4"/>
  <c r="R874" i="4"/>
  <c r="R392" i="4"/>
  <c r="R391" i="4"/>
  <c r="R390" i="4"/>
  <c r="R389" i="4"/>
  <c r="R873" i="4"/>
  <c r="R872" i="4"/>
  <c r="R871" i="4"/>
  <c r="R870" i="4"/>
  <c r="R869" i="4"/>
  <c r="R868" i="4"/>
  <c r="R388" i="4"/>
  <c r="R387" i="4"/>
  <c r="R386" i="4"/>
  <c r="R385" i="4"/>
  <c r="R867" i="4"/>
  <c r="R866" i="4"/>
  <c r="R865" i="4"/>
  <c r="R864" i="4"/>
  <c r="R863" i="4"/>
  <c r="R862" i="4"/>
  <c r="R384" i="4"/>
  <c r="R383" i="4"/>
  <c r="R382" i="4"/>
  <c r="R381" i="4"/>
  <c r="R861" i="4"/>
  <c r="R860" i="4"/>
  <c r="R859" i="4"/>
  <c r="R858" i="4"/>
  <c r="R857" i="4"/>
  <c r="R856" i="4"/>
  <c r="R380" i="4"/>
  <c r="R379" i="4"/>
  <c r="R378" i="4"/>
  <c r="R377" i="4"/>
  <c r="R855" i="4"/>
  <c r="R854" i="4"/>
  <c r="R853" i="4"/>
  <c r="R852" i="4"/>
  <c r="R851" i="4"/>
  <c r="R850" i="4"/>
  <c r="R376" i="4"/>
  <c r="R375" i="4"/>
  <c r="R374" i="4"/>
  <c r="R373" i="4"/>
  <c r="R849" i="4"/>
  <c r="R848" i="4"/>
  <c r="R847" i="4"/>
  <c r="R846" i="4"/>
  <c r="R845" i="4"/>
  <c r="R844" i="4"/>
  <c r="R372" i="4"/>
  <c r="R371" i="4"/>
  <c r="R370" i="4"/>
  <c r="R369" i="4"/>
  <c r="R843" i="4"/>
  <c r="R842" i="4"/>
  <c r="R841" i="4"/>
  <c r="R840" i="4"/>
  <c r="R839" i="4"/>
  <c r="R838" i="4"/>
  <c r="R368" i="4"/>
  <c r="R367" i="4"/>
  <c r="R366" i="4"/>
  <c r="R365" i="4"/>
  <c r="R837" i="4"/>
  <c r="R836" i="4"/>
  <c r="R835" i="4"/>
  <c r="R834" i="4"/>
  <c r="R833" i="4"/>
  <c r="R832" i="4"/>
  <c r="R364" i="4"/>
  <c r="R363" i="4"/>
  <c r="R362" i="4"/>
  <c r="R361" i="4"/>
  <c r="R831" i="4"/>
  <c r="R830" i="4"/>
  <c r="R829" i="4"/>
  <c r="R828" i="4"/>
  <c r="R827" i="4"/>
  <c r="R826" i="4"/>
  <c r="R360" i="4"/>
  <c r="R359" i="4"/>
  <c r="R358" i="4"/>
  <c r="R357" i="4"/>
  <c r="R825" i="4"/>
  <c r="R824" i="4"/>
  <c r="R823" i="4"/>
  <c r="R822" i="4"/>
  <c r="R821" i="4"/>
  <c r="R820" i="4"/>
  <c r="R356" i="4"/>
  <c r="R355" i="4"/>
  <c r="R354" i="4"/>
  <c r="R353" i="4"/>
  <c r="R819" i="4"/>
  <c r="R818" i="4"/>
  <c r="R817" i="4"/>
  <c r="R816" i="4"/>
  <c r="R815" i="4"/>
  <c r="R814" i="4"/>
  <c r="R352" i="4"/>
  <c r="R351" i="4"/>
  <c r="R350" i="4"/>
  <c r="R349" i="4"/>
  <c r="R813" i="4"/>
  <c r="R812" i="4"/>
  <c r="R811" i="4"/>
  <c r="R810" i="4"/>
  <c r="R809" i="4"/>
  <c r="R808" i="4"/>
  <c r="R348" i="4"/>
  <c r="R347" i="4"/>
  <c r="R346" i="4"/>
  <c r="R345" i="4"/>
  <c r="R807" i="4"/>
  <c r="R806" i="4"/>
  <c r="R805" i="4"/>
  <c r="R804" i="4"/>
  <c r="R803" i="4"/>
  <c r="R802" i="4"/>
  <c r="R344" i="4"/>
  <c r="R343" i="4"/>
  <c r="R342" i="4"/>
  <c r="R341" i="4"/>
  <c r="R801" i="4"/>
  <c r="R800" i="4"/>
  <c r="R799" i="4"/>
  <c r="R798" i="4"/>
  <c r="R797" i="4"/>
  <c r="R796" i="4"/>
  <c r="R340" i="4"/>
  <c r="R339" i="4"/>
  <c r="R338" i="4"/>
  <c r="R337" i="4"/>
  <c r="R336" i="4"/>
  <c r="R795" i="4"/>
  <c r="R794" i="4"/>
  <c r="R793" i="4"/>
  <c r="R792" i="4"/>
  <c r="R791" i="4"/>
  <c r="R790" i="4"/>
  <c r="R789" i="4"/>
  <c r="R788" i="4"/>
  <c r="R787" i="4"/>
  <c r="R786" i="4"/>
  <c r="R785" i="4"/>
  <c r="R784" i="4"/>
  <c r="R783" i="4"/>
  <c r="R782" i="4"/>
  <c r="R781" i="4"/>
  <c r="R780" i="4"/>
  <c r="R335" i="4"/>
  <c r="R334" i="4"/>
  <c r="R333" i="4"/>
  <c r="R332" i="4"/>
  <c r="R331" i="4"/>
  <c r="R330" i="4"/>
  <c r="R329" i="4"/>
  <c r="R779" i="4"/>
  <c r="R778" i="4"/>
  <c r="R777" i="4"/>
  <c r="R776" i="4"/>
  <c r="R775" i="4"/>
  <c r="R774" i="4"/>
  <c r="R773" i="4"/>
  <c r="R772" i="4"/>
  <c r="R771" i="4"/>
  <c r="R770" i="4"/>
  <c r="R769" i="4"/>
  <c r="R768" i="4"/>
  <c r="R767" i="4"/>
  <c r="R766" i="4"/>
  <c r="R765" i="4"/>
  <c r="R764" i="4"/>
  <c r="R763" i="4"/>
  <c r="R328" i="4"/>
  <c r="R327" i="4"/>
  <c r="R326" i="4"/>
  <c r="R325" i="4"/>
  <c r="R324" i="4"/>
  <c r="R323" i="4"/>
  <c r="R322" i="4"/>
  <c r="R762" i="4"/>
  <c r="R761" i="4"/>
  <c r="R760" i="4"/>
  <c r="R759" i="4"/>
  <c r="R758" i="4"/>
  <c r="R757" i="4"/>
  <c r="R756" i="4"/>
  <c r="R755" i="4"/>
  <c r="R754" i="4"/>
  <c r="R753" i="4"/>
  <c r="R752" i="4"/>
  <c r="R751" i="4"/>
  <c r="R750" i="4"/>
  <c r="R749" i="4"/>
  <c r="R748" i="4"/>
  <c r="R747" i="4"/>
  <c r="R321" i="4"/>
  <c r="R320" i="4"/>
  <c r="R319" i="4"/>
  <c r="R318" i="4"/>
  <c r="R317" i="4"/>
  <c r="R316" i="4"/>
  <c r="R315" i="4"/>
  <c r="R746" i="4"/>
  <c r="R745" i="4"/>
  <c r="R744" i="4"/>
  <c r="R743" i="4"/>
  <c r="R742" i="4"/>
  <c r="R741" i="4"/>
  <c r="R740" i="4"/>
  <c r="R739" i="4"/>
  <c r="R738" i="4"/>
  <c r="R737" i="4"/>
  <c r="R736" i="4"/>
  <c r="R735" i="4"/>
  <c r="R734" i="4"/>
  <c r="R733" i="4"/>
  <c r="R732" i="4"/>
  <c r="R731" i="4"/>
  <c r="R730" i="4"/>
  <c r="R729" i="4"/>
  <c r="R728" i="4"/>
  <c r="R727" i="4"/>
  <c r="R726" i="4"/>
  <c r="R725" i="4"/>
  <c r="R724" i="4"/>
  <c r="R314" i="4"/>
  <c r="R313" i="4"/>
  <c r="R312" i="4"/>
  <c r="R311" i="4"/>
  <c r="R310" i="4"/>
  <c r="R309" i="4"/>
  <c r="R308" i="4"/>
  <c r="R723" i="4"/>
  <c r="R722" i="4"/>
  <c r="R721" i="4"/>
  <c r="R720" i="4"/>
  <c r="R719" i="4"/>
  <c r="R718" i="4"/>
  <c r="R717" i="4"/>
  <c r="R716" i="4"/>
  <c r="R715" i="4"/>
  <c r="R714" i="4"/>
  <c r="R713" i="4"/>
  <c r="R712" i="4"/>
  <c r="R711" i="4"/>
  <c r="R710" i="4"/>
  <c r="R709" i="4"/>
  <c r="R708" i="4"/>
  <c r="R707" i="4"/>
  <c r="R706" i="4"/>
  <c r="R705" i="4"/>
  <c r="R704" i="4"/>
  <c r="R703" i="4"/>
  <c r="R702" i="4"/>
  <c r="R307" i="4"/>
  <c r="R306" i="4"/>
  <c r="R305" i="4"/>
  <c r="R304" i="4"/>
  <c r="R303" i="4"/>
  <c r="R302" i="4"/>
  <c r="R301" i="4"/>
  <c r="R300" i="4"/>
  <c r="R299" i="4"/>
  <c r="R298" i="4"/>
  <c r="R297" i="4"/>
  <c r="R701" i="4"/>
  <c r="R700" i="4"/>
  <c r="R699" i="4"/>
  <c r="R698" i="4"/>
  <c r="R697" i="4"/>
  <c r="R696" i="4"/>
  <c r="R695" i="4"/>
  <c r="R694" i="4"/>
  <c r="R693" i="4"/>
  <c r="R692" i="4"/>
  <c r="R691" i="4"/>
  <c r="R690" i="4"/>
  <c r="R689" i="4"/>
  <c r="R688" i="4"/>
  <c r="R687" i="4"/>
  <c r="R686" i="4"/>
  <c r="R685" i="4"/>
  <c r="R684" i="4"/>
  <c r="R683" i="4"/>
  <c r="R682" i="4"/>
  <c r="R296" i="4"/>
  <c r="R295" i="4"/>
  <c r="R294" i="4"/>
  <c r="R293" i="4"/>
  <c r="R292" i="4"/>
  <c r="R291" i="4"/>
  <c r="R290" i="4"/>
  <c r="R289" i="4"/>
  <c r="R288" i="4"/>
  <c r="R287" i="4"/>
  <c r="R286" i="4"/>
  <c r="R681" i="4"/>
  <c r="R680" i="4"/>
  <c r="R679" i="4"/>
  <c r="R678" i="4"/>
  <c r="R677" i="4"/>
  <c r="R676" i="4"/>
  <c r="R675" i="4"/>
  <c r="R674" i="4"/>
  <c r="R673" i="4"/>
  <c r="R672" i="4"/>
  <c r="R671" i="4"/>
  <c r="R670" i="4"/>
  <c r="R669" i="4"/>
  <c r="R668" i="4"/>
  <c r="R667" i="4"/>
  <c r="R285" i="4"/>
  <c r="R284" i="4"/>
  <c r="R283" i="4"/>
  <c r="R282" i="4"/>
  <c r="R281" i="4"/>
  <c r="R280" i="4"/>
  <c r="R279" i="4"/>
  <c r="R278" i="4"/>
  <c r="R277" i="4"/>
  <c r="R276" i="4"/>
  <c r="R275" i="4"/>
  <c r="R274" i="4"/>
  <c r="R273" i="4"/>
  <c r="R272" i="4"/>
  <c r="R271" i="4"/>
  <c r="R666" i="4"/>
  <c r="R665" i="4"/>
  <c r="R664" i="4"/>
  <c r="R663" i="4"/>
  <c r="R662" i="4"/>
  <c r="R661" i="4"/>
  <c r="R660" i="4"/>
  <c r="R659" i="4"/>
  <c r="R658" i="4"/>
  <c r="R657" i="4"/>
  <c r="R656" i="4"/>
  <c r="R655" i="4"/>
  <c r="R654" i="4"/>
  <c r="R653" i="4"/>
  <c r="R270" i="4"/>
  <c r="R269" i="4"/>
  <c r="R268" i="4"/>
  <c r="R267" i="4"/>
  <c r="R266" i="4"/>
  <c r="R265" i="4"/>
  <c r="R264" i="4"/>
  <c r="R263" i="4"/>
  <c r="R262" i="4"/>
  <c r="R261" i="4"/>
  <c r="R260" i="4"/>
  <c r="R259" i="4"/>
  <c r="R258" i="4"/>
  <c r="R257" i="4"/>
  <c r="R256" i="4"/>
  <c r="R255" i="4"/>
  <c r="R652" i="4"/>
  <c r="R651" i="4"/>
  <c r="R650" i="4"/>
  <c r="R649" i="4"/>
  <c r="R648" i="4"/>
  <c r="R647" i="4"/>
  <c r="R646" i="4"/>
  <c r="R645" i="4"/>
  <c r="R644" i="4"/>
  <c r="R643" i="4"/>
  <c r="R642" i="4"/>
  <c r="R641" i="4"/>
  <c r="R640" i="4"/>
  <c r="R639" i="4"/>
  <c r="R638" i="4"/>
  <c r="R637" i="4"/>
  <c r="R636" i="4"/>
  <c r="R254" i="4"/>
  <c r="R253" i="4"/>
  <c r="R252" i="4"/>
  <c r="R251" i="4"/>
  <c r="R250" i="4"/>
  <c r="R249" i="4"/>
  <c r="R248" i="4"/>
  <c r="R247" i="4"/>
  <c r="R246" i="4"/>
  <c r="R245" i="4"/>
  <c r="R244" i="4"/>
  <c r="R243" i="4"/>
  <c r="R242" i="4"/>
  <c r="R241" i="4"/>
  <c r="R240" i="4"/>
  <c r="R239" i="4"/>
  <c r="R238" i="4"/>
  <c r="R237" i="4"/>
  <c r="R635" i="4"/>
  <c r="R634" i="4"/>
  <c r="R633" i="4"/>
  <c r="R632" i="4"/>
  <c r="R631" i="4"/>
  <c r="R630" i="4"/>
  <c r="R629" i="4"/>
  <c r="R628" i="4"/>
  <c r="R627" i="4"/>
  <c r="R626" i="4"/>
  <c r="R625" i="4"/>
  <c r="R624" i="4"/>
  <c r="R623" i="4"/>
  <c r="R622" i="4"/>
  <c r="R621" i="4"/>
  <c r="R620" i="4"/>
  <c r="R236" i="4"/>
  <c r="R235" i="4"/>
  <c r="R234" i="4"/>
  <c r="R233" i="4"/>
  <c r="R232" i="4"/>
  <c r="R231" i="4"/>
  <c r="R230" i="4"/>
  <c r="R229" i="4"/>
  <c r="R228" i="4"/>
  <c r="R227" i="4"/>
  <c r="R226" i="4"/>
  <c r="R225" i="4"/>
  <c r="R224" i="4"/>
  <c r="R223" i="4"/>
  <c r="R222" i="4"/>
  <c r="R221" i="4"/>
  <c r="R220" i="4"/>
  <c r="R219" i="4"/>
  <c r="R218" i="4"/>
  <c r="R619" i="4"/>
  <c r="R618" i="4"/>
  <c r="R617" i="4"/>
  <c r="R616" i="4"/>
  <c r="R615" i="4"/>
  <c r="R614" i="4"/>
  <c r="R613" i="4"/>
  <c r="R612" i="4"/>
  <c r="R611" i="4"/>
  <c r="R610" i="4"/>
  <c r="R609" i="4"/>
  <c r="R608" i="4"/>
  <c r="R607" i="4"/>
  <c r="R606" i="4"/>
  <c r="R605" i="4"/>
  <c r="R217" i="4"/>
  <c r="R216" i="4"/>
  <c r="R215" i="4"/>
  <c r="R214" i="4"/>
  <c r="R213" i="4"/>
  <c r="R212" i="4"/>
  <c r="R211" i="4"/>
  <c r="R210" i="4"/>
  <c r="R209" i="4"/>
  <c r="R208" i="4"/>
  <c r="R207" i="4"/>
  <c r="R206" i="4"/>
  <c r="R205" i="4"/>
  <c r="R204" i="4"/>
  <c r="R203" i="4"/>
  <c r="R604" i="4"/>
  <c r="R603" i="4"/>
  <c r="R602" i="4"/>
  <c r="R601" i="4"/>
  <c r="R600" i="4"/>
  <c r="R599" i="4"/>
  <c r="R598" i="4"/>
  <c r="R597" i="4"/>
  <c r="R596" i="4"/>
  <c r="R595" i="4"/>
  <c r="R594" i="4"/>
  <c r="R593" i="4"/>
  <c r="R592" i="4"/>
  <c r="R591" i="4"/>
  <c r="R590" i="4"/>
  <c r="R589" i="4"/>
  <c r="R588" i="4"/>
  <c r="R587" i="4"/>
  <c r="R202" i="4"/>
  <c r="R201" i="4"/>
  <c r="R200" i="4"/>
  <c r="R199" i="4"/>
  <c r="R198" i="4"/>
  <c r="R197" i="4"/>
  <c r="R196" i="4"/>
  <c r="R195" i="4"/>
  <c r="R194" i="4"/>
  <c r="R193" i="4"/>
  <c r="R192" i="4"/>
  <c r="R191" i="4"/>
  <c r="R190" i="4"/>
  <c r="R189" i="4"/>
  <c r="R586" i="4"/>
  <c r="R585" i="4"/>
  <c r="R584" i="4"/>
  <c r="R583" i="4"/>
  <c r="R582" i="4"/>
  <c r="R581" i="4"/>
  <c r="R580" i="4"/>
  <c r="R579" i="4"/>
  <c r="R578" i="4"/>
  <c r="R577" i="4"/>
  <c r="R576" i="4"/>
  <c r="R575" i="4"/>
  <c r="R574" i="4"/>
  <c r="R573" i="4"/>
  <c r="R572" i="4"/>
  <c r="R571" i="4"/>
  <c r="R570" i="4"/>
  <c r="R569" i="4"/>
  <c r="R188" i="4"/>
  <c r="R187" i="4"/>
  <c r="R186" i="4"/>
  <c r="R185" i="4"/>
  <c r="R184" i="4"/>
  <c r="R183" i="4"/>
  <c r="R182" i="4"/>
  <c r="R181" i="4"/>
  <c r="R180" i="4"/>
  <c r="R179" i="4"/>
  <c r="R178" i="4"/>
  <c r="R177" i="4"/>
  <c r="R176" i="4"/>
  <c r="R175" i="4"/>
  <c r="R568" i="4"/>
  <c r="R567" i="4"/>
  <c r="R566" i="4"/>
  <c r="R565" i="4"/>
  <c r="R564" i="4"/>
  <c r="R563" i="4"/>
  <c r="R562" i="4"/>
  <c r="R561" i="4"/>
  <c r="R560" i="4"/>
  <c r="R559" i="4"/>
  <c r="R558" i="4"/>
  <c r="R557" i="4"/>
  <c r="R556" i="4"/>
  <c r="R555" i="4"/>
  <c r="R554" i="4"/>
  <c r="R553" i="4"/>
  <c r="R552" i="4"/>
  <c r="R551" i="4"/>
  <c r="R174" i="4"/>
  <c r="R173" i="4"/>
  <c r="R172" i="4"/>
  <c r="R171" i="4"/>
  <c r="R170" i="4"/>
  <c r="R169" i="4"/>
  <c r="R168" i="4"/>
  <c r="R167" i="4"/>
  <c r="R166" i="4"/>
  <c r="R165" i="4"/>
  <c r="R164" i="4"/>
  <c r="R163" i="4"/>
  <c r="R162" i="4"/>
  <c r="R161" i="4"/>
  <c r="R550" i="4"/>
  <c r="R549" i="4"/>
  <c r="R548" i="4"/>
  <c r="R547" i="4"/>
  <c r="R546" i="4"/>
  <c r="R545" i="4"/>
  <c r="R544" i="4"/>
  <c r="R543" i="4"/>
  <c r="R542" i="4"/>
  <c r="R541" i="4"/>
  <c r="R540" i="4"/>
  <c r="R539" i="4"/>
  <c r="R538" i="4"/>
  <c r="R537" i="4"/>
  <c r="R536" i="4"/>
  <c r="R535" i="4"/>
  <c r="R534" i="4"/>
  <c r="R533" i="4"/>
  <c r="R160" i="4"/>
  <c r="R159" i="4"/>
  <c r="R158" i="4"/>
  <c r="R157" i="4"/>
  <c r="R156" i="4"/>
  <c r="R155" i="4"/>
  <c r="R154" i="4"/>
  <c r="R153" i="4"/>
  <c r="R152" i="4"/>
  <c r="R151" i="4"/>
  <c r="R150" i="4"/>
  <c r="R149" i="4"/>
  <c r="R148" i="4"/>
  <c r="R532" i="4"/>
  <c r="R531" i="4"/>
  <c r="R530" i="4"/>
  <c r="R529" i="4"/>
  <c r="R528" i="4"/>
  <c r="R527" i="4"/>
  <c r="R526" i="4"/>
  <c r="R525" i="4"/>
  <c r="R524" i="4"/>
  <c r="R523" i="4"/>
  <c r="R522" i="4"/>
  <c r="R521" i="4"/>
  <c r="R520" i="4"/>
  <c r="R519" i="4"/>
  <c r="R147" i="4"/>
  <c r="R146" i="4"/>
  <c r="R145" i="4"/>
  <c r="R144" i="4"/>
  <c r="R143" i="4"/>
  <c r="R142" i="4"/>
  <c r="R141" i="4"/>
  <c r="R140" i="4"/>
  <c r="R139" i="4"/>
  <c r="R518" i="4"/>
  <c r="R517" i="4"/>
  <c r="R516" i="4"/>
  <c r="R515" i="4"/>
  <c r="R514" i="4"/>
  <c r="R513" i="4"/>
  <c r="R512" i="4"/>
  <c r="R511" i="4"/>
  <c r="R510" i="4"/>
  <c r="R509" i="4"/>
  <c r="R508" i="4"/>
  <c r="R507" i="4"/>
  <c r="R506" i="4"/>
  <c r="R505" i="4"/>
  <c r="R138" i="4"/>
  <c r="R137" i="4"/>
  <c r="R136" i="4"/>
  <c r="R135" i="4"/>
  <c r="R134" i="4"/>
  <c r="R133" i="4"/>
  <c r="R132" i="4"/>
  <c r="R131" i="4"/>
  <c r="R130" i="4"/>
  <c r="R504" i="4"/>
  <c r="R503" i="4"/>
  <c r="R502" i="4"/>
  <c r="R501" i="4"/>
  <c r="R500" i="4"/>
  <c r="R499" i="4"/>
  <c r="R498" i="4"/>
  <c r="R497" i="4"/>
  <c r="R496" i="4"/>
  <c r="R495" i="4"/>
  <c r="R494" i="4"/>
  <c r="R493" i="4"/>
  <c r="R492" i="4"/>
  <c r="R491" i="4"/>
  <c r="R129" i="4"/>
  <c r="R128" i="4"/>
  <c r="R127" i="4"/>
  <c r="R126" i="4"/>
  <c r="R125" i="4"/>
  <c r="R124" i="4"/>
  <c r="R123" i="4"/>
  <c r="R122" i="4"/>
  <c r="R121" i="4"/>
  <c r="R120" i="4"/>
  <c r="R490" i="4"/>
  <c r="R489" i="4"/>
  <c r="R488" i="4"/>
  <c r="R487" i="4"/>
  <c r="R486" i="4"/>
  <c r="R485" i="4"/>
  <c r="R484" i="4"/>
  <c r="R483" i="4"/>
  <c r="R482" i="4"/>
  <c r="R481" i="4"/>
  <c r="R480" i="4"/>
  <c r="R479" i="4"/>
  <c r="R478" i="4"/>
  <c r="R477" i="4"/>
  <c r="R119" i="4"/>
  <c r="R118" i="4"/>
  <c r="R117" i="4"/>
  <c r="R116" i="4"/>
  <c r="R115" i="4"/>
  <c r="R114" i="4"/>
  <c r="R113" i="4"/>
  <c r="R112" i="4"/>
  <c r="R111" i="4"/>
  <c r="R110" i="4"/>
  <c r="R476" i="4"/>
  <c r="R475" i="4"/>
  <c r="R474" i="4"/>
  <c r="R473" i="4"/>
  <c r="R472" i="4"/>
  <c r="R471" i="4"/>
  <c r="R470" i="4"/>
  <c r="R469" i="4"/>
  <c r="R468" i="4"/>
  <c r="R467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466" i="4"/>
  <c r="R465" i="4"/>
  <c r="R464" i="4"/>
  <c r="R463" i="4"/>
  <c r="R462" i="4"/>
  <c r="R461" i="4"/>
  <c r="R460" i="4"/>
  <c r="R459" i="4"/>
  <c r="R458" i="4"/>
  <c r="R457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456" i="4"/>
  <c r="R455" i="4"/>
  <c r="R454" i="4"/>
  <c r="R453" i="4"/>
  <c r="R452" i="4"/>
  <c r="R451" i="4"/>
  <c r="R450" i="4"/>
  <c r="R449" i="4"/>
  <c r="R448" i="4"/>
  <c r="R447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446" i="4"/>
  <c r="R445" i="4"/>
  <c r="R444" i="4"/>
  <c r="R443" i="4"/>
  <c r="R442" i="4"/>
  <c r="R441" i="4"/>
  <c r="R440" i="4"/>
  <c r="R439" i="4"/>
  <c r="R438" i="4"/>
  <c r="R437" i="4"/>
  <c r="R67" i="4"/>
  <c r="R66" i="4"/>
  <c r="R65" i="4"/>
  <c r="R64" i="4"/>
  <c r="R63" i="4"/>
  <c r="R62" i="4"/>
  <c r="R61" i="4"/>
  <c r="R60" i="4"/>
  <c r="R59" i="4"/>
  <c r="R58" i="4"/>
  <c r="R57" i="4"/>
  <c r="R56" i="4"/>
  <c r="R55" i="4"/>
  <c r="R54" i="4"/>
  <c r="R436" i="4"/>
  <c r="R435" i="4"/>
  <c r="R434" i="4"/>
  <c r="R433" i="4"/>
  <c r="R432" i="4"/>
  <c r="R431" i="4"/>
  <c r="R430" i="4"/>
  <c r="R429" i="4"/>
  <c r="R53" i="4"/>
  <c r="R52" i="4"/>
  <c r="R51" i="4"/>
  <c r="R50" i="4"/>
  <c r="R49" i="4"/>
  <c r="R48" i="4"/>
  <c r="R47" i="4"/>
  <c r="R46" i="4"/>
  <c r="R45" i="4"/>
  <c r="R44" i="4"/>
  <c r="R43" i="4"/>
  <c r="R42" i="4"/>
  <c r="R428" i="4"/>
  <c r="R427" i="4"/>
  <c r="R426" i="4"/>
  <c r="R425" i="4"/>
  <c r="R424" i="4"/>
  <c r="R423" i="4"/>
  <c r="R422" i="4"/>
  <c r="R421" i="4"/>
  <c r="R41" i="4"/>
  <c r="R40" i="4"/>
  <c r="R39" i="4"/>
  <c r="R38" i="4"/>
  <c r="R37" i="4"/>
  <c r="R36" i="4"/>
  <c r="R35" i="4"/>
  <c r="R34" i="4"/>
  <c r="R33" i="4"/>
  <c r="R32" i="4"/>
  <c r="R31" i="4"/>
  <c r="R420" i="4"/>
  <c r="R419" i="4"/>
  <c r="R418" i="4"/>
  <c r="R417" i="4"/>
  <c r="R416" i="4"/>
  <c r="R415" i="4"/>
  <c r="R414" i="4"/>
  <c r="R413" i="4"/>
  <c r="R30" i="4"/>
  <c r="R29" i="4"/>
  <c r="R28" i="4"/>
  <c r="R27" i="4"/>
  <c r="R26" i="4"/>
  <c r="R25" i="4"/>
  <c r="R24" i="4"/>
  <c r="R23" i="4"/>
  <c r="R22" i="4"/>
  <c r="R21" i="4"/>
  <c r="R20" i="4"/>
  <c r="R412" i="4"/>
  <c r="R411" i="4"/>
  <c r="R410" i="4"/>
  <c r="R409" i="4"/>
  <c r="R408" i="4"/>
  <c r="R407" i="4"/>
  <c r="R406" i="4"/>
  <c r="R405" i="4"/>
  <c r="R19" i="4"/>
  <c r="R18" i="4"/>
  <c r="R17" i="4"/>
  <c r="R16" i="4"/>
  <c r="R15" i="4"/>
  <c r="R14" i="4"/>
  <c r="R13" i="4"/>
  <c r="R12" i="4"/>
  <c r="R11" i="4"/>
  <c r="R10" i="4"/>
  <c r="R9" i="4"/>
  <c r="W886" i="4" l="1"/>
  <c r="W400" i="4"/>
  <c r="W399" i="4"/>
  <c r="W398" i="4"/>
  <c r="W397" i="4"/>
  <c r="W885" i="4"/>
  <c r="W884" i="4"/>
  <c r="W883" i="4"/>
  <c r="W882" i="4"/>
  <c r="W881" i="4"/>
  <c r="W880" i="4"/>
  <c r="W396" i="4"/>
  <c r="W395" i="4"/>
  <c r="W394" i="4"/>
  <c r="W393" i="4"/>
  <c r="W879" i="4"/>
  <c r="W878" i="4"/>
  <c r="W877" i="4"/>
  <c r="W876" i="4"/>
  <c r="W875" i="4"/>
  <c r="W874" i="4"/>
  <c r="W392" i="4"/>
  <c r="W391" i="4"/>
  <c r="W390" i="4"/>
  <c r="W389" i="4"/>
  <c r="W873" i="4"/>
  <c r="W872" i="4"/>
  <c r="W871" i="4"/>
  <c r="L886" i="4"/>
  <c r="Z886" i="4" s="1"/>
  <c r="L400" i="4"/>
  <c r="Z400" i="4" s="1"/>
  <c r="L399" i="4"/>
  <c r="Z399" i="4" s="1"/>
  <c r="L398" i="4"/>
  <c r="Z398" i="4" s="1"/>
  <c r="L397" i="4"/>
  <c r="Z397" i="4" s="1"/>
  <c r="L885" i="4"/>
  <c r="Z885" i="4" s="1"/>
  <c r="L884" i="4"/>
  <c r="Z884" i="4" s="1"/>
  <c r="L883" i="4"/>
  <c r="Z883" i="4" s="1"/>
  <c r="L882" i="4"/>
  <c r="Y882" i="4" s="1"/>
  <c r="L881" i="4"/>
  <c r="Z881" i="4" s="1"/>
  <c r="L880" i="4"/>
  <c r="Y880" i="4" s="1"/>
  <c r="L396" i="4"/>
  <c r="Z396" i="4" s="1"/>
  <c r="L395" i="4"/>
  <c r="Z395" i="4" s="1"/>
  <c r="L394" i="4"/>
  <c r="Z394" i="4" s="1"/>
  <c r="L393" i="4"/>
  <c r="Z393" i="4" s="1"/>
  <c r="L879" i="4"/>
  <c r="Z879" i="4" s="1"/>
  <c r="L878" i="4"/>
  <c r="Z878" i="4" s="1"/>
  <c r="L877" i="4"/>
  <c r="Z877" i="4" s="1"/>
  <c r="L876" i="4"/>
  <c r="Z876" i="4" s="1"/>
  <c r="L875" i="4"/>
  <c r="Z875" i="4" s="1"/>
  <c r="L874" i="4"/>
  <c r="Z874" i="4" s="1"/>
  <c r="L392" i="4"/>
  <c r="Z392" i="4" s="1"/>
  <c r="L391" i="4"/>
  <c r="Z391" i="4" s="1"/>
  <c r="L390" i="4"/>
  <c r="Z390" i="4" s="1"/>
  <c r="L389" i="4"/>
  <c r="Z389" i="4" s="1"/>
  <c r="L873" i="4"/>
  <c r="Z873" i="4" s="1"/>
  <c r="L872" i="4"/>
  <c r="Z872" i="4" s="1"/>
  <c r="L871" i="4"/>
  <c r="Z871" i="4" s="1"/>
  <c r="C513" i="21"/>
  <c r="C401" i="21"/>
  <c r="C457" i="21"/>
  <c r="Y871" i="4" l="1"/>
  <c r="Y872" i="4"/>
  <c r="Y873" i="4"/>
  <c r="Y389" i="4"/>
  <c r="Y390" i="4"/>
  <c r="Y391" i="4"/>
  <c r="Y393" i="4"/>
  <c r="Y394" i="4"/>
  <c r="Y395" i="4"/>
  <c r="Z880" i="4"/>
  <c r="Y396" i="4"/>
  <c r="Z882" i="4"/>
  <c r="Y881" i="4"/>
  <c r="Y883" i="4"/>
  <c r="Y884" i="4"/>
  <c r="Y392" i="4"/>
  <c r="Y885" i="4"/>
  <c r="Y874" i="4"/>
  <c r="Y397" i="4"/>
  <c r="Y875" i="4"/>
  <c r="Y398" i="4"/>
  <c r="Y876" i="4"/>
  <c r="Y399" i="4"/>
  <c r="Y877" i="4"/>
  <c r="Y400" i="4"/>
  <c r="Y878" i="4"/>
  <c r="Y886" i="4"/>
  <c r="Y879" i="4"/>
  <c r="W870" i="4"/>
  <c r="L870" i="4"/>
  <c r="Z870" i="4" s="1"/>
  <c r="W869" i="4"/>
  <c r="L869" i="4"/>
  <c r="Y869" i="4" s="1"/>
  <c r="W868" i="4"/>
  <c r="L868" i="4"/>
  <c r="Y868" i="4" s="1"/>
  <c r="W388" i="4"/>
  <c r="L388" i="4"/>
  <c r="Y388" i="4" s="1"/>
  <c r="W387" i="4"/>
  <c r="L387" i="4"/>
  <c r="Y387" i="4" s="1"/>
  <c r="W386" i="4"/>
  <c r="L386" i="4"/>
  <c r="Z386" i="4" s="1"/>
  <c r="W385" i="4"/>
  <c r="L385" i="4"/>
  <c r="Z385" i="4" s="1"/>
  <c r="W867" i="4"/>
  <c r="L867" i="4"/>
  <c r="Y867" i="4" s="1"/>
  <c r="W866" i="4"/>
  <c r="L866" i="4"/>
  <c r="Z866" i="4" s="1"/>
  <c r="W865" i="4"/>
  <c r="L865" i="4"/>
  <c r="Y865" i="4" s="1"/>
  <c r="W864" i="4"/>
  <c r="L864" i="4"/>
  <c r="Z864" i="4" s="1"/>
  <c r="W863" i="4"/>
  <c r="L863" i="4"/>
  <c r="Y863" i="4" s="1"/>
  <c r="W862" i="4"/>
  <c r="L862" i="4"/>
  <c r="Y862" i="4" s="1"/>
  <c r="W384" i="4"/>
  <c r="L384" i="4"/>
  <c r="Z384" i="4" s="1"/>
  <c r="W383" i="4"/>
  <c r="L383" i="4"/>
  <c r="Y383" i="4" s="1"/>
  <c r="W382" i="4"/>
  <c r="L382" i="4"/>
  <c r="Z382" i="4" s="1"/>
  <c r="W381" i="4"/>
  <c r="L381" i="4"/>
  <c r="Y381" i="4" s="1"/>
  <c r="W861" i="4"/>
  <c r="L861" i="4"/>
  <c r="Y861" i="4" s="1"/>
  <c r="W860" i="4"/>
  <c r="L860" i="4"/>
  <c r="Z860" i="4" s="1"/>
  <c r="W859" i="4"/>
  <c r="L859" i="4"/>
  <c r="Y859" i="4" s="1"/>
  <c r="W858" i="4"/>
  <c r="L858" i="4"/>
  <c r="Z858" i="4" s="1"/>
  <c r="W857" i="4"/>
  <c r="L857" i="4"/>
  <c r="Z857" i="4" s="1"/>
  <c r="W856" i="4"/>
  <c r="L856" i="4"/>
  <c r="Y856" i="4" s="1"/>
  <c r="W380" i="4"/>
  <c r="L380" i="4"/>
  <c r="Z380" i="4" s="1"/>
  <c r="W379" i="4"/>
  <c r="L379" i="4"/>
  <c r="Y379" i="4" s="1"/>
  <c r="W378" i="4"/>
  <c r="L378" i="4"/>
  <c r="Z378" i="4" s="1"/>
  <c r="W377" i="4"/>
  <c r="L377" i="4"/>
  <c r="Y377" i="4" s="1"/>
  <c r="W855" i="4"/>
  <c r="L855" i="4"/>
  <c r="Y855" i="4" s="1"/>
  <c r="W854" i="4"/>
  <c r="L854" i="4"/>
  <c r="Z854" i="4" s="1"/>
  <c r="W853" i="4"/>
  <c r="L853" i="4"/>
  <c r="Y853" i="4" s="1"/>
  <c r="W852" i="4"/>
  <c r="L852" i="4"/>
  <c r="Z852" i="4" s="1"/>
  <c r="W851" i="4"/>
  <c r="L851" i="4"/>
  <c r="Y851" i="4" s="1"/>
  <c r="W850" i="4"/>
  <c r="L850" i="4"/>
  <c r="Y850" i="4" s="1"/>
  <c r="W376" i="4"/>
  <c r="L376" i="4"/>
  <c r="Z376" i="4" s="1"/>
  <c r="W375" i="4"/>
  <c r="L375" i="4"/>
  <c r="Y375" i="4" s="1"/>
  <c r="W374" i="4"/>
  <c r="L374" i="4"/>
  <c r="Z374" i="4" s="1"/>
  <c r="W373" i="4"/>
  <c r="L373" i="4"/>
  <c r="Z373" i="4" s="1"/>
  <c r="W849" i="4"/>
  <c r="L849" i="4"/>
  <c r="Y849" i="4" s="1"/>
  <c r="H10" i="11"/>
  <c r="Z862" i="4" l="1"/>
  <c r="Z856" i="4"/>
  <c r="Z849" i="4"/>
  <c r="Z383" i="4"/>
  <c r="Z387" i="4"/>
  <c r="Z853" i="4"/>
  <c r="Z379" i="4"/>
  <c r="Z850" i="4"/>
  <c r="Z867" i="4"/>
  <c r="Z859" i="4"/>
  <c r="Z375" i="4"/>
  <c r="Z865" i="4"/>
  <c r="Z855" i="4"/>
  <c r="Z868" i="4"/>
  <c r="Z861" i="4"/>
  <c r="Y854" i="4"/>
  <c r="Y860" i="4"/>
  <c r="Y384" i="4"/>
  <c r="Y866" i="4"/>
  <c r="Z388" i="4"/>
  <c r="Y376" i="4"/>
  <c r="Y380" i="4"/>
  <c r="Y373" i="4"/>
  <c r="Y857" i="4"/>
  <c r="Y385" i="4"/>
  <c r="Z851" i="4"/>
  <c r="Z377" i="4"/>
  <c r="Z381" i="4"/>
  <c r="Z869" i="4"/>
  <c r="Z863" i="4"/>
  <c r="Y374" i="4"/>
  <c r="Y852" i="4"/>
  <c r="Y378" i="4"/>
  <c r="Y858" i="4"/>
  <c r="Y382" i="4"/>
  <c r="Y864" i="4"/>
  <c r="Y386" i="4"/>
  <c r="Y870" i="4"/>
  <c r="I10" i="11"/>
  <c r="J10" i="11" s="1"/>
  <c r="K10" i="11" s="1"/>
  <c r="L10" i="11" s="1"/>
  <c r="W848" i="4"/>
  <c r="W847" i="4"/>
  <c r="W846" i="4"/>
  <c r="W845" i="4"/>
  <c r="W844" i="4"/>
  <c r="W372" i="4"/>
  <c r="W371" i="4"/>
  <c r="W370" i="4"/>
  <c r="W369" i="4"/>
  <c r="W843" i="4"/>
  <c r="W842" i="4"/>
  <c r="W841" i="4"/>
  <c r="W840" i="4"/>
  <c r="W839" i="4"/>
  <c r="W838" i="4"/>
  <c r="W368" i="4"/>
  <c r="W367" i="4"/>
  <c r="W366" i="4"/>
  <c r="W365" i="4"/>
  <c r="W837" i="4"/>
  <c r="W836" i="4"/>
  <c r="W835" i="4"/>
  <c r="W834" i="4"/>
  <c r="W833" i="4"/>
  <c r="W832" i="4"/>
  <c r="W364" i="4"/>
  <c r="W363" i="4"/>
  <c r="W362" i="4"/>
  <c r="W361" i="4"/>
  <c r="W831" i="4"/>
  <c r="W830" i="4"/>
  <c r="W829" i="4"/>
  <c r="W828" i="4"/>
  <c r="W827" i="4"/>
  <c r="W826" i="4"/>
  <c r="W360" i="4"/>
  <c r="W359" i="4"/>
  <c r="W358" i="4"/>
  <c r="W357" i="4"/>
  <c r="W825" i="4"/>
  <c r="W824" i="4"/>
  <c r="W823" i="4"/>
  <c r="W822" i="4"/>
  <c r="W821" i="4"/>
  <c r="W820" i="4"/>
  <c r="W356" i="4"/>
  <c r="W355" i="4"/>
  <c r="W354" i="4"/>
  <c r="W353" i="4"/>
  <c r="W819" i="4"/>
  <c r="W818" i="4"/>
  <c r="W817" i="4"/>
  <c r="W816" i="4"/>
  <c r="W815" i="4"/>
  <c r="W814" i="4"/>
  <c r="W352" i="4"/>
  <c r="W351" i="4"/>
  <c r="W350" i="4"/>
  <c r="W349" i="4"/>
  <c r="W813" i="4"/>
  <c r="W812" i="4"/>
  <c r="W811" i="4"/>
  <c r="W810" i="4"/>
  <c r="W809" i="4"/>
  <c r="W808" i="4"/>
  <c r="W348" i="4"/>
  <c r="W347" i="4"/>
  <c r="W346" i="4"/>
  <c r="W345" i="4"/>
  <c r="W807" i="4"/>
  <c r="W806" i="4"/>
  <c r="W805" i="4"/>
  <c r="W804" i="4"/>
  <c r="W803" i="4"/>
  <c r="W802" i="4"/>
  <c r="W344" i="4"/>
  <c r="W343" i="4"/>
  <c r="W342" i="4"/>
  <c r="W341" i="4"/>
  <c r="W801" i="4"/>
  <c r="W800" i="4"/>
  <c r="W799" i="4"/>
  <c r="W798" i="4"/>
  <c r="W797" i="4"/>
  <c r="W796" i="4"/>
  <c r="W340" i="4"/>
  <c r="W339" i="4"/>
  <c r="W338" i="4"/>
  <c r="W337" i="4"/>
  <c r="W336" i="4"/>
  <c r="W795" i="4"/>
  <c r="W794" i="4"/>
  <c r="W793" i="4"/>
  <c r="W792" i="4"/>
  <c r="W791" i="4"/>
  <c r="W790" i="4"/>
  <c r="W789" i="4"/>
  <c r="W788" i="4"/>
  <c r="W787" i="4"/>
  <c r="W786" i="4"/>
  <c r="W785" i="4"/>
  <c r="W784" i="4"/>
  <c r="W783" i="4"/>
  <c r="W782" i="4"/>
  <c r="W781" i="4"/>
  <c r="W780" i="4"/>
  <c r="W335" i="4"/>
  <c r="W334" i="4"/>
  <c r="W333" i="4"/>
  <c r="W332" i="4"/>
  <c r="W331" i="4"/>
  <c r="W330" i="4"/>
  <c r="W329" i="4"/>
  <c r="W779" i="4"/>
  <c r="W778" i="4"/>
  <c r="W777" i="4"/>
  <c r="W776" i="4"/>
  <c r="W775" i="4"/>
  <c r="W774" i="4"/>
  <c r="W773" i="4"/>
  <c r="W772" i="4"/>
  <c r="W771" i="4"/>
  <c r="W770" i="4"/>
  <c r="W769" i="4"/>
  <c r="W768" i="4"/>
  <c r="W767" i="4"/>
  <c r="W766" i="4"/>
  <c r="W765" i="4"/>
  <c r="W764" i="4"/>
  <c r="W763" i="4"/>
  <c r="W328" i="4"/>
  <c r="W327" i="4"/>
  <c r="W326" i="4"/>
  <c r="W325" i="4"/>
  <c r="W324" i="4"/>
  <c r="W323" i="4"/>
  <c r="W322" i="4"/>
  <c r="W762" i="4"/>
  <c r="W761" i="4"/>
  <c r="W760" i="4"/>
  <c r="W759" i="4"/>
  <c r="W758" i="4"/>
  <c r="W757" i="4"/>
  <c r="W756" i="4"/>
  <c r="W755" i="4"/>
  <c r="W754" i="4"/>
  <c r="W753" i="4"/>
  <c r="W752" i="4"/>
  <c r="W751" i="4"/>
  <c r="W750" i="4"/>
  <c r="W749" i="4"/>
  <c r="W748" i="4"/>
  <c r="W747" i="4"/>
  <c r="W321" i="4"/>
  <c r="W320" i="4"/>
  <c r="W319" i="4"/>
  <c r="W318" i="4"/>
  <c r="W317" i="4"/>
  <c r="W316" i="4"/>
  <c r="W315" i="4"/>
  <c r="W746" i="4"/>
  <c r="W745" i="4"/>
  <c r="W744" i="4"/>
  <c r="W743" i="4"/>
  <c r="W742" i="4"/>
  <c r="W741" i="4"/>
  <c r="W740" i="4"/>
  <c r="W739" i="4"/>
  <c r="W738" i="4"/>
  <c r="W737" i="4"/>
  <c r="W736" i="4"/>
  <c r="W735" i="4"/>
  <c r="W734" i="4"/>
  <c r="W733" i="4"/>
  <c r="W732" i="4"/>
  <c r="W731" i="4"/>
  <c r="W730" i="4"/>
  <c r="W729" i="4"/>
  <c r="W728" i="4"/>
  <c r="W727" i="4"/>
  <c r="W726" i="4"/>
  <c r="W725" i="4"/>
  <c r="W724" i="4"/>
  <c r="W314" i="4"/>
  <c r="W313" i="4"/>
  <c r="W312" i="4"/>
  <c r="W311" i="4"/>
  <c r="W310" i="4"/>
  <c r="W309" i="4"/>
  <c r="W308" i="4"/>
  <c r="W723" i="4"/>
  <c r="W722" i="4"/>
  <c r="W721" i="4"/>
  <c r="W720" i="4"/>
  <c r="W719" i="4"/>
  <c r="W718" i="4"/>
  <c r="W717" i="4"/>
  <c r="W716" i="4"/>
  <c r="W715" i="4"/>
  <c r="W714" i="4"/>
  <c r="W713" i="4"/>
  <c r="W712" i="4"/>
  <c r="W711" i="4"/>
  <c r="W710" i="4"/>
  <c r="W709" i="4"/>
  <c r="W708" i="4"/>
  <c r="W707" i="4"/>
  <c r="W706" i="4"/>
  <c r="W705" i="4"/>
  <c r="W704" i="4"/>
  <c r="W703" i="4"/>
  <c r="W702" i="4"/>
  <c r="W307" i="4"/>
  <c r="W306" i="4"/>
  <c r="W305" i="4"/>
  <c r="W304" i="4"/>
  <c r="W303" i="4"/>
  <c r="W302" i="4"/>
  <c r="W301" i="4"/>
  <c r="W300" i="4"/>
  <c r="W299" i="4"/>
  <c r="W298" i="4"/>
  <c r="W297" i="4"/>
  <c r="W701" i="4"/>
  <c r="W700" i="4"/>
  <c r="W699" i="4"/>
  <c r="W698" i="4"/>
  <c r="W697" i="4"/>
  <c r="W696" i="4"/>
  <c r="W695" i="4"/>
  <c r="W694" i="4"/>
  <c r="W693" i="4"/>
  <c r="W692" i="4"/>
  <c r="W691" i="4"/>
  <c r="W690" i="4"/>
  <c r="W689" i="4"/>
  <c r="W688" i="4"/>
  <c r="W687" i="4"/>
  <c r="W686" i="4"/>
  <c r="W685" i="4"/>
  <c r="W684" i="4"/>
  <c r="W683" i="4"/>
  <c r="W682" i="4"/>
  <c r="W296" i="4"/>
  <c r="W295" i="4"/>
  <c r="W294" i="4"/>
  <c r="W293" i="4"/>
  <c r="W292" i="4"/>
  <c r="W291" i="4"/>
  <c r="W290" i="4"/>
  <c r="W289" i="4"/>
  <c r="W288" i="4"/>
  <c r="W287" i="4"/>
  <c r="W286" i="4"/>
  <c r="W681" i="4"/>
  <c r="W680" i="4"/>
  <c r="W679" i="4"/>
  <c r="W678" i="4"/>
  <c r="W677" i="4"/>
  <c r="W676" i="4"/>
  <c r="W675" i="4"/>
  <c r="W674" i="4"/>
  <c r="W673" i="4"/>
  <c r="W672" i="4"/>
  <c r="W671" i="4"/>
  <c r="W670" i="4"/>
  <c r="W669" i="4"/>
  <c r="W668" i="4"/>
  <c r="W667" i="4"/>
  <c r="W285" i="4"/>
  <c r="W284" i="4"/>
  <c r="W283" i="4"/>
  <c r="W282" i="4"/>
  <c r="W281" i="4"/>
  <c r="W280" i="4"/>
  <c r="W279" i="4"/>
  <c r="W278" i="4"/>
  <c r="W277" i="4"/>
  <c r="W276" i="4"/>
  <c r="W275" i="4"/>
  <c r="W274" i="4"/>
  <c r="W273" i="4"/>
  <c r="W272" i="4"/>
  <c r="W271" i="4"/>
  <c r="W666" i="4"/>
  <c r="W665" i="4"/>
  <c r="W664" i="4"/>
  <c r="W663" i="4"/>
  <c r="W662" i="4"/>
  <c r="W661" i="4"/>
  <c r="W660" i="4"/>
  <c r="W659" i="4"/>
  <c r="W658" i="4"/>
  <c r="W657" i="4"/>
  <c r="W656" i="4"/>
  <c r="W655" i="4"/>
  <c r="W654" i="4"/>
  <c r="W653" i="4"/>
  <c r="W270" i="4"/>
  <c r="W269" i="4"/>
  <c r="W268" i="4"/>
  <c r="W267" i="4"/>
  <c r="W266" i="4"/>
  <c r="W265" i="4"/>
  <c r="W264" i="4"/>
  <c r="W263" i="4"/>
  <c r="W262" i="4"/>
  <c r="W261" i="4"/>
  <c r="W260" i="4"/>
  <c r="W259" i="4"/>
  <c r="W258" i="4"/>
  <c r="W257" i="4"/>
  <c r="W256" i="4"/>
  <c r="W255" i="4"/>
  <c r="W652" i="4"/>
  <c r="W651" i="4"/>
  <c r="W650" i="4"/>
  <c r="W649" i="4"/>
  <c r="W648" i="4"/>
  <c r="W647" i="4"/>
  <c r="W646" i="4"/>
  <c r="W645" i="4"/>
  <c r="W644" i="4"/>
  <c r="W643" i="4"/>
  <c r="W642" i="4"/>
  <c r="W641" i="4"/>
  <c r="W640" i="4"/>
  <c r="W639" i="4"/>
  <c r="W638" i="4"/>
  <c r="W637" i="4"/>
  <c r="W636" i="4"/>
  <c r="W254" i="4"/>
  <c r="W253" i="4"/>
  <c r="W252" i="4"/>
  <c r="W251" i="4"/>
  <c r="W250" i="4"/>
  <c r="W249" i="4"/>
  <c r="W248" i="4"/>
  <c r="W247" i="4"/>
  <c r="W246" i="4"/>
  <c r="W245" i="4"/>
  <c r="W244" i="4"/>
  <c r="W243" i="4"/>
  <c r="W242" i="4"/>
  <c r="W241" i="4"/>
  <c r="W240" i="4"/>
  <c r="W239" i="4"/>
  <c r="W238" i="4"/>
  <c r="W237" i="4"/>
  <c r="W635" i="4"/>
  <c r="W634" i="4"/>
  <c r="W633" i="4"/>
  <c r="W632" i="4"/>
  <c r="W631" i="4"/>
  <c r="W630" i="4"/>
  <c r="W629" i="4"/>
  <c r="W628" i="4"/>
  <c r="W627" i="4"/>
  <c r="W626" i="4"/>
  <c r="W625" i="4"/>
  <c r="W624" i="4"/>
  <c r="W623" i="4"/>
  <c r="W622" i="4"/>
  <c r="W621" i="4"/>
  <c r="W620" i="4"/>
  <c r="W236" i="4"/>
  <c r="W235" i="4"/>
  <c r="W234" i="4"/>
  <c r="W233" i="4"/>
  <c r="W232" i="4"/>
  <c r="W231" i="4"/>
  <c r="W230" i="4"/>
  <c r="W229" i="4"/>
  <c r="W228" i="4"/>
  <c r="W227" i="4"/>
  <c r="W226" i="4"/>
  <c r="W225" i="4"/>
  <c r="W224" i="4"/>
  <c r="W223" i="4"/>
  <c r="W222" i="4"/>
  <c r="W221" i="4"/>
  <c r="W220" i="4"/>
  <c r="W219" i="4"/>
  <c r="W218" i="4"/>
  <c r="W619" i="4"/>
  <c r="W618" i="4"/>
  <c r="W617" i="4"/>
  <c r="W616" i="4"/>
  <c r="W615" i="4"/>
  <c r="W614" i="4"/>
  <c r="W613" i="4"/>
  <c r="W612" i="4"/>
  <c r="W611" i="4"/>
  <c r="W610" i="4"/>
  <c r="W609" i="4"/>
  <c r="W608" i="4"/>
  <c r="W607" i="4"/>
  <c r="W606" i="4"/>
  <c r="W605" i="4"/>
  <c r="W217" i="4"/>
  <c r="W216" i="4"/>
  <c r="W215" i="4"/>
  <c r="W214" i="4"/>
  <c r="W213" i="4"/>
  <c r="W212" i="4"/>
  <c r="W211" i="4"/>
  <c r="W210" i="4"/>
  <c r="W209" i="4"/>
  <c r="W208" i="4"/>
  <c r="W207" i="4"/>
  <c r="W206" i="4"/>
  <c r="W205" i="4"/>
  <c r="W204" i="4"/>
  <c r="W203" i="4"/>
  <c r="W604" i="4"/>
  <c r="W603" i="4"/>
  <c r="W602" i="4"/>
  <c r="W601" i="4"/>
  <c r="W600" i="4"/>
  <c r="W599" i="4"/>
  <c r="W598" i="4"/>
  <c r="W597" i="4"/>
  <c r="W596" i="4"/>
  <c r="W595" i="4"/>
  <c r="W594" i="4"/>
  <c r="W593" i="4"/>
  <c r="W592" i="4"/>
  <c r="W591" i="4"/>
  <c r="W590" i="4"/>
  <c r="W589" i="4"/>
  <c r="W588" i="4"/>
  <c r="W587" i="4"/>
  <c r="W202" i="4"/>
  <c r="W201" i="4"/>
  <c r="W200" i="4"/>
  <c r="W199" i="4"/>
  <c r="W198" i="4"/>
  <c r="W197" i="4"/>
  <c r="W196" i="4"/>
  <c r="W195" i="4"/>
  <c r="W194" i="4"/>
  <c r="W193" i="4"/>
  <c r="W192" i="4"/>
  <c r="W191" i="4"/>
  <c r="W190" i="4"/>
  <c r="W189" i="4"/>
  <c r="W586" i="4"/>
  <c r="W585" i="4"/>
  <c r="W584" i="4"/>
  <c r="W583" i="4"/>
  <c r="W582" i="4"/>
  <c r="W581" i="4"/>
  <c r="W580" i="4"/>
  <c r="W579" i="4"/>
  <c r="W578" i="4"/>
  <c r="W577" i="4"/>
  <c r="W576" i="4"/>
  <c r="W575" i="4"/>
  <c r="W574" i="4"/>
  <c r="W573" i="4"/>
  <c r="W572" i="4"/>
  <c r="W571" i="4"/>
  <c r="W570" i="4"/>
  <c r="W569" i="4"/>
  <c r="W188" i="4"/>
  <c r="W187" i="4"/>
  <c r="W186" i="4"/>
  <c r="W185" i="4"/>
  <c r="W184" i="4"/>
  <c r="W183" i="4"/>
  <c r="W182" i="4"/>
  <c r="W181" i="4"/>
  <c r="W180" i="4"/>
  <c r="W179" i="4"/>
  <c r="W178" i="4"/>
  <c r="W177" i="4"/>
  <c r="W176" i="4"/>
  <c r="W175" i="4"/>
  <c r="W568" i="4"/>
  <c r="W567" i="4"/>
  <c r="W566" i="4"/>
  <c r="W565" i="4"/>
  <c r="W564" i="4"/>
  <c r="W563" i="4"/>
  <c r="W562" i="4"/>
  <c r="W561" i="4"/>
  <c r="W560" i="4"/>
  <c r="W559" i="4"/>
  <c r="W558" i="4"/>
  <c r="W557" i="4"/>
  <c r="W556" i="4"/>
  <c r="W555" i="4"/>
  <c r="W554" i="4"/>
  <c r="W553" i="4"/>
  <c r="W552" i="4"/>
  <c r="W551" i="4"/>
  <c r="W174" i="4"/>
  <c r="W173" i="4"/>
  <c r="W172" i="4"/>
  <c r="W171" i="4"/>
  <c r="W170" i="4"/>
  <c r="W169" i="4"/>
  <c r="W168" i="4"/>
  <c r="W167" i="4"/>
  <c r="W166" i="4"/>
  <c r="W165" i="4"/>
  <c r="W164" i="4"/>
  <c r="W163" i="4"/>
  <c r="W162" i="4"/>
  <c r="W161" i="4"/>
  <c r="W550" i="4"/>
  <c r="W549" i="4"/>
  <c r="W548" i="4"/>
  <c r="W547" i="4"/>
  <c r="W546" i="4"/>
  <c r="W545" i="4"/>
  <c r="W544" i="4"/>
  <c r="W543" i="4"/>
  <c r="W542" i="4"/>
  <c r="W541" i="4"/>
  <c r="W540" i="4"/>
  <c r="W539" i="4"/>
  <c r="W538" i="4"/>
  <c r="W537" i="4"/>
  <c r="W536" i="4"/>
  <c r="W535" i="4"/>
  <c r="W534" i="4"/>
  <c r="W533" i="4"/>
  <c r="W160" i="4"/>
  <c r="W159" i="4"/>
  <c r="W158" i="4"/>
  <c r="W157" i="4"/>
  <c r="W156" i="4"/>
  <c r="W155" i="4"/>
  <c r="W154" i="4"/>
  <c r="W153" i="4"/>
  <c r="W152" i="4"/>
  <c r="W151" i="4"/>
  <c r="W150" i="4"/>
  <c r="W149" i="4"/>
  <c r="W148" i="4"/>
  <c r="W532" i="4"/>
  <c r="W531" i="4"/>
  <c r="W530" i="4"/>
  <c r="W529" i="4"/>
  <c r="W528" i="4"/>
  <c r="W527" i="4"/>
  <c r="W526" i="4"/>
  <c r="W525" i="4"/>
  <c r="W524" i="4"/>
  <c r="W523" i="4"/>
  <c r="W522" i="4"/>
  <c r="W521" i="4"/>
  <c r="W520" i="4"/>
  <c r="W519" i="4"/>
  <c r="W147" i="4"/>
  <c r="W146" i="4"/>
  <c r="W145" i="4"/>
  <c r="W144" i="4"/>
  <c r="W143" i="4"/>
  <c r="W142" i="4"/>
  <c r="W141" i="4"/>
  <c r="W140" i="4"/>
  <c r="W139" i="4"/>
  <c r="W518" i="4"/>
  <c r="W517" i="4"/>
  <c r="W516" i="4"/>
  <c r="W515" i="4"/>
  <c r="W514" i="4"/>
  <c r="W513" i="4"/>
  <c r="W512" i="4"/>
  <c r="W511" i="4"/>
  <c r="W510" i="4"/>
  <c r="W509" i="4"/>
  <c r="W508" i="4"/>
  <c r="W507" i="4"/>
  <c r="W506" i="4"/>
  <c r="W505" i="4"/>
  <c r="W138" i="4"/>
  <c r="W137" i="4"/>
  <c r="W136" i="4"/>
  <c r="W135" i="4"/>
  <c r="W134" i="4"/>
  <c r="W133" i="4"/>
  <c r="W132" i="4"/>
  <c r="W131" i="4"/>
  <c r="W130" i="4"/>
  <c r="W504" i="4"/>
  <c r="W503" i="4"/>
  <c r="W502" i="4"/>
  <c r="W501" i="4"/>
  <c r="W500" i="4"/>
  <c r="W499" i="4"/>
  <c r="W498" i="4"/>
  <c r="W497" i="4"/>
  <c r="W496" i="4"/>
  <c r="W495" i="4"/>
  <c r="W494" i="4"/>
  <c r="W493" i="4"/>
  <c r="W492" i="4"/>
  <c r="W491" i="4"/>
  <c r="W129" i="4"/>
  <c r="W128" i="4"/>
  <c r="W127" i="4"/>
  <c r="W126" i="4"/>
  <c r="W125" i="4"/>
  <c r="W124" i="4"/>
  <c r="W123" i="4"/>
  <c r="W122" i="4"/>
  <c r="W121" i="4"/>
  <c r="W120" i="4"/>
  <c r="W490" i="4"/>
  <c r="W489" i="4"/>
  <c r="W488" i="4"/>
  <c r="W487" i="4"/>
  <c r="W486" i="4"/>
  <c r="W485" i="4"/>
  <c r="W484" i="4"/>
  <c r="W483" i="4"/>
  <c r="W482" i="4"/>
  <c r="W481" i="4"/>
  <c r="W480" i="4"/>
  <c r="W479" i="4"/>
  <c r="W478" i="4"/>
  <c r="W477" i="4"/>
  <c r="W119" i="4"/>
  <c r="W118" i="4"/>
  <c r="W117" i="4"/>
  <c r="W116" i="4"/>
  <c r="W115" i="4"/>
  <c r="W114" i="4"/>
  <c r="W113" i="4"/>
  <c r="W112" i="4"/>
  <c r="W111" i="4"/>
  <c r="W110" i="4"/>
  <c r="W476" i="4"/>
  <c r="W475" i="4"/>
  <c r="W474" i="4"/>
  <c r="W473" i="4"/>
  <c r="W472" i="4"/>
  <c r="W471" i="4"/>
  <c r="W470" i="4"/>
  <c r="W469" i="4"/>
  <c r="W468" i="4"/>
  <c r="W467" i="4"/>
  <c r="W109" i="4"/>
  <c r="W108" i="4"/>
  <c r="W107" i="4"/>
  <c r="W106" i="4"/>
  <c r="W105" i="4"/>
  <c r="W104" i="4"/>
  <c r="W103" i="4"/>
  <c r="W102" i="4"/>
  <c r="W101" i="4"/>
  <c r="W100" i="4"/>
  <c r="W99" i="4"/>
  <c r="W98" i="4"/>
  <c r="W97" i="4"/>
  <c r="W96" i="4"/>
  <c r="W466" i="4"/>
  <c r="W465" i="4"/>
  <c r="W464" i="4"/>
  <c r="W463" i="4"/>
  <c r="W462" i="4"/>
  <c r="W461" i="4"/>
  <c r="W460" i="4"/>
  <c r="W459" i="4"/>
  <c r="W458" i="4"/>
  <c r="W457" i="4"/>
  <c r="W95" i="4"/>
  <c r="W94" i="4"/>
  <c r="W93" i="4"/>
  <c r="W92" i="4"/>
  <c r="W91" i="4"/>
  <c r="W90" i="4"/>
  <c r="W89" i="4"/>
  <c r="W88" i="4"/>
  <c r="W87" i="4"/>
  <c r="W86" i="4"/>
  <c r="W85" i="4"/>
  <c r="W84" i="4"/>
  <c r="W83" i="4"/>
  <c r="W82" i="4"/>
  <c r="W456" i="4"/>
  <c r="W455" i="4"/>
  <c r="W454" i="4"/>
  <c r="W453" i="4"/>
  <c r="W452" i="4"/>
  <c r="W451" i="4"/>
  <c r="W450" i="4"/>
  <c r="W449" i="4"/>
  <c r="W448" i="4"/>
  <c r="W447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446" i="4"/>
  <c r="W445" i="4"/>
  <c r="W444" i="4"/>
  <c r="W443" i="4"/>
  <c r="W442" i="4"/>
  <c r="W441" i="4"/>
  <c r="W440" i="4"/>
  <c r="W439" i="4"/>
  <c r="W438" i="4"/>
  <c r="W437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436" i="4"/>
  <c r="W435" i="4"/>
  <c r="W434" i="4"/>
  <c r="W433" i="4"/>
  <c r="W432" i="4"/>
  <c r="W431" i="4"/>
  <c r="W430" i="4"/>
  <c r="W429" i="4"/>
  <c r="W53" i="4"/>
  <c r="W52" i="4"/>
  <c r="W51" i="4"/>
  <c r="W50" i="4"/>
  <c r="W49" i="4"/>
  <c r="W48" i="4"/>
  <c r="W47" i="4"/>
  <c r="W46" i="4"/>
  <c r="W45" i="4"/>
  <c r="W44" i="4"/>
  <c r="W43" i="4"/>
  <c r="W42" i="4"/>
  <c r="W428" i="4"/>
  <c r="W427" i="4"/>
  <c r="W426" i="4"/>
  <c r="W425" i="4"/>
  <c r="W424" i="4"/>
  <c r="W423" i="4"/>
  <c r="W422" i="4"/>
  <c r="W421" i="4"/>
  <c r="W41" i="4"/>
  <c r="W40" i="4"/>
  <c r="W39" i="4"/>
  <c r="W38" i="4"/>
  <c r="W37" i="4"/>
  <c r="W36" i="4"/>
  <c r="W35" i="4"/>
  <c r="W34" i="4"/>
  <c r="W33" i="4"/>
  <c r="W32" i="4"/>
  <c r="W31" i="4"/>
  <c r="W420" i="4"/>
  <c r="W419" i="4"/>
  <c r="W418" i="4"/>
  <c r="W417" i="4"/>
  <c r="W416" i="4"/>
  <c r="W415" i="4"/>
  <c r="W414" i="4"/>
  <c r="W413" i="4"/>
  <c r="W30" i="4"/>
  <c r="W29" i="4"/>
  <c r="W28" i="4"/>
  <c r="W27" i="4"/>
  <c r="W26" i="4"/>
  <c r="W25" i="4"/>
  <c r="W24" i="4"/>
  <c r="W23" i="4"/>
  <c r="W22" i="4"/>
  <c r="W21" i="4"/>
  <c r="W20" i="4"/>
  <c r="W412" i="4"/>
  <c r="W411" i="4"/>
  <c r="W410" i="4"/>
  <c r="W409" i="4"/>
  <c r="W408" i="4"/>
  <c r="W407" i="4"/>
  <c r="W406" i="4"/>
  <c r="W405" i="4"/>
  <c r="W19" i="4"/>
  <c r="W18" i="4"/>
  <c r="W17" i="4"/>
  <c r="W16" i="4"/>
  <c r="W15" i="4"/>
  <c r="W14" i="4"/>
  <c r="W13" i="4"/>
  <c r="W12" i="4"/>
  <c r="W11" i="4"/>
  <c r="W10" i="4"/>
  <c r="L848" i="4"/>
  <c r="L847" i="4"/>
  <c r="L846" i="4"/>
  <c r="Y846" i="4" s="1"/>
  <c r="L845" i="4"/>
  <c r="L844" i="4"/>
  <c r="Z844" i="4" s="1"/>
  <c r="L372" i="4"/>
  <c r="Y372" i="4" s="1"/>
  <c r="L371" i="4"/>
  <c r="Y371" i="4" s="1"/>
  <c r="L370" i="4"/>
  <c r="L369" i="4"/>
  <c r="Z369" i="4" s="1"/>
  <c r="L843" i="4"/>
  <c r="Z843" i="4" s="1"/>
  <c r="L842" i="4"/>
  <c r="Y842" i="4" s="1"/>
  <c r="L841" i="4"/>
  <c r="Y841" i="4" s="1"/>
  <c r="L840" i="4"/>
  <c r="L839" i="4"/>
  <c r="L838" i="4"/>
  <c r="L368" i="4"/>
  <c r="L367" i="4"/>
  <c r="Z367" i="4" s="1"/>
  <c r="L366" i="4"/>
  <c r="Z366" i="4" s="1"/>
  <c r="L365" i="4"/>
  <c r="Z365" i="4" s="1"/>
  <c r="L837" i="4"/>
  <c r="L836" i="4"/>
  <c r="Z836" i="4" s="1"/>
  <c r="L835" i="4"/>
  <c r="Z835" i="4" s="1"/>
  <c r="L834" i="4"/>
  <c r="Y834" i="4" s="1"/>
  <c r="L833" i="4"/>
  <c r="L832" i="4"/>
  <c r="Z832" i="4" s="1"/>
  <c r="L364" i="4"/>
  <c r="Y364" i="4" s="1"/>
  <c r="L363" i="4"/>
  <c r="Z363" i="4" s="1"/>
  <c r="L362" i="4"/>
  <c r="L361" i="4"/>
  <c r="Z361" i="4" s="1"/>
  <c r="L831" i="4"/>
  <c r="Z831" i="4" s="1"/>
  <c r="L830" i="4"/>
  <c r="Z830" i="4" s="1"/>
  <c r="L829" i="4"/>
  <c r="L828" i="4"/>
  <c r="Y828" i="4" s="1"/>
  <c r="L827" i="4"/>
  <c r="L826" i="4"/>
  <c r="Y826" i="4" s="1"/>
  <c r="L360" i="4"/>
  <c r="Y360" i="4" s="1"/>
  <c r="L359" i="4"/>
  <c r="Y359" i="4" s="1"/>
  <c r="L358" i="4"/>
  <c r="Y358" i="4" s="1"/>
  <c r="L357" i="4"/>
  <c r="Z357" i="4" s="1"/>
  <c r="L825" i="4"/>
  <c r="L824" i="4"/>
  <c r="Y824" i="4" s="1"/>
  <c r="L823" i="4"/>
  <c r="Y823" i="4" s="1"/>
  <c r="L822" i="4"/>
  <c r="Y822" i="4" s="1"/>
  <c r="L821" i="4"/>
  <c r="L820" i="4"/>
  <c r="Y820" i="4" s="1"/>
  <c r="L356" i="4"/>
  <c r="L355" i="4"/>
  <c r="Y355" i="4" s="1"/>
  <c r="L354" i="4"/>
  <c r="Z354" i="4" s="1"/>
  <c r="L353" i="4"/>
  <c r="Y353" i="4" s="1"/>
  <c r="L819" i="4"/>
  <c r="Z819" i="4" s="1"/>
  <c r="L818" i="4"/>
  <c r="L817" i="4"/>
  <c r="L816" i="4"/>
  <c r="Y816" i="4" s="1"/>
  <c r="L815" i="4"/>
  <c r="L814" i="4"/>
  <c r="Z814" i="4" s="1"/>
  <c r="L352" i="4"/>
  <c r="Y352" i="4" s="1"/>
  <c r="L351" i="4"/>
  <c r="Z351" i="4" s="1"/>
  <c r="L350" i="4"/>
  <c r="Z350" i="4" s="1"/>
  <c r="L349" i="4"/>
  <c r="Z349" i="4" s="1"/>
  <c r="L813" i="4"/>
  <c r="Z813" i="4" s="1"/>
  <c r="L812" i="4"/>
  <c r="Z812" i="4" s="1"/>
  <c r="L811" i="4"/>
  <c r="Z811" i="4" s="1"/>
  <c r="L810" i="4"/>
  <c r="L809" i="4"/>
  <c r="L808" i="4"/>
  <c r="L348" i="4"/>
  <c r="L347" i="4"/>
  <c r="Y347" i="4" s="1"/>
  <c r="L346" i="4"/>
  <c r="Z346" i="4" s="1"/>
  <c r="L345" i="4"/>
  <c r="Y345" i="4" s="1"/>
  <c r="L807" i="4"/>
  <c r="L806" i="4"/>
  <c r="Y806" i="4" s="1"/>
  <c r="L805" i="4"/>
  <c r="Z805" i="4" s="1"/>
  <c r="L804" i="4"/>
  <c r="Y804" i="4" s="1"/>
  <c r="L803" i="4"/>
  <c r="L802" i="4"/>
  <c r="Y802" i="4" s="1"/>
  <c r="L344" i="4"/>
  <c r="Y344" i="4" s="1"/>
  <c r="L343" i="4"/>
  <c r="Z343" i="4" s="1"/>
  <c r="L342" i="4"/>
  <c r="Z342" i="4" s="1"/>
  <c r="L341" i="4"/>
  <c r="Z341" i="4" s="1"/>
  <c r="L801" i="4"/>
  <c r="Y801" i="4" s="1"/>
  <c r="L800" i="4"/>
  <c r="Z800" i="4" s="1"/>
  <c r="L799" i="4"/>
  <c r="L798" i="4"/>
  <c r="Y798" i="4" s="1"/>
  <c r="L797" i="4"/>
  <c r="L796" i="4"/>
  <c r="Y796" i="4" s="1"/>
  <c r="L340" i="4"/>
  <c r="Y340" i="4" s="1"/>
  <c r="L339" i="4"/>
  <c r="Y339" i="4" s="1"/>
  <c r="L338" i="4"/>
  <c r="Z338" i="4" s="1"/>
  <c r="L337" i="4"/>
  <c r="L336" i="4"/>
  <c r="L795" i="4"/>
  <c r="Z795" i="4" s="1"/>
  <c r="L794" i="4"/>
  <c r="Z794" i="4" s="1"/>
  <c r="L793" i="4"/>
  <c r="Y793" i="4" s="1"/>
  <c r="L792" i="4"/>
  <c r="L791" i="4"/>
  <c r="Y791" i="4" s="1"/>
  <c r="L790" i="4"/>
  <c r="L789" i="4"/>
  <c r="Z789" i="4" s="1"/>
  <c r="L788" i="4"/>
  <c r="Z788" i="4" s="1"/>
  <c r="L787" i="4"/>
  <c r="Z787" i="4" s="1"/>
  <c r="L786" i="4"/>
  <c r="Z786" i="4" s="1"/>
  <c r="L785" i="4"/>
  <c r="L784" i="4"/>
  <c r="L783" i="4"/>
  <c r="Y783" i="4" s="1"/>
  <c r="L782" i="4"/>
  <c r="L781" i="4"/>
  <c r="Y781" i="4" s="1"/>
  <c r="L780" i="4"/>
  <c r="Y780" i="4" s="1"/>
  <c r="L335" i="4"/>
  <c r="Z335" i="4" s="1"/>
  <c r="L334" i="4"/>
  <c r="L333" i="4"/>
  <c r="Z333" i="4" s="1"/>
  <c r="L332" i="4"/>
  <c r="Z332" i="4" s="1"/>
  <c r="L331" i="4"/>
  <c r="Z331" i="4" s="1"/>
  <c r="L330" i="4"/>
  <c r="Z330" i="4" s="1"/>
  <c r="L329" i="4"/>
  <c r="L779" i="4"/>
  <c r="L778" i="4"/>
  <c r="L777" i="4"/>
  <c r="L776" i="4"/>
  <c r="Z776" i="4" s="1"/>
  <c r="L775" i="4"/>
  <c r="Z775" i="4" s="1"/>
  <c r="L774" i="4"/>
  <c r="Z774" i="4" s="1"/>
  <c r="L773" i="4"/>
  <c r="L772" i="4"/>
  <c r="Y772" i="4" s="1"/>
  <c r="L771" i="4"/>
  <c r="Z771" i="4" s="1"/>
  <c r="L770" i="4"/>
  <c r="Y770" i="4" s="1"/>
  <c r="L769" i="4"/>
  <c r="L768" i="4"/>
  <c r="Z768" i="4" s="1"/>
  <c r="L767" i="4"/>
  <c r="Y767" i="4" s="1"/>
  <c r="L766" i="4"/>
  <c r="Z766" i="4" s="1"/>
  <c r="L765" i="4"/>
  <c r="L764" i="4"/>
  <c r="Y764" i="4" s="1"/>
  <c r="L763" i="4"/>
  <c r="Z763" i="4" s="1"/>
  <c r="L328" i="4"/>
  <c r="Y328" i="4" s="1"/>
  <c r="L327" i="4"/>
  <c r="L326" i="4"/>
  <c r="Y326" i="4" s="1"/>
  <c r="L325" i="4"/>
  <c r="L324" i="4"/>
  <c r="Z324" i="4" s="1"/>
  <c r="L323" i="4"/>
  <c r="Y323" i="4" s="1"/>
  <c r="L322" i="4"/>
  <c r="Z322" i="4" s="1"/>
  <c r="L762" i="4"/>
  <c r="Z762" i="4" s="1"/>
  <c r="L761" i="4"/>
  <c r="Z761" i="4" s="1"/>
  <c r="L760" i="4"/>
  <c r="L759" i="4"/>
  <c r="Z759" i="4" s="1"/>
  <c r="L758" i="4"/>
  <c r="Y758" i="4" s="1"/>
  <c r="L757" i="4"/>
  <c r="Y757" i="4" s="1"/>
  <c r="L756" i="4"/>
  <c r="L755" i="4"/>
  <c r="Y755" i="4" s="1"/>
  <c r="L754" i="4"/>
  <c r="L753" i="4"/>
  <c r="Y753" i="4" s="1"/>
  <c r="L752" i="4"/>
  <c r="Z752" i="4" s="1"/>
  <c r="L751" i="4"/>
  <c r="Z751" i="4" s="1"/>
  <c r="L750" i="4"/>
  <c r="Z750" i="4" s="1"/>
  <c r="L749" i="4"/>
  <c r="L748" i="4"/>
  <c r="L747" i="4"/>
  <c r="Y747" i="4" s="1"/>
  <c r="L321" i="4"/>
  <c r="L320" i="4"/>
  <c r="Z320" i="4" s="1"/>
  <c r="L319" i="4"/>
  <c r="Y319" i="4" s="1"/>
  <c r="L318" i="4"/>
  <c r="Z318" i="4" s="1"/>
  <c r="L317" i="4"/>
  <c r="Z317" i="4" s="1"/>
  <c r="L316" i="4"/>
  <c r="Y316" i="4" s="1"/>
  <c r="L315" i="4"/>
  <c r="Z315" i="4" s="1"/>
  <c r="L746" i="4"/>
  <c r="Z746" i="4" s="1"/>
  <c r="L745" i="4"/>
  <c r="Z745" i="4" s="1"/>
  <c r="L744" i="4"/>
  <c r="L743" i="4"/>
  <c r="L742" i="4"/>
  <c r="L741" i="4"/>
  <c r="L740" i="4"/>
  <c r="Z740" i="4" s="1"/>
  <c r="L739" i="4"/>
  <c r="Z739" i="4" s="1"/>
  <c r="L738" i="4"/>
  <c r="Z738" i="4" s="1"/>
  <c r="L737" i="4"/>
  <c r="L736" i="4"/>
  <c r="Z736" i="4" s="1"/>
  <c r="L735" i="4"/>
  <c r="Y735" i="4" s="1"/>
  <c r="L734" i="4"/>
  <c r="Y734" i="4" s="1"/>
  <c r="L733" i="4"/>
  <c r="L732" i="4"/>
  <c r="Z732" i="4" s="1"/>
  <c r="L731" i="4"/>
  <c r="Y731" i="4" s="1"/>
  <c r="L730" i="4"/>
  <c r="Z730" i="4" s="1"/>
  <c r="L729" i="4"/>
  <c r="Z729" i="4" s="1"/>
  <c r="L728" i="4"/>
  <c r="Z728" i="4" s="1"/>
  <c r="L727" i="4"/>
  <c r="Y727" i="4" s="1"/>
  <c r="L726" i="4"/>
  <c r="Z726" i="4" s="1"/>
  <c r="L725" i="4"/>
  <c r="L724" i="4"/>
  <c r="Y724" i="4" s="1"/>
  <c r="L314" i="4"/>
  <c r="L313" i="4"/>
  <c r="Z313" i="4" s="1"/>
  <c r="L312" i="4"/>
  <c r="Y312" i="4" s="1"/>
  <c r="L311" i="4"/>
  <c r="Z311" i="4" s="1"/>
  <c r="L310" i="4"/>
  <c r="Y310" i="4" s="1"/>
  <c r="L309" i="4"/>
  <c r="L308" i="4"/>
  <c r="L723" i="4"/>
  <c r="Y723" i="4" s="1"/>
  <c r="L722" i="4"/>
  <c r="Z722" i="4" s="1"/>
  <c r="L721" i="4"/>
  <c r="Y721" i="4" s="1"/>
  <c r="L720" i="4"/>
  <c r="L719" i="4"/>
  <c r="Y719" i="4" s="1"/>
  <c r="L718" i="4"/>
  <c r="L717" i="4"/>
  <c r="Y717" i="4" s="1"/>
  <c r="L716" i="4"/>
  <c r="Z716" i="4" s="1"/>
  <c r="L715" i="4"/>
  <c r="Z715" i="4" s="1"/>
  <c r="L714" i="4"/>
  <c r="Z714" i="4" s="1"/>
  <c r="L713" i="4"/>
  <c r="L712" i="4"/>
  <c r="L711" i="4"/>
  <c r="Y711" i="4" s="1"/>
  <c r="L710" i="4"/>
  <c r="L709" i="4"/>
  <c r="Z709" i="4" s="1"/>
  <c r="L708" i="4"/>
  <c r="Y708" i="4" s="1"/>
  <c r="L707" i="4"/>
  <c r="Y707" i="4" s="1"/>
  <c r="L706" i="4"/>
  <c r="Z706" i="4" s="1"/>
  <c r="L705" i="4"/>
  <c r="Y705" i="4" s="1"/>
  <c r="L704" i="4"/>
  <c r="Z704" i="4" s="1"/>
  <c r="L703" i="4"/>
  <c r="Z703" i="4" s="1"/>
  <c r="L702" i="4"/>
  <c r="Z702" i="4" s="1"/>
  <c r="L307" i="4"/>
  <c r="L306" i="4"/>
  <c r="L305" i="4"/>
  <c r="L304" i="4"/>
  <c r="L303" i="4"/>
  <c r="Z303" i="4" s="1"/>
  <c r="L302" i="4"/>
  <c r="Y302" i="4" s="1"/>
  <c r="L301" i="4"/>
  <c r="Y301" i="4" s="1"/>
  <c r="L300" i="4"/>
  <c r="Z300" i="4" s="1"/>
  <c r="L299" i="4"/>
  <c r="Z299" i="4" s="1"/>
  <c r="L298" i="4"/>
  <c r="Z298" i="4" s="1"/>
  <c r="L297" i="4"/>
  <c r="Y297" i="4" s="1"/>
  <c r="L701" i="4"/>
  <c r="L700" i="4"/>
  <c r="Y700" i="4" s="1"/>
  <c r="L699" i="4"/>
  <c r="Y699" i="4" s="1"/>
  <c r="L698" i="4"/>
  <c r="Z698" i="4" s="1"/>
  <c r="L697" i="4"/>
  <c r="L696" i="4"/>
  <c r="Z696" i="4" s="1"/>
  <c r="L695" i="4"/>
  <c r="Z695" i="4" s="1"/>
  <c r="L694" i="4"/>
  <c r="Y694" i="4" s="1"/>
  <c r="L693" i="4"/>
  <c r="Z693" i="4" s="1"/>
  <c r="L692" i="4"/>
  <c r="Y692" i="4" s="1"/>
  <c r="L691" i="4"/>
  <c r="L690" i="4"/>
  <c r="Z690" i="4" s="1"/>
  <c r="L689" i="4"/>
  <c r="Y689" i="4" s="1"/>
  <c r="L688" i="4"/>
  <c r="Z688" i="4" s="1"/>
  <c r="L687" i="4"/>
  <c r="Z687" i="4" s="1"/>
  <c r="L686" i="4"/>
  <c r="Z686" i="4" s="1"/>
  <c r="L685" i="4"/>
  <c r="L684" i="4"/>
  <c r="Y684" i="4" s="1"/>
  <c r="L683" i="4"/>
  <c r="Y683" i="4" s="1"/>
  <c r="L682" i="4"/>
  <c r="Y682" i="4" s="1"/>
  <c r="L296" i="4"/>
  <c r="L295" i="4"/>
  <c r="Y295" i="4" s="1"/>
  <c r="L294" i="4"/>
  <c r="Y294" i="4" s="1"/>
  <c r="L293" i="4"/>
  <c r="Z293" i="4" s="1"/>
  <c r="L292" i="4"/>
  <c r="Z292" i="4" s="1"/>
  <c r="L291" i="4"/>
  <c r="Z291" i="4" s="1"/>
  <c r="L290" i="4"/>
  <c r="Y290" i="4" s="1"/>
  <c r="L289" i="4"/>
  <c r="L288" i="4"/>
  <c r="L287" i="4"/>
  <c r="Y287" i="4" s="1"/>
  <c r="L286" i="4"/>
  <c r="L681" i="4"/>
  <c r="Z681" i="4" s="1"/>
  <c r="L680" i="4"/>
  <c r="Y680" i="4" s="1"/>
  <c r="L679" i="4"/>
  <c r="Z679" i="4" s="1"/>
  <c r="L678" i="4"/>
  <c r="Z678" i="4" s="1"/>
  <c r="L677" i="4"/>
  <c r="Z677" i="4" s="1"/>
  <c r="L676" i="4"/>
  <c r="Z676" i="4" s="1"/>
  <c r="L675" i="4"/>
  <c r="Z675" i="4" s="1"/>
  <c r="L674" i="4"/>
  <c r="Y674" i="4" s="1"/>
  <c r="L673" i="4"/>
  <c r="L672" i="4"/>
  <c r="L671" i="4"/>
  <c r="L670" i="4"/>
  <c r="L669" i="4"/>
  <c r="Z669" i="4" s="1"/>
  <c r="L668" i="4"/>
  <c r="Z668" i="4" s="1"/>
  <c r="L667" i="4"/>
  <c r="Z667" i="4" s="1"/>
  <c r="L285" i="4"/>
  <c r="Z285" i="4" s="1"/>
  <c r="L284" i="4"/>
  <c r="Z284" i="4" s="1"/>
  <c r="L283" i="4"/>
  <c r="Z283" i="4" s="1"/>
  <c r="L282" i="4"/>
  <c r="Y282" i="4" s="1"/>
  <c r="L281" i="4"/>
  <c r="L280" i="4"/>
  <c r="Y280" i="4" s="1"/>
  <c r="L279" i="4"/>
  <c r="Y279" i="4" s="1"/>
  <c r="L278" i="4"/>
  <c r="Z278" i="4" s="1"/>
  <c r="L277" i="4"/>
  <c r="Z277" i="4" s="1"/>
  <c r="L276" i="4"/>
  <c r="Y276" i="4" s="1"/>
  <c r="L275" i="4"/>
  <c r="Z275" i="4" s="1"/>
  <c r="L274" i="4"/>
  <c r="Z274" i="4" s="1"/>
  <c r="L273" i="4"/>
  <c r="Z273" i="4" s="1"/>
  <c r="L272" i="4"/>
  <c r="Y272" i="4" s="1"/>
  <c r="L271" i="4"/>
  <c r="L666" i="4"/>
  <c r="Z666" i="4" s="1"/>
  <c r="L665" i="4"/>
  <c r="Y665" i="4" s="1"/>
  <c r="L664" i="4"/>
  <c r="Z664" i="4" s="1"/>
  <c r="L663" i="4"/>
  <c r="Y663" i="4" s="1"/>
  <c r="L662" i="4"/>
  <c r="L661" i="4"/>
  <c r="L660" i="4"/>
  <c r="Y660" i="4" s="1"/>
  <c r="L659" i="4"/>
  <c r="Z659" i="4" s="1"/>
  <c r="L658" i="4"/>
  <c r="Y658" i="4" s="1"/>
  <c r="L657" i="4"/>
  <c r="L656" i="4"/>
  <c r="Y656" i="4" s="1"/>
  <c r="L655" i="4"/>
  <c r="Y655" i="4" s="1"/>
  <c r="L654" i="4"/>
  <c r="Z654" i="4" s="1"/>
  <c r="L653" i="4"/>
  <c r="Z653" i="4" s="1"/>
  <c r="L270" i="4"/>
  <c r="Z270" i="4" s="1"/>
  <c r="L269" i="4"/>
  <c r="Z269" i="4" s="1"/>
  <c r="L268" i="4"/>
  <c r="L267" i="4"/>
  <c r="L266" i="4"/>
  <c r="Y266" i="4" s="1"/>
  <c r="L265" i="4"/>
  <c r="L264" i="4"/>
  <c r="Y264" i="4" s="1"/>
  <c r="L263" i="4"/>
  <c r="Y263" i="4" s="1"/>
  <c r="L262" i="4"/>
  <c r="Z262" i="4" s="1"/>
  <c r="L261" i="4"/>
  <c r="Z261" i="4" s="1"/>
  <c r="L260" i="4"/>
  <c r="Z260" i="4" s="1"/>
  <c r="L259" i="4"/>
  <c r="Z259" i="4" s="1"/>
  <c r="L258" i="4"/>
  <c r="Z258" i="4" s="1"/>
  <c r="L257" i="4"/>
  <c r="Z257" i="4" s="1"/>
  <c r="L256" i="4"/>
  <c r="L255" i="4"/>
  <c r="L652" i="4"/>
  <c r="L651" i="4"/>
  <c r="L650" i="4"/>
  <c r="Z650" i="4" s="1"/>
  <c r="L649" i="4"/>
  <c r="Z649" i="4" s="1"/>
  <c r="L648" i="4"/>
  <c r="Z648" i="4" s="1"/>
  <c r="L647" i="4"/>
  <c r="Z647" i="4" s="1"/>
  <c r="L646" i="4"/>
  <c r="Y646" i="4" s="1"/>
  <c r="L645" i="4"/>
  <c r="Y645" i="4" s="1"/>
  <c r="L644" i="4"/>
  <c r="Y644" i="4" s="1"/>
  <c r="L643" i="4"/>
  <c r="L642" i="4"/>
  <c r="Z642" i="4" s="1"/>
  <c r="L641" i="4"/>
  <c r="Y641" i="4" s="1"/>
  <c r="L640" i="4"/>
  <c r="Z640" i="4" s="1"/>
  <c r="L639" i="4"/>
  <c r="L638" i="4"/>
  <c r="Z638" i="4" s="1"/>
  <c r="L637" i="4"/>
  <c r="Y637" i="4" s="1"/>
  <c r="L636" i="4"/>
  <c r="Y636" i="4" s="1"/>
  <c r="L254" i="4"/>
  <c r="Z254" i="4" s="1"/>
  <c r="L253" i="4"/>
  <c r="Y253" i="4" s="1"/>
  <c r="L252" i="4"/>
  <c r="L251" i="4"/>
  <c r="Z251" i="4" s="1"/>
  <c r="L250" i="4"/>
  <c r="Y250" i="4" s="1"/>
  <c r="L249" i="4"/>
  <c r="Z249" i="4" s="1"/>
  <c r="L248" i="4"/>
  <c r="Z248" i="4" s="1"/>
  <c r="L247" i="4"/>
  <c r="Z247" i="4" s="1"/>
  <c r="L246" i="4"/>
  <c r="L245" i="4"/>
  <c r="Z245" i="4" s="1"/>
  <c r="L244" i="4"/>
  <c r="Z244" i="4" s="1"/>
  <c r="L243" i="4"/>
  <c r="Y243" i="4" s="1"/>
  <c r="L242" i="4"/>
  <c r="L241" i="4"/>
  <c r="Y241" i="4" s="1"/>
  <c r="L240" i="4"/>
  <c r="Y240" i="4" s="1"/>
  <c r="L239" i="4"/>
  <c r="Z239" i="4" s="1"/>
  <c r="L238" i="4"/>
  <c r="Y238" i="4" s="1"/>
  <c r="L237" i="4"/>
  <c r="Z237" i="4" s="1"/>
  <c r="L635" i="4"/>
  <c r="Z635" i="4" s="1"/>
  <c r="L634" i="4"/>
  <c r="L633" i="4"/>
  <c r="L632" i="4"/>
  <c r="Y632" i="4" s="1"/>
  <c r="L631" i="4"/>
  <c r="L630" i="4"/>
  <c r="Z630" i="4" s="1"/>
  <c r="L629" i="4"/>
  <c r="Y629" i="4" s="1"/>
  <c r="L628" i="4"/>
  <c r="Z628" i="4" s="1"/>
  <c r="L627" i="4"/>
  <c r="Z627" i="4" s="1"/>
  <c r="L626" i="4"/>
  <c r="Y626" i="4" s="1"/>
  <c r="L625" i="4"/>
  <c r="Z625" i="4" s="1"/>
  <c r="L624" i="4"/>
  <c r="Z624" i="4" s="1"/>
  <c r="L623" i="4"/>
  <c r="Y623" i="4" s="1"/>
  <c r="L622" i="4"/>
  <c r="L621" i="4"/>
  <c r="L620" i="4"/>
  <c r="L236" i="4"/>
  <c r="L235" i="4"/>
  <c r="Z235" i="4" s="1"/>
  <c r="L234" i="4"/>
  <c r="Z234" i="4" s="1"/>
  <c r="L233" i="4"/>
  <c r="Z233" i="4" s="1"/>
  <c r="L232" i="4"/>
  <c r="Z232" i="4" s="1"/>
  <c r="L231" i="4"/>
  <c r="Y231" i="4" s="1"/>
  <c r="L230" i="4"/>
  <c r="Z230" i="4" s="1"/>
  <c r="L229" i="4"/>
  <c r="Y229" i="4" s="1"/>
  <c r="L228" i="4"/>
  <c r="L227" i="4"/>
  <c r="Z227" i="4" s="1"/>
  <c r="L226" i="4"/>
  <c r="Y226" i="4" s="1"/>
  <c r="L225" i="4"/>
  <c r="Z225" i="4" s="1"/>
  <c r="L224" i="4"/>
  <c r="Z224" i="4" s="1"/>
  <c r="L223" i="4"/>
  <c r="Z223" i="4" s="1"/>
  <c r="L222" i="4"/>
  <c r="Y222" i="4" s="1"/>
  <c r="L221" i="4"/>
  <c r="Z221" i="4" s="1"/>
  <c r="L220" i="4"/>
  <c r="Z220" i="4" s="1"/>
  <c r="L219" i="4"/>
  <c r="Y219" i="4" s="1"/>
  <c r="L218" i="4"/>
  <c r="L619" i="4"/>
  <c r="Y619" i="4" s="1"/>
  <c r="L618" i="4"/>
  <c r="Y618" i="4" s="1"/>
  <c r="L617" i="4"/>
  <c r="Y617" i="4" s="1"/>
  <c r="L616" i="4"/>
  <c r="Z616" i="4" s="1"/>
  <c r="L615" i="4"/>
  <c r="L614" i="4"/>
  <c r="L613" i="4"/>
  <c r="Y613" i="4" s="1"/>
  <c r="L612" i="4"/>
  <c r="Z612" i="4" s="1"/>
  <c r="L611" i="4"/>
  <c r="Y611" i="4" s="1"/>
  <c r="L610" i="4"/>
  <c r="L609" i="4"/>
  <c r="Y609" i="4" s="1"/>
  <c r="L608" i="4"/>
  <c r="Y608" i="4" s="1"/>
  <c r="L607" i="4"/>
  <c r="Z607" i="4" s="1"/>
  <c r="L606" i="4"/>
  <c r="Z606" i="4" s="1"/>
  <c r="L605" i="4"/>
  <c r="Z605" i="4" s="1"/>
  <c r="L217" i="4"/>
  <c r="Y217" i="4" s="1"/>
  <c r="L216" i="4"/>
  <c r="L215" i="4"/>
  <c r="L214" i="4"/>
  <c r="Y214" i="4" s="1"/>
  <c r="L213" i="4"/>
  <c r="L212" i="4"/>
  <c r="Y212" i="4" s="1"/>
  <c r="L211" i="4"/>
  <c r="Y211" i="4" s="1"/>
  <c r="L210" i="4"/>
  <c r="Z210" i="4" s="1"/>
  <c r="L209" i="4"/>
  <c r="Z209" i="4" s="1"/>
  <c r="L208" i="4"/>
  <c r="Z208" i="4" s="1"/>
  <c r="L207" i="4"/>
  <c r="Z207" i="4" s="1"/>
  <c r="L206" i="4"/>
  <c r="Z206" i="4" s="1"/>
  <c r="L205" i="4"/>
  <c r="Y205" i="4" s="1"/>
  <c r="L204" i="4"/>
  <c r="L203" i="4"/>
  <c r="L604" i="4"/>
  <c r="L603" i="4"/>
  <c r="L602" i="4"/>
  <c r="Y602" i="4" s="1"/>
  <c r="L601" i="4"/>
  <c r="Z601" i="4" s="1"/>
  <c r="L600" i="4"/>
  <c r="Z600" i="4" s="1"/>
  <c r="L599" i="4"/>
  <c r="Z599" i="4" s="1"/>
  <c r="L598" i="4"/>
  <c r="Z598" i="4" s="1"/>
  <c r="L597" i="4"/>
  <c r="Z597" i="4" s="1"/>
  <c r="L596" i="4"/>
  <c r="Y596" i="4" s="1"/>
  <c r="L595" i="4"/>
  <c r="L594" i="4"/>
  <c r="Y594" i="4" s="1"/>
  <c r="L593" i="4"/>
  <c r="Y593" i="4" s="1"/>
  <c r="L592" i="4"/>
  <c r="Z592" i="4" s="1"/>
  <c r="L591" i="4"/>
  <c r="L590" i="4"/>
  <c r="Z590" i="4" s="1"/>
  <c r="L589" i="4"/>
  <c r="Z589" i="4" s="1"/>
  <c r="L588" i="4"/>
  <c r="Z588" i="4" s="1"/>
  <c r="L587" i="4"/>
  <c r="Z587" i="4" s="1"/>
  <c r="L202" i="4"/>
  <c r="Y202" i="4" s="1"/>
  <c r="L201" i="4"/>
  <c r="L200" i="4"/>
  <c r="Y200" i="4" s="1"/>
  <c r="L199" i="4"/>
  <c r="Y199" i="4" s="1"/>
  <c r="L198" i="4"/>
  <c r="Z198" i="4" s="1"/>
  <c r="L197" i="4"/>
  <c r="Y197" i="4" s="1"/>
  <c r="L196" i="4"/>
  <c r="Z196" i="4" s="1"/>
  <c r="L195" i="4"/>
  <c r="L194" i="4"/>
  <c r="Y194" i="4" s="1"/>
  <c r="L193" i="4"/>
  <c r="Y193" i="4" s="1"/>
  <c r="L192" i="4"/>
  <c r="Y192" i="4" s="1"/>
  <c r="L191" i="4"/>
  <c r="L190" i="4"/>
  <c r="Y190" i="4" s="1"/>
  <c r="L189" i="4"/>
  <c r="Y189" i="4" s="1"/>
  <c r="L586" i="4"/>
  <c r="Z586" i="4" s="1"/>
  <c r="L585" i="4"/>
  <c r="Z585" i="4" s="1"/>
  <c r="L584" i="4"/>
  <c r="Z584" i="4" s="1"/>
  <c r="L583" i="4"/>
  <c r="Z583" i="4" s="1"/>
  <c r="L582" i="4"/>
  <c r="L581" i="4"/>
  <c r="L580" i="4"/>
  <c r="Y580" i="4" s="1"/>
  <c r="L579" i="4"/>
  <c r="L578" i="4"/>
  <c r="Y578" i="4" s="1"/>
  <c r="L577" i="4"/>
  <c r="Y577" i="4" s="1"/>
  <c r="L576" i="4"/>
  <c r="Z576" i="4" s="1"/>
  <c r="L575" i="4"/>
  <c r="Z575" i="4" s="1"/>
  <c r="L574" i="4"/>
  <c r="Z574" i="4" s="1"/>
  <c r="L573" i="4"/>
  <c r="Z573" i="4" s="1"/>
  <c r="L572" i="4"/>
  <c r="Z572" i="4" s="1"/>
  <c r="L571" i="4"/>
  <c r="Z571" i="4" s="1"/>
  <c r="L570" i="4"/>
  <c r="L569" i="4"/>
  <c r="L188" i="4"/>
  <c r="L187" i="4"/>
  <c r="L186" i="4"/>
  <c r="Z186" i="4" s="1"/>
  <c r="L185" i="4"/>
  <c r="Z185" i="4" s="1"/>
  <c r="L184" i="4"/>
  <c r="Z184" i="4" s="1"/>
  <c r="L183" i="4"/>
  <c r="Z183" i="4" s="1"/>
  <c r="L182" i="4"/>
  <c r="Z182" i="4" s="1"/>
  <c r="L181" i="4"/>
  <c r="Z181" i="4" s="1"/>
  <c r="L180" i="4"/>
  <c r="Y180" i="4" s="1"/>
  <c r="L179" i="4"/>
  <c r="L178" i="4"/>
  <c r="Z178" i="4" s="1"/>
  <c r="L177" i="4"/>
  <c r="Y177" i="4" s="1"/>
  <c r="L176" i="4"/>
  <c r="Z176" i="4" s="1"/>
  <c r="L175" i="4"/>
  <c r="Z175" i="4" s="1"/>
  <c r="L568" i="4"/>
  <c r="Z568" i="4" s="1"/>
  <c r="L567" i="4"/>
  <c r="Z567" i="4" s="1"/>
  <c r="L566" i="4"/>
  <c r="Z566" i="4" s="1"/>
  <c r="L565" i="4"/>
  <c r="Z565" i="4" s="1"/>
  <c r="L564" i="4"/>
  <c r="Y564" i="4" s="1"/>
  <c r="L563" i="4"/>
  <c r="L562" i="4"/>
  <c r="Y562" i="4" s="1"/>
  <c r="L561" i="4"/>
  <c r="Y561" i="4" s="1"/>
  <c r="L560" i="4"/>
  <c r="Z560" i="4" s="1"/>
  <c r="L559" i="4"/>
  <c r="Z559" i="4" s="1"/>
  <c r="L558" i="4"/>
  <c r="L557" i="4"/>
  <c r="L556" i="4"/>
  <c r="Z556" i="4" s="1"/>
  <c r="L555" i="4"/>
  <c r="Z555" i="4" s="1"/>
  <c r="L554" i="4"/>
  <c r="Y554" i="4" s="1"/>
  <c r="L553" i="4"/>
  <c r="L552" i="4"/>
  <c r="Y552" i="4" s="1"/>
  <c r="L551" i="4"/>
  <c r="Y551" i="4" s="1"/>
  <c r="L174" i="4"/>
  <c r="Y174" i="4" s="1"/>
  <c r="L173" i="4"/>
  <c r="Z173" i="4" s="1"/>
  <c r="L172" i="4"/>
  <c r="Z172" i="4" s="1"/>
  <c r="L171" i="4"/>
  <c r="Y171" i="4" s="1"/>
  <c r="L170" i="4"/>
  <c r="L169" i="4"/>
  <c r="L168" i="4"/>
  <c r="Y168" i="4" s="1"/>
  <c r="L167" i="4"/>
  <c r="L166" i="4"/>
  <c r="Z166" i="4" s="1"/>
  <c r="L165" i="4"/>
  <c r="Y165" i="4" s="1"/>
  <c r="L164" i="4"/>
  <c r="Z164" i="4" s="1"/>
  <c r="L163" i="4"/>
  <c r="Z163" i="4" s="1"/>
  <c r="L162" i="4"/>
  <c r="Z162" i="4" s="1"/>
  <c r="L161" i="4"/>
  <c r="Z161" i="4" s="1"/>
  <c r="L550" i="4"/>
  <c r="Y550" i="4" s="1"/>
  <c r="L549" i="4"/>
  <c r="Z549" i="4" s="1"/>
  <c r="L548" i="4"/>
  <c r="L547" i="4"/>
  <c r="L546" i="4"/>
  <c r="L545" i="4"/>
  <c r="L544" i="4"/>
  <c r="Z544" i="4" s="1"/>
  <c r="L543" i="4"/>
  <c r="Z543" i="4" s="1"/>
  <c r="L542" i="4"/>
  <c r="Z542" i="4" s="1"/>
  <c r="L541" i="4"/>
  <c r="Z541" i="4" s="1"/>
  <c r="L540" i="4"/>
  <c r="Z540" i="4" s="1"/>
  <c r="L539" i="4"/>
  <c r="Y539" i="4" s="1"/>
  <c r="L538" i="4"/>
  <c r="Y538" i="4" s="1"/>
  <c r="L537" i="4"/>
  <c r="L536" i="4"/>
  <c r="Y536" i="4" s="1"/>
  <c r="L535" i="4"/>
  <c r="Y535" i="4" s="1"/>
  <c r="L534" i="4"/>
  <c r="Z534" i="4" s="1"/>
  <c r="L533" i="4"/>
  <c r="L160" i="4"/>
  <c r="Z160" i="4" s="1"/>
  <c r="L159" i="4"/>
  <c r="Y159" i="4" s="1"/>
  <c r="L158" i="4"/>
  <c r="Z158" i="4" s="1"/>
  <c r="L157" i="4"/>
  <c r="Z157" i="4" s="1"/>
  <c r="L156" i="4"/>
  <c r="Y156" i="4" s="1"/>
  <c r="L155" i="4"/>
  <c r="L154" i="4"/>
  <c r="Z154" i="4" s="1"/>
  <c r="L153" i="4"/>
  <c r="Y153" i="4" s="1"/>
  <c r="L152" i="4"/>
  <c r="Y152" i="4" s="1"/>
  <c r="L151" i="4"/>
  <c r="Z151" i="4" s="1"/>
  <c r="L150" i="4"/>
  <c r="Z150" i="4" s="1"/>
  <c r="L149" i="4"/>
  <c r="L148" i="4"/>
  <c r="Z148" i="4" s="1"/>
  <c r="L532" i="4"/>
  <c r="Y532" i="4" s="1"/>
  <c r="L531" i="4"/>
  <c r="Y531" i="4" s="1"/>
  <c r="L530" i="4"/>
  <c r="L529" i="4"/>
  <c r="Y529" i="4" s="1"/>
  <c r="L528" i="4"/>
  <c r="Y528" i="4" s="1"/>
  <c r="L527" i="4"/>
  <c r="Z527" i="4" s="1"/>
  <c r="L526" i="4"/>
  <c r="Z526" i="4" s="1"/>
  <c r="L525" i="4"/>
  <c r="Z525" i="4" s="1"/>
  <c r="L524" i="4"/>
  <c r="Z524" i="4" s="1"/>
  <c r="L523" i="4"/>
  <c r="L522" i="4"/>
  <c r="L521" i="4"/>
  <c r="Y521" i="4" s="1"/>
  <c r="L520" i="4"/>
  <c r="L519" i="4"/>
  <c r="Z519" i="4" s="1"/>
  <c r="L147" i="4"/>
  <c r="Y147" i="4" s="1"/>
  <c r="L146" i="4"/>
  <c r="Z146" i="4" s="1"/>
  <c r="L145" i="4"/>
  <c r="Z145" i="4" s="1"/>
  <c r="L144" i="4"/>
  <c r="Y144" i="4" s="1"/>
  <c r="L143" i="4"/>
  <c r="Z143" i="4" s="1"/>
  <c r="L142" i="4"/>
  <c r="Y142" i="4" s="1"/>
  <c r="L141" i="4"/>
  <c r="Y141" i="4" s="1"/>
  <c r="L140" i="4"/>
  <c r="L139" i="4"/>
  <c r="L518" i="4"/>
  <c r="L517" i="4"/>
  <c r="L516" i="4"/>
  <c r="Z516" i="4" s="1"/>
  <c r="L515" i="4"/>
  <c r="Z515" i="4" s="1"/>
  <c r="L514" i="4"/>
  <c r="Y514" i="4" s="1"/>
  <c r="L513" i="4"/>
  <c r="Z513" i="4" s="1"/>
  <c r="L512" i="4"/>
  <c r="Z512" i="4" s="1"/>
  <c r="L511" i="4"/>
  <c r="Y511" i="4" s="1"/>
  <c r="L510" i="4"/>
  <c r="Y510" i="4" s="1"/>
  <c r="L509" i="4"/>
  <c r="L508" i="4"/>
  <c r="Z508" i="4" s="1"/>
  <c r="L507" i="4"/>
  <c r="Y507" i="4" s="1"/>
  <c r="L506" i="4"/>
  <c r="Z506" i="4" s="1"/>
  <c r="L505" i="4"/>
  <c r="Z505" i="4" s="1"/>
  <c r="L138" i="4"/>
  <c r="Z138" i="4" s="1"/>
  <c r="L137" i="4"/>
  <c r="Z137" i="4" s="1"/>
  <c r="L136" i="4"/>
  <c r="Z136" i="4" s="1"/>
  <c r="L135" i="4"/>
  <c r="Z135" i="4" s="1"/>
  <c r="L134" i="4"/>
  <c r="Y134" i="4" s="1"/>
  <c r="L133" i="4"/>
  <c r="L132" i="4"/>
  <c r="Y132" i="4" s="1"/>
  <c r="L131" i="4"/>
  <c r="Y131" i="4" s="1"/>
  <c r="L130" i="4"/>
  <c r="Z130" i="4" s="1"/>
  <c r="L504" i="4"/>
  <c r="Y504" i="4" s="1"/>
  <c r="L503" i="4"/>
  <c r="L502" i="4"/>
  <c r="L501" i="4"/>
  <c r="Y501" i="4" s="1"/>
  <c r="L500" i="4"/>
  <c r="Z500" i="4" s="1"/>
  <c r="L499" i="4"/>
  <c r="Y499" i="4" s="1"/>
  <c r="L498" i="4"/>
  <c r="L497" i="4"/>
  <c r="Y497" i="4" s="1"/>
  <c r="L496" i="4"/>
  <c r="Y496" i="4" s="1"/>
  <c r="L495" i="4"/>
  <c r="Z495" i="4" s="1"/>
  <c r="L494" i="4"/>
  <c r="Z494" i="4" s="1"/>
  <c r="L493" i="4"/>
  <c r="Z493" i="4" s="1"/>
  <c r="L492" i="4"/>
  <c r="Y492" i="4" s="1"/>
  <c r="L491" i="4"/>
  <c r="L129" i="4"/>
  <c r="L128" i="4"/>
  <c r="Y128" i="4" s="1"/>
  <c r="L127" i="4"/>
  <c r="L126" i="4"/>
  <c r="Y126" i="4" s="1"/>
  <c r="L125" i="4"/>
  <c r="Y125" i="4" s="1"/>
  <c r="L124" i="4"/>
  <c r="Y124" i="4" s="1"/>
  <c r="L123" i="4"/>
  <c r="Z123" i="4" s="1"/>
  <c r="L122" i="4"/>
  <c r="Z122" i="4" s="1"/>
  <c r="L121" i="4"/>
  <c r="Y121" i="4" s="1"/>
  <c r="L120" i="4"/>
  <c r="Y120" i="4" s="1"/>
  <c r="L490" i="4"/>
  <c r="Y490" i="4" s="1"/>
  <c r="L489" i="4"/>
  <c r="L488" i="4"/>
  <c r="L487" i="4"/>
  <c r="L486" i="4"/>
  <c r="L485" i="4"/>
  <c r="Y485" i="4" s="1"/>
  <c r="L484" i="4"/>
  <c r="Z484" i="4" s="1"/>
  <c r="L483" i="4"/>
  <c r="Y483" i="4" s="1"/>
  <c r="L482" i="4"/>
  <c r="Z482" i="4" s="1"/>
  <c r="L481" i="4"/>
  <c r="Z481" i="4" s="1"/>
  <c r="L480" i="4"/>
  <c r="Z480" i="4" s="1"/>
  <c r="L479" i="4"/>
  <c r="Y479" i="4" s="1"/>
  <c r="L478" i="4"/>
  <c r="L477" i="4"/>
  <c r="Z477" i="4" s="1"/>
  <c r="L119" i="4"/>
  <c r="Y119" i="4" s="1"/>
  <c r="L118" i="4"/>
  <c r="Z118" i="4" s="1"/>
  <c r="L117" i="4"/>
  <c r="L116" i="4"/>
  <c r="Y116" i="4" s="1"/>
  <c r="L115" i="4"/>
  <c r="Z115" i="4" s="1"/>
  <c r="L114" i="4"/>
  <c r="Y114" i="4" s="1"/>
  <c r="L113" i="4"/>
  <c r="Z113" i="4" s="1"/>
  <c r="L112" i="4"/>
  <c r="Y112" i="4" s="1"/>
  <c r="L111" i="4"/>
  <c r="L110" i="4"/>
  <c r="Y110" i="4" s="1"/>
  <c r="L476" i="4"/>
  <c r="Y476" i="4" s="1"/>
  <c r="L475" i="4"/>
  <c r="Z475" i="4" s="1"/>
  <c r="L474" i="4"/>
  <c r="Y474" i="4" s="1"/>
  <c r="L473" i="4"/>
  <c r="Z473" i="4" s="1"/>
  <c r="L472" i="4"/>
  <c r="L471" i="4"/>
  <c r="Z471" i="4" s="1"/>
  <c r="L470" i="4"/>
  <c r="Z470" i="4" s="1"/>
  <c r="L469" i="4"/>
  <c r="Y469" i="4" s="1"/>
  <c r="L468" i="4"/>
  <c r="L467" i="4"/>
  <c r="Y467" i="4" s="1"/>
  <c r="L109" i="4"/>
  <c r="Y109" i="4" s="1"/>
  <c r="L108" i="4"/>
  <c r="Z108" i="4" s="1"/>
  <c r="L107" i="4"/>
  <c r="Z107" i="4" s="1"/>
  <c r="L106" i="4"/>
  <c r="Z106" i="4" s="1"/>
  <c r="L105" i="4"/>
  <c r="Y105" i="4" s="1"/>
  <c r="L104" i="4"/>
  <c r="L103" i="4"/>
  <c r="L102" i="4"/>
  <c r="Y102" i="4" s="1"/>
  <c r="L101" i="4"/>
  <c r="L100" i="4"/>
  <c r="Z100" i="4" s="1"/>
  <c r="L99" i="4"/>
  <c r="Y99" i="4" s="1"/>
  <c r="L98" i="4"/>
  <c r="Z98" i="4" s="1"/>
  <c r="L97" i="4"/>
  <c r="Z97" i="4" s="1"/>
  <c r="L96" i="4"/>
  <c r="Z96" i="4" s="1"/>
  <c r="L466" i="4"/>
  <c r="Z466" i="4" s="1"/>
  <c r="L465" i="4"/>
  <c r="Z465" i="4" s="1"/>
  <c r="L464" i="4"/>
  <c r="Z464" i="4" s="1"/>
  <c r="L463" i="4"/>
  <c r="L462" i="4"/>
  <c r="L461" i="4"/>
  <c r="L460" i="4"/>
  <c r="L459" i="4"/>
  <c r="Z459" i="4" s="1"/>
  <c r="L458" i="4"/>
  <c r="Z458" i="4" s="1"/>
  <c r="L457" i="4"/>
  <c r="Z457" i="4" s="1"/>
  <c r="L95" i="4"/>
  <c r="Z95" i="4" s="1"/>
  <c r="L94" i="4"/>
  <c r="Z94" i="4" s="1"/>
  <c r="L93" i="4"/>
  <c r="Z93" i="4" s="1"/>
  <c r="L92" i="4"/>
  <c r="Y92" i="4" s="1"/>
  <c r="L91" i="4"/>
  <c r="L90" i="4"/>
  <c r="Z90" i="4" s="1"/>
  <c r="L89" i="4"/>
  <c r="Y89" i="4" s="1"/>
  <c r="L88" i="4"/>
  <c r="Z88" i="4" s="1"/>
  <c r="L87" i="4"/>
  <c r="Z87" i="4" s="1"/>
  <c r="L86" i="4"/>
  <c r="Z86" i="4" s="1"/>
  <c r="L85" i="4"/>
  <c r="Z85" i="4" s="1"/>
  <c r="L84" i="4"/>
  <c r="Y84" i="4" s="1"/>
  <c r="L83" i="4"/>
  <c r="Z83" i="4" s="1"/>
  <c r="L82" i="4"/>
  <c r="Y82" i="4" s="1"/>
  <c r="L456" i="4"/>
  <c r="L455" i="4"/>
  <c r="Z455" i="4" s="1"/>
  <c r="L454" i="4"/>
  <c r="Y454" i="4" s="1"/>
  <c r="L453" i="4"/>
  <c r="Z453" i="4" s="1"/>
  <c r="L452" i="4"/>
  <c r="Z452" i="4" s="1"/>
  <c r="L451" i="4"/>
  <c r="L450" i="4"/>
  <c r="L449" i="4"/>
  <c r="Y449" i="4" s="1"/>
  <c r="L448" i="4"/>
  <c r="Y448" i="4" s="1"/>
  <c r="L447" i="4"/>
  <c r="Y447" i="4" s="1"/>
  <c r="L81" i="4"/>
  <c r="L80" i="4"/>
  <c r="Y80" i="4" s="1"/>
  <c r="L79" i="4"/>
  <c r="Y79" i="4" s="1"/>
  <c r="L78" i="4"/>
  <c r="Z78" i="4" s="1"/>
  <c r="L77" i="4"/>
  <c r="Y77" i="4" s="1"/>
  <c r="L76" i="4"/>
  <c r="Y76" i="4" s="1"/>
  <c r="L75" i="4"/>
  <c r="Y75" i="4" s="1"/>
  <c r="L74" i="4"/>
  <c r="L73" i="4"/>
  <c r="L72" i="4"/>
  <c r="Y72" i="4" s="1"/>
  <c r="L71" i="4"/>
  <c r="L70" i="4"/>
  <c r="Z70" i="4" s="1"/>
  <c r="L69" i="4"/>
  <c r="Y69" i="4" s="1"/>
  <c r="L68" i="4"/>
  <c r="Z68" i="4" s="1"/>
  <c r="L446" i="4"/>
  <c r="Z446" i="4" s="1"/>
  <c r="L445" i="4"/>
  <c r="Z445" i="4" s="1"/>
  <c r="L444" i="4"/>
  <c r="Z444" i="4" s="1"/>
  <c r="L443" i="4"/>
  <c r="Z443" i="4" s="1"/>
  <c r="L442" i="4"/>
  <c r="Z442" i="4" s="1"/>
  <c r="L441" i="4"/>
  <c r="L440" i="4"/>
  <c r="L439" i="4"/>
  <c r="L438" i="4"/>
  <c r="L437" i="4"/>
  <c r="Z437" i="4" s="1"/>
  <c r="L67" i="4"/>
  <c r="Y67" i="4" s="1"/>
  <c r="L66" i="4"/>
  <c r="Y66" i="4" s="1"/>
  <c r="L65" i="4"/>
  <c r="Z65" i="4" s="1"/>
  <c r="L64" i="4"/>
  <c r="Y64" i="4" s="1"/>
  <c r="L63" i="4"/>
  <c r="Y63" i="4" s="1"/>
  <c r="L62" i="4"/>
  <c r="Y62" i="4" s="1"/>
  <c r="L61" i="4"/>
  <c r="Z61" i="4" s="1"/>
  <c r="L60" i="4"/>
  <c r="Z60" i="4" s="1"/>
  <c r="L59" i="4"/>
  <c r="L58" i="4"/>
  <c r="Z58" i="4" s="1"/>
  <c r="L57" i="4"/>
  <c r="Z57" i="4" s="1"/>
  <c r="L56" i="4"/>
  <c r="Z56" i="4" s="1"/>
  <c r="L55" i="4"/>
  <c r="Y55" i="4" s="1"/>
  <c r="L54" i="4"/>
  <c r="Y54" i="4" s="1"/>
  <c r="L436" i="4"/>
  <c r="Z436" i="4" s="1"/>
  <c r="L435" i="4"/>
  <c r="Y435" i="4" s="1"/>
  <c r="L434" i="4"/>
  <c r="Z434" i="4" s="1"/>
  <c r="L433" i="4"/>
  <c r="Z433" i="4" s="1"/>
  <c r="L432" i="4"/>
  <c r="Y432" i="4" s="1"/>
  <c r="L431" i="4"/>
  <c r="Z431" i="4" s="1"/>
  <c r="L430" i="4"/>
  <c r="Z430" i="4" s="1"/>
  <c r="L429" i="4"/>
  <c r="Z429" i="4" s="1"/>
  <c r="L53" i="4"/>
  <c r="Z53" i="4" s="1"/>
  <c r="L52" i="4"/>
  <c r="Z52" i="4" s="1"/>
  <c r="L51" i="4"/>
  <c r="Z51" i="4" s="1"/>
  <c r="L50" i="4"/>
  <c r="L49" i="4"/>
  <c r="Z49" i="4" s="1"/>
  <c r="L48" i="4"/>
  <c r="Y48" i="4" s="1"/>
  <c r="L47" i="4"/>
  <c r="Y47" i="4" s="1"/>
  <c r="L46" i="4"/>
  <c r="Z46" i="4" s="1"/>
  <c r="L45" i="4"/>
  <c r="Z45" i="4" s="1"/>
  <c r="L44" i="4"/>
  <c r="Y44" i="4" s="1"/>
  <c r="L43" i="4"/>
  <c r="L42" i="4"/>
  <c r="Z42" i="4" s="1"/>
  <c r="L428" i="4"/>
  <c r="Y428" i="4" s="1"/>
  <c r="L427" i="4"/>
  <c r="Y427" i="4" s="1"/>
  <c r="L426" i="4"/>
  <c r="Z426" i="4" s="1"/>
  <c r="L425" i="4"/>
  <c r="Y425" i="4" s="1"/>
  <c r="L424" i="4"/>
  <c r="Y424" i="4" s="1"/>
  <c r="L423" i="4"/>
  <c r="Y423" i="4" s="1"/>
  <c r="L422" i="4"/>
  <c r="Y422" i="4" s="1"/>
  <c r="L421" i="4"/>
  <c r="Z421" i="4" s="1"/>
  <c r="L41" i="4"/>
  <c r="Y41" i="4" s="1"/>
  <c r="L40" i="4"/>
  <c r="L39" i="4"/>
  <c r="L38" i="4"/>
  <c r="Y38" i="4" s="1"/>
  <c r="L37" i="4"/>
  <c r="Z37" i="4" s="1"/>
  <c r="L36" i="4"/>
  <c r="Z36" i="4" s="1"/>
  <c r="L35" i="4"/>
  <c r="Y35" i="4" s="1"/>
  <c r="L34" i="4"/>
  <c r="Y34" i="4" s="1"/>
  <c r="L33" i="4"/>
  <c r="Y33" i="4" s="1"/>
  <c r="L32" i="4"/>
  <c r="Z32" i="4" s="1"/>
  <c r="L31" i="4"/>
  <c r="Z31" i="4" s="1"/>
  <c r="L420" i="4"/>
  <c r="Y420" i="4" s="1"/>
  <c r="L419" i="4"/>
  <c r="Y419" i="4" s="1"/>
  <c r="L418" i="4"/>
  <c r="L417" i="4"/>
  <c r="L416" i="4"/>
  <c r="Z416" i="4" s="1"/>
  <c r="L415" i="4"/>
  <c r="Y415" i="4" s="1"/>
  <c r="L414" i="4"/>
  <c r="Z414" i="4" s="1"/>
  <c r="L413" i="4"/>
  <c r="Z413" i="4" s="1"/>
  <c r="L30" i="4"/>
  <c r="Z30" i="4" s="1"/>
  <c r="L29" i="4"/>
  <c r="Z29" i="4" s="1"/>
  <c r="L28" i="4"/>
  <c r="Z28" i="4" s="1"/>
  <c r="L27" i="4"/>
  <c r="Y27" i="4" s="1"/>
  <c r="L26" i="4"/>
  <c r="Y26" i="4" s="1"/>
  <c r="L25" i="4"/>
  <c r="Z25" i="4" s="1"/>
  <c r="L24" i="4"/>
  <c r="L23" i="4"/>
  <c r="L22" i="4"/>
  <c r="Z22" i="4" s="1"/>
  <c r="L21" i="4"/>
  <c r="Z21" i="4" s="1"/>
  <c r="L20" i="4"/>
  <c r="Z20" i="4" s="1"/>
  <c r="L412" i="4"/>
  <c r="Y412" i="4" s="1"/>
  <c r="L411" i="4"/>
  <c r="Y411" i="4" s="1"/>
  <c r="L410" i="4"/>
  <c r="Z410" i="4" s="1"/>
  <c r="L409" i="4"/>
  <c r="Y409" i="4" s="1"/>
  <c r="L408" i="4"/>
  <c r="Z408" i="4" s="1"/>
  <c r="L407" i="4"/>
  <c r="Z407" i="4" s="1"/>
  <c r="L406" i="4"/>
  <c r="Y406" i="4" s="1"/>
  <c r="L405" i="4"/>
  <c r="Z405" i="4" s="1"/>
  <c r="L19" i="4"/>
  <c r="Z19" i="4" s="1"/>
  <c r="L18" i="4"/>
  <c r="Z18" i="4" s="1"/>
  <c r="L17" i="4"/>
  <c r="Z17" i="4" s="1"/>
  <c r="L16" i="4"/>
  <c r="Z16" i="4" s="1"/>
  <c r="L15" i="4"/>
  <c r="Z15" i="4" s="1"/>
  <c r="L14" i="4"/>
  <c r="Y14" i="4" s="1"/>
  <c r="L13" i="4"/>
  <c r="Z13" i="4" s="1"/>
  <c r="L12" i="4"/>
  <c r="Z12" i="4" s="1"/>
  <c r="L11" i="4"/>
  <c r="Y11" i="4" s="1"/>
  <c r="L10" i="4"/>
  <c r="Y10" i="4" s="1"/>
  <c r="Z359" i="4" l="1"/>
  <c r="Y130" i="4"/>
  <c r="Z514" i="4"/>
  <c r="Z708" i="4"/>
  <c r="Y740" i="4"/>
  <c r="Y789" i="4"/>
  <c r="Y794" i="4"/>
  <c r="Y311" i="4"/>
  <c r="Z131" i="4"/>
  <c r="Y586" i="4"/>
  <c r="Z339" i="4"/>
  <c r="Z617" i="4"/>
  <c r="Z347" i="4"/>
  <c r="Z618" i="4"/>
  <c r="Z355" i="4"/>
  <c r="Y233" i="4"/>
  <c r="Z266" i="4"/>
  <c r="Z826" i="4"/>
  <c r="Z665" i="4"/>
  <c r="Z828" i="4"/>
  <c r="Z47" i="4"/>
  <c r="Z280" i="4"/>
  <c r="Z371" i="4"/>
  <c r="Y436" i="4"/>
  <c r="Y669" i="4"/>
  <c r="Z372" i="4"/>
  <c r="Y57" i="4"/>
  <c r="Y68" i="4"/>
  <c r="Y293" i="4"/>
  <c r="Y515" i="4"/>
  <c r="Y459" i="4"/>
  <c r="Y303" i="4"/>
  <c r="Y583" i="4"/>
  <c r="Y108" i="4"/>
  <c r="Z707" i="4"/>
  <c r="I10" i="15"/>
  <c r="I234" i="15" s="1"/>
  <c r="J10" i="15"/>
  <c r="J234" i="15" s="1"/>
  <c r="H10" i="15"/>
  <c r="H570" i="15" s="1"/>
  <c r="H10" i="20"/>
  <c r="L10" i="21"/>
  <c r="K10" i="21"/>
  <c r="I10" i="21"/>
  <c r="H10" i="21"/>
  <c r="L10" i="20"/>
  <c r="K10" i="20"/>
  <c r="L10" i="15"/>
  <c r="L570" i="15" s="1"/>
  <c r="J10" i="20"/>
  <c r="K10" i="15"/>
  <c r="K178" i="15" s="1"/>
  <c r="I10" i="20"/>
  <c r="J10" i="21"/>
  <c r="Z231" i="4"/>
  <c r="Z310" i="4"/>
  <c r="Z54" i="4"/>
  <c r="Z55" i="4"/>
  <c r="Z637" i="4"/>
  <c r="Y830" i="4"/>
  <c r="Z159" i="4"/>
  <c r="Y361" i="4"/>
  <c r="Z539" i="4"/>
  <c r="Y95" i="4"/>
  <c r="Z550" i="4"/>
  <c r="Z753" i="4"/>
  <c r="Y457" i="4"/>
  <c r="Y164" i="4"/>
  <c r="Z282" i="4"/>
  <c r="Z326" i="4"/>
  <c r="Y186" i="4"/>
  <c r="Y283" i="4"/>
  <c r="Z328" i="4"/>
  <c r="Y458" i="4"/>
  <c r="Z578" i="4"/>
  <c r="Z767" i="4"/>
  <c r="Z580" i="4"/>
  <c r="Y284" i="4"/>
  <c r="Y335" i="4"/>
  <c r="Z189" i="4"/>
  <c r="Y811" i="4"/>
  <c r="Z10" i="4"/>
  <c r="Z124" i="4"/>
  <c r="Y210" i="4"/>
  <c r="Z34" i="4"/>
  <c r="Z125" i="4"/>
  <c r="Y706" i="4"/>
  <c r="Y819" i="4"/>
  <c r="Z102" i="4"/>
  <c r="Z705" i="4"/>
  <c r="Y46" i="4"/>
  <c r="Z499" i="4"/>
  <c r="Z353" i="4"/>
  <c r="Z126" i="4"/>
  <c r="Y166" i="4"/>
  <c r="Y464" i="4"/>
  <c r="Z193" i="4"/>
  <c r="Z14" i="4"/>
  <c r="Z562" i="4"/>
  <c r="Y15" i="4"/>
  <c r="Z63" i="4"/>
  <c r="Y175" i="4"/>
  <c r="Y597" i="4"/>
  <c r="Z253" i="4"/>
  <c r="Y795" i="4"/>
  <c r="Y22" i="4"/>
  <c r="Y444" i="4"/>
  <c r="Z109" i="4"/>
  <c r="Y181" i="4"/>
  <c r="Y601" i="4"/>
  <c r="Z636" i="4"/>
  <c r="Y292" i="4"/>
  <c r="Z312" i="4"/>
  <c r="Y831" i="4"/>
  <c r="Z420" i="4"/>
  <c r="Z467" i="4"/>
  <c r="Z141" i="4"/>
  <c r="Z205" i="4"/>
  <c r="Y313" i="4"/>
  <c r="Z33" i="4"/>
  <c r="Y480" i="4"/>
  <c r="Z529" i="4"/>
  <c r="Y182" i="4"/>
  <c r="Z641" i="4"/>
  <c r="Z734" i="4"/>
  <c r="Z340" i="4"/>
  <c r="Y832" i="4"/>
  <c r="Z48" i="4"/>
  <c r="Y844" i="4"/>
  <c r="Z619" i="4"/>
  <c r="Y220" i="4"/>
  <c r="Y771" i="4"/>
  <c r="Z823" i="4"/>
  <c r="Y60" i="4"/>
  <c r="Z594" i="4"/>
  <c r="Y835" i="4"/>
  <c r="Y42" i="4"/>
  <c r="Z449" i="4"/>
  <c r="Z485" i="4"/>
  <c r="Z152" i="4"/>
  <c r="Y183" i="4"/>
  <c r="Z211" i="4"/>
  <c r="Z645" i="4"/>
  <c r="Z683" i="4"/>
  <c r="Z796" i="4"/>
  <c r="Z842" i="4"/>
  <c r="Z755" i="4"/>
  <c r="Z536" i="4"/>
  <c r="Y666" i="4"/>
  <c r="Z783" i="4"/>
  <c r="Z168" i="4"/>
  <c r="Z132" i="4"/>
  <c r="Z623" i="4"/>
  <c r="Z532" i="4"/>
  <c r="Y642" i="4"/>
  <c r="Z44" i="4"/>
  <c r="Y453" i="4"/>
  <c r="Z120" i="4"/>
  <c r="Z153" i="4"/>
  <c r="Y184" i="4"/>
  <c r="Z212" i="4"/>
  <c r="Y258" i="4"/>
  <c r="Z699" i="4"/>
  <c r="Z316" i="4"/>
  <c r="Z806" i="4"/>
  <c r="Y843" i="4"/>
  <c r="Y45" i="4"/>
  <c r="Z121" i="4"/>
  <c r="Y154" i="4"/>
  <c r="Y616" i="4"/>
  <c r="Y261" i="4"/>
  <c r="Y298" i="4"/>
  <c r="Z747" i="4"/>
  <c r="Z345" i="4"/>
  <c r="Z264" i="4"/>
  <c r="Y709" i="4"/>
  <c r="Y244" i="4"/>
  <c r="Z72" i="4"/>
  <c r="Z295" i="4"/>
  <c r="Y455" i="4"/>
  <c r="Z156" i="4"/>
  <c r="Y185" i="4"/>
  <c r="Y262" i="4"/>
  <c r="Y750" i="4"/>
  <c r="Y346" i="4"/>
  <c r="Y158" i="4"/>
  <c r="Z302" i="4"/>
  <c r="Y12" i="4"/>
  <c r="Y36" i="4"/>
  <c r="Z423" i="4"/>
  <c r="Z428" i="4"/>
  <c r="Y317" i="4"/>
  <c r="Z76" i="4"/>
  <c r="Y414" i="4"/>
  <c r="Y145" i="4"/>
  <c r="Y172" i="4"/>
  <c r="Z602" i="4"/>
  <c r="Z626" i="4"/>
  <c r="Y270" i="4"/>
  <c r="Y349" i="4"/>
  <c r="Z77" i="4"/>
  <c r="Y146" i="4"/>
  <c r="Z319" i="4"/>
  <c r="Y774" i="4"/>
  <c r="Z419" i="4"/>
  <c r="Y78" i="4"/>
  <c r="Z474" i="4"/>
  <c r="Z134" i="4"/>
  <c r="Y173" i="4"/>
  <c r="Y206" i="4"/>
  <c r="Y628" i="4"/>
  <c r="Z644" i="4"/>
  <c r="Y653" i="4"/>
  <c r="Y687" i="4"/>
  <c r="Y728" i="4"/>
  <c r="Y320" i="4"/>
  <c r="Y350" i="4"/>
  <c r="Y18" i="4"/>
  <c r="Y475" i="4"/>
  <c r="Y135" i="4"/>
  <c r="Z147" i="4"/>
  <c r="Y285" i="4"/>
  <c r="Y775" i="4"/>
  <c r="Y351" i="4"/>
  <c r="Y413" i="4"/>
  <c r="Y138" i="4"/>
  <c r="Y519" i="4"/>
  <c r="Y654" i="4"/>
  <c r="Y688" i="4"/>
  <c r="Y729" i="4"/>
  <c r="Z476" i="4"/>
  <c r="Y542" i="4"/>
  <c r="Z174" i="4"/>
  <c r="Y223" i="4"/>
  <c r="Y407" i="4"/>
  <c r="Z35" i="4"/>
  <c r="Y51" i="4"/>
  <c r="Z66" i="4"/>
  <c r="Z454" i="4"/>
  <c r="Y97" i="4"/>
  <c r="Z110" i="4"/>
  <c r="Y493" i="4"/>
  <c r="Z511" i="4"/>
  <c r="Y524" i="4"/>
  <c r="Y543" i="4"/>
  <c r="Y559" i="4"/>
  <c r="Z197" i="4"/>
  <c r="Y224" i="4"/>
  <c r="Z632" i="4"/>
  <c r="Y649" i="4"/>
  <c r="Z660" i="4"/>
  <c r="Z674" i="4"/>
  <c r="Z694" i="4"/>
  <c r="Z711" i="4"/>
  <c r="Z735" i="4"/>
  <c r="Y332" i="4"/>
  <c r="Y341" i="4"/>
  <c r="Y19" i="4"/>
  <c r="Y96" i="4"/>
  <c r="Y98" i="4"/>
  <c r="Z112" i="4"/>
  <c r="Y512" i="4"/>
  <c r="Y571" i="4"/>
  <c r="Y198" i="4"/>
  <c r="Z229" i="4"/>
  <c r="Y677" i="4"/>
  <c r="Y715" i="4"/>
  <c r="Y736" i="4"/>
  <c r="Y365" i="4"/>
  <c r="Z406" i="4"/>
  <c r="Y635" i="4"/>
  <c r="Y408" i="4"/>
  <c r="Y429" i="4"/>
  <c r="Z67" i="4"/>
  <c r="Y113" i="4"/>
  <c r="Y494" i="4"/>
  <c r="Y527" i="4"/>
  <c r="Y544" i="4"/>
  <c r="Y560" i="4"/>
  <c r="Z214" i="4"/>
  <c r="Y230" i="4"/>
  <c r="Z238" i="4"/>
  <c r="Y650" i="4"/>
  <c r="Z663" i="4"/>
  <c r="Y342" i="4"/>
  <c r="Y354" i="4"/>
  <c r="Z144" i="4"/>
  <c r="Y318" i="4"/>
  <c r="Z629" i="4"/>
  <c r="Y630" i="4"/>
  <c r="Y648" i="4"/>
  <c r="Y776" i="4"/>
  <c r="Y505" i="4"/>
  <c r="Z409" i="4"/>
  <c r="Y37" i="4"/>
  <c r="Y431" i="4"/>
  <c r="Y437" i="4"/>
  <c r="Z82" i="4"/>
  <c r="Z99" i="4"/>
  <c r="Z114" i="4"/>
  <c r="Y513" i="4"/>
  <c r="Y574" i="4"/>
  <c r="Y589" i="4"/>
  <c r="Y605" i="4"/>
  <c r="Y239" i="4"/>
  <c r="Y664" i="4"/>
  <c r="Y678" i="4"/>
  <c r="Z700" i="4"/>
  <c r="Y716" i="4"/>
  <c r="Y738" i="4"/>
  <c r="Z758" i="4"/>
  <c r="Z780" i="4"/>
  <c r="Z804" i="4"/>
  <c r="Y366" i="4"/>
  <c r="Y30" i="4"/>
  <c r="Z128" i="4"/>
  <c r="Z521" i="4"/>
  <c r="Y556" i="4"/>
  <c r="Z798" i="4"/>
  <c r="Y695" i="4"/>
  <c r="Y410" i="4"/>
  <c r="Z38" i="4"/>
  <c r="Y83" i="4"/>
  <c r="Y100" i="4"/>
  <c r="Z119" i="4"/>
  <c r="Y495" i="4"/>
  <c r="Z528" i="4"/>
  <c r="Z561" i="4"/>
  <c r="Y257" i="4"/>
  <c r="Y679" i="4"/>
  <c r="Z297" i="4"/>
  <c r="Y762" i="4"/>
  <c r="Z781" i="4"/>
  <c r="Y421" i="4"/>
  <c r="Z432" i="4"/>
  <c r="Y86" i="4"/>
  <c r="Y575" i="4"/>
  <c r="Y606" i="4"/>
  <c r="Y367" i="4"/>
  <c r="Z411" i="4"/>
  <c r="Y433" i="4"/>
  <c r="Y161" i="4"/>
  <c r="Y576" i="4"/>
  <c r="Y232" i="4"/>
  <c r="Y248" i="4"/>
  <c r="Z680" i="4"/>
  <c r="Z717" i="4"/>
  <c r="Y322" i="4"/>
  <c r="Y787" i="4"/>
  <c r="Y627" i="4"/>
  <c r="Y87" i="4"/>
  <c r="Z483" i="4"/>
  <c r="Y151" i="4"/>
  <c r="Z564" i="4"/>
  <c r="Y607" i="4"/>
  <c r="Y681" i="4"/>
  <c r="Y745" i="4"/>
  <c r="Z422" i="4"/>
  <c r="Y434" i="4"/>
  <c r="Y70" i="4"/>
  <c r="Y94" i="4"/>
  <c r="Z105" i="4"/>
  <c r="Y484" i="4"/>
  <c r="Z501" i="4"/>
  <c r="Y516" i="4"/>
  <c r="Y568" i="4"/>
  <c r="Z577" i="4"/>
  <c r="Y600" i="4"/>
  <c r="Y235" i="4"/>
  <c r="Y249" i="4"/>
  <c r="Z276" i="4"/>
  <c r="Z287" i="4"/>
  <c r="Z301" i="4"/>
  <c r="Z723" i="4"/>
  <c r="Z323" i="4"/>
  <c r="Y788" i="4"/>
  <c r="Z358" i="4"/>
  <c r="Z841" i="4"/>
  <c r="Z27" i="4"/>
  <c r="Z435" i="4"/>
  <c r="Y106" i="4"/>
  <c r="Z504" i="4"/>
  <c r="Z165" i="4"/>
  <c r="Z613" i="4"/>
  <c r="Z263" i="4"/>
  <c r="Y277" i="4"/>
  <c r="Z290" i="4"/>
  <c r="Y324" i="4"/>
  <c r="Z216" i="4"/>
  <c r="Y216" i="4"/>
  <c r="Y481" i="4"/>
  <c r="Z685" i="4"/>
  <c r="Y685" i="4"/>
  <c r="Z40" i="4"/>
  <c r="Y40" i="4"/>
  <c r="Z149" i="4"/>
  <c r="Y149" i="4"/>
  <c r="Z772" i="4"/>
  <c r="Z684" i="4"/>
  <c r="Y786" i="4"/>
  <c r="Y525" i="4"/>
  <c r="Z217" i="4"/>
  <c r="Y251" i="4"/>
  <c r="Y269" i="4"/>
  <c r="Y667" i="4"/>
  <c r="Z689" i="4"/>
  <c r="Y739" i="4"/>
  <c r="Z801" i="4"/>
  <c r="Y812" i="4"/>
  <c r="Y800" i="4"/>
  <c r="Z200" i="4"/>
  <c r="Y418" i="4"/>
  <c r="Z418" i="4"/>
  <c r="Y441" i="4"/>
  <c r="Z441" i="4"/>
  <c r="Y489" i="4"/>
  <c r="Z489" i="4"/>
  <c r="Y548" i="4"/>
  <c r="Z548" i="4"/>
  <c r="Y204" i="4"/>
  <c r="Z204" i="4"/>
  <c r="Y256" i="4"/>
  <c r="Z256" i="4"/>
  <c r="Y307" i="4"/>
  <c r="Z307" i="4"/>
  <c r="Y329" i="4"/>
  <c r="Z329" i="4"/>
  <c r="Y840" i="4"/>
  <c r="Z840" i="4"/>
  <c r="Z11" i="4"/>
  <c r="Z41" i="4"/>
  <c r="Y442" i="4"/>
  <c r="Z84" i="4"/>
  <c r="Y107" i="4"/>
  <c r="Y136" i="4"/>
  <c r="Y157" i="4"/>
  <c r="Y565" i="4"/>
  <c r="Y584" i="4"/>
  <c r="Z202" i="4"/>
  <c r="Z219" i="4"/>
  <c r="Y234" i="4"/>
  <c r="Y690" i="4"/>
  <c r="Y714" i="4"/>
  <c r="Y751" i="4"/>
  <c r="Y330" i="4"/>
  <c r="Z820" i="4"/>
  <c r="Z364" i="4"/>
  <c r="Y369" i="4"/>
  <c r="Y486" i="4"/>
  <c r="Z486" i="4"/>
  <c r="Z604" i="4"/>
  <c r="Y604" i="4"/>
  <c r="Z171" i="4"/>
  <c r="Z440" i="4"/>
  <c r="Y440" i="4"/>
  <c r="Z520" i="4"/>
  <c r="Y520" i="4"/>
  <c r="Z631" i="4"/>
  <c r="Y631" i="4"/>
  <c r="Y237" i="4"/>
  <c r="Z822" i="4"/>
  <c r="Z491" i="4"/>
  <c r="Y491" i="4"/>
  <c r="Z760" i="4"/>
  <c r="Y760" i="4"/>
  <c r="Z75" i="4"/>
  <c r="Y599" i="4"/>
  <c r="Z646" i="4"/>
  <c r="Y299" i="4"/>
  <c r="Y651" i="4"/>
  <c r="Z651" i="4"/>
  <c r="Y304" i="4"/>
  <c r="Z304" i="4"/>
  <c r="Y790" i="4"/>
  <c r="Z790" i="4"/>
  <c r="Z439" i="4"/>
  <c r="Y439" i="4"/>
  <c r="Z546" i="4"/>
  <c r="Y546" i="4"/>
  <c r="Z652" i="4"/>
  <c r="Y652" i="4"/>
  <c r="Z305" i="4"/>
  <c r="Y305" i="4"/>
  <c r="Z250" i="4"/>
  <c r="Y300" i="4"/>
  <c r="Z417" i="4"/>
  <c r="Y417" i="4"/>
  <c r="Z81" i="4"/>
  <c r="Y81" i="4"/>
  <c r="Z91" i="4"/>
  <c r="Y91" i="4"/>
  <c r="Z111" i="4"/>
  <c r="Y111" i="4"/>
  <c r="Z488" i="4"/>
  <c r="Y488" i="4"/>
  <c r="Z509" i="4"/>
  <c r="Y509" i="4"/>
  <c r="Z155" i="4"/>
  <c r="Y155" i="4"/>
  <c r="Z553" i="4"/>
  <c r="Y553" i="4"/>
  <c r="Z179" i="4"/>
  <c r="Y179" i="4"/>
  <c r="Z201" i="4"/>
  <c r="Y201" i="4"/>
  <c r="Z203" i="4"/>
  <c r="Y203" i="4"/>
  <c r="Z228" i="4"/>
  <c r="Y228" i="4"/>
  <c r="Z252" i="4"/>
  <c r="Y252" i="4"/>
  <c r="Z657" i="4"/>
  <c r="Y657" i="4"/>
  <c r="Z281" i="4"/>
  <c r="Y281" i="4"/>
  <c r="Z691" i="4"/>
  <c r="Y691" i="4"/>
  <c r="Z306" i="4"/>
  <c r="Y306" i="4"/>
  <c r="Z733" i="4"/>
  <c r="Y733" i="4"/>
  <c r="Z325" i="4"/>
  <c r="Y325" i="4"/>
  <c r="Z779" i="4"/>
  <c r="Y779" i="4"/>
  <c r="Z792" i="4"/>
  <c r="Y792" i="4"/>
  <c r="Z815" i="4"/>
  <c r="Y815" i="4"/>
  <c r="Z827" i="4"/>
  <c r="Y827" i="4"/>
  <c r="Y633" i="4"/>
  <c r="Z633" i="4"/>
  <c r="Z288" i="4"/>
  <c r="Y288" i="4"/>
  <c r="Z327" i="4"/>
  <c r="Y327" i="4"/>
  <c r="Z829" i="4"/>
  <c r="Y829" i="4"/>
  <c r="Y85" i="4"/>
  <c r="Y526" i="4"/>
  <c r="Y566" i="4"/>
  <c r="Y587" i="4"/>
  <c r="Z272" i="4"/>
  <c r="Y668" i="4"/>
  <c r="Z724" i="4"/>
  <c r="Y813" i="4"/>
  <c r="Z104" i="4"/>
  <c r="Y104" i="4"/>
  <c r="Z523" i="4"/>
  <c r="Y523" i="4"/>
  <c r="Z582" i="4"/>
  <c r="Y582" i="4"/>
  <c r="Z634" i="4"/>
  <c r="Y634" i="4"/>
  <c r="Z289" i="4"/>
  <c r="Y289" i="4"/>
  <c r="Z749" i="4"/>
  <c r="Y749" i="4"/>
  <c r="Z818" i="4"/>
  <c r="Y818" i="4"/>
  <c r="Z412" i="4"/>
  <c r="Z415" i="4"/>
  <c r="Y49" i="4"/>
  <c r="Y56" i="4"/>
  <c r="Y443" i="4"/>
  <c r="Y115" i="4"/>
  <c r="Z490" i="4"/>
  <c r="Y137" i="4"/>
  <c r="Y549" i="4"/>
  <c r="Y585" i="4"/>
  <c r="Y588" i="4"/>
  <c r="Y221" i="4"/>
  <c r="Y254" i="4"/>
  <c r="Y273" i="4"/>
  <c r="Y291" i="4"/>
  <c r="Z692" i="4"/>
  <c r="Y726" i="4"/>
  <c r="Y752" i="4"/>
  <c r="Y763" i="4"/>
  <c r="Y331" i="4"/>
  <c r="Z791" i="4"/>
  <c r="Z170" i="4"/>
  <c r="Y170" i="4"/>
  <c r="Z848" i="4"/>
  <c r="Y848" i="4"/>
  <c r="Y245" i="4"/>
  <c r="Z825" i="4"/>
  <c r="Y825" i="4"/>
  <c r="Y598" i="4"/>
  <c r="Y541" i="4"/>
  <c r="Y603" i="4"/>
  <c r="Z603" i="4"/>
  <c r="Y718" i="4"/>
  <c r="Z718" i="4"/>
  <c r="Z199" i="4"/>
  <c r="Z101" i="4"/>
  <c r="Y101" i="4"/>
  <c r="Z498" i="4"/>
  <c r="Y498" i="4"/>
  <c r="Z547" i="4"/>
  <c r="Y547" i="4"/>
  <c r="Z579" i="4"/>
  <c r="Y579" i="4"/>
  <c r="Z610" i="4"/>
  <c r="Y610" i="4"/>
  <c r="Z255" i="4"/>
  <c r="Y255" i="4"/>
  <c r="Z286" i="4"/>
  <c r="Y286" i="4"/>
  <c r="Z720" i="4"/>
  <c r="Y720" i="4"/>
  <c r="Z321" i="4"/>
  <c r="Y321" i="4"/>
  <c r="Z803" i="4"/>
  <c r="Y803" i="4"/>
  <c r="Z839" i="4"/>
  <c r="Y839" i="4"/>
  <c r="Z103" i="4"/>
  <c r="Y103" i="4"/>
  <c r="Z522" i="4"/>
  <c r="Y522" i="4"/>
  <c r="Z581" i="4"/>
  <c r="Y581" i="4"/>
  <c r="Z748" i="4"/>
  <c r="Y748" i="4"/>
  <c r="Z817" i="4"/>
  <c r="Y817" i="4"/>
  <c r="Z43" i="4"/>
  <c r="Y43" i="4"/>
  <c r="Z450" i="4"/>
  <c r="Y450" i="4"/>
  <c r="Z502" i="4"/>
  <c r="Y502" i="4"/>
  <c r="Z557" i="4"/>
  <c r="Y557" i="4"/>
  <c r="Z614" i="4"/>
  <c r="Y614" i="4"/>
  <c r="Z661" i="4"/>
  <c r="Y661" i="4"/>
  <c r="Z308" i="4"/>
  <c r="Y308" i="4"/>
  <c r="Z737" i="4"/>
  <c r="Y737" i="4"/>
  <c r="Z336" i="4"/>
  <c r="Y336" i="4"/>
  <c r="Z807" i="4"/>
  <c r="Y807" i="4"/>
  <c r="Y13" i="4"/>
  <c r="Y20" i="4"/>
  <c r="Y416" i="4"/>
  <c r="Z79" i="4"/>
  <c r="Y465" i="4"/>
  <c r="Y567" i="4"/>
  <c r="Y274" i="4"/>
  <c r="Y693" i="4"/>
  <c r="Z793" i="4"/>
  <c r="Z344" i="4"/>
  <c r="Z834" i="4"/>
  <c r="Z785" i="4"/>
  <c r="Y785" i="4"/>
  <c r="Y28" i="4"/>
  <c r="Z451" i="4"/>
  <c r="Y451" i="4"/>
  <c r="Z117" i="4"/>
  <c r="Y117" i="4"/>
  <c r="Z533" i="4"/>
  <c r="Y533" i="4"/>
  <c r="Z591" i="4"/>
  <c r="Y591" i="4"/>
  <c r="Z639" i="4"/>
  <c r="Y639" i="4"/>
  <c r="Z334" i="4"/>
  <c r="Y334" i="4"/>
  <c r="Y21" i="4"/>
  <c r="Y52" i="4"/>
  <c r="Z447" i="4"/>
  <c r="Y466" i="4"/>
  <c r="Z116" i="4"/>
  <c r="Z497" i="4"/>
  <c r="Z142" i="4"/>
  <c r="Y160" i="4"/>
  <c r="Z551" i="4"/>
  <c r="Y572" i="4"/>
  <c r="Z222" i="4"/>
  <c r="Y275" i="4"/>
  <c r="Y702" i="4"/>
  <c r="Z727" i="4"/>
  <c r="Y746" i="4"/>
  <c r="Z764" i="4"/>
  <c r="Z802" i="4"/>
  <c r="Z824" i="4"/>
  <c r="Z713" i="4"/>
  <c r="Y713" i="4"/>
  <c r="Z472" i="4"/>
  <c r="Y472" i="4"/>
  <c r="Z773" i="4"/>
  <c r="Y773" i="4"/>
  <c r="Z837" i="4"/>
  <c r="Y837" i="4"/>
  <c r="Y482" i="4"/>
  <c r="Y29" i="4"/>
  <c r="Z492" i="4"/>
  <c r="Y647" i="4"/>
  <c r="Z778" i="4"/>
  <c r="Y778" i="4"/>
  <c r="Z838" i="4"/>
  <c r="Y838" i="4"/>
  <c r="Z503" i="4"/>
  <c r="Y503" i="4"/>
  <c r="Z615" i="4"/>
  <c r="Y615" i="4"/>
  <c r="Z309" i="4"/>
  <c r="Y309" i="4"/>
  <c r="Z765" i="4"/>
  <c r="Y765" i="4"/>
  <c r="Z362" i="4"/>
  <c r="Y362" i="4"/>
  <c r="Z370" i="4"/>
  <c r="Y370" i="4"/>
  <c r="Y16" i="4"/>
  <c r="Y445" i="4"/>
  <c r="Z89" i="4"/>
  <c r="Z469" i="4"/>
  <c r="Y143" i="4"/>
  <c r="Z552" i="4"/>
  <c r="Y590" i="4"/>
  <c r="Z608" i="4"/>
  <c r="Y624" i="4"/>
  <c r="Y333" i="4"/>
  <c r="Y836" i="4"/>
  <c r="Y23" i="4"/>
  <c r="Z23" i="4"/>
  <c r="Y59" i="4"/>
  <c r="Z59" i="4"/>
  <c r="Y460" i="4"/>
  <c r="Z460" i="4"/>
  <c r="Y517" i="4"/>
  <c r="Z517" i="4"/>
  <c r="Y187" i="4"/>
  <c r="Z187" i="4"/>
  <c r="Y236" i="4"/>
  <c r="Z236" i="4"/>
  <c r="Y670" i="4"/>
  <c r="Z670" i="4"/>
  <c r="Y741" i="4"/>
  <c r="Z741" i="4"/>
  <c r="Y754" i="4"/>
  <c r="Z754" i="4"/>
  <c r="Y348" i="4"/>
  <c r="Z348" i="4"/>
  <c r="Y356" i="4"/>
  <c r="Z356" i="4"/>
  <c r="Y31" i="4"/>
  <c r="Z424" i="4"/>
  <c r="Y53" i="4"/>
  <c r="Y61" i="4"/>
  <c r="Z448" i="4"/>
  <c r="Y90" i="4"/>
  <c r="Y470" i="4"/>
  <c r="Y477" i="4"/>
  <c r="Y122" i="4"/>
  <c r="Y500" i="4"/>
  <c r="Z507" i="4"/>
  <c r="Z531" i="4"/>
  <c r="Z535" i="4"/>
  <c r="Z554" i="4"/>
  <c r="Y573" i="4"/>
  <c r="Z190" i="4"/>
  <c r="Y207" i="4"/>
  <c r="Z609" i="4"/>
  <c r="Z240" i="4"/>
  <c r="Y638" i="4"/>
  <c r="Z655" i="4"/>
  <c r="Y675" i="4"/>
  <c r="Y703" i="4"/>
  <c r="Y315" i="4"/>
  <c r="Z757" i="4"/>
  <c r="Y768" i="4"/>
  <c r="Y805" i="4"/>
  <c r="Z846" i="4"/>
  <c r="Z74" i="4"/>
  <c r="Y74" i="4"/>
  <c r="Z268" i="4"/>
  <c r="Y268" i="4"/>
  <c r="Z64" i="4"/>
  <c r="Z194" i="4"/>
  <c r="Y65" i="4"/>
  <c r="Y540" i="4"/>
  <c r="Y438" i="4"/>
  <c r="Z438" i="4"/>
  <c r="Y545" i="4"/>
  <c r="Z545" i="4"/>
  <c r="Y368" i="4"/>
  <c r="Z368" i="4"/>
  <c r="Z487" i="4"/>
  <c r="Y487" i="4"/>
  <c r="Z662" i="4"/>
  <c r="Y662" i="4"/>
  <c r="Z80" i="4"/>
  <c r="Z496" i="4"/>
  <c r="Z697" i="4"/>
  <c r="Y697" i="4"/>
  <c r="Z24" i="4"/>
  <c r="Y24" i="4"/>
  <c r="Z461" i="4"/>
  <c r="Y461" i="4"/>
  <c r="Z518" i="4"/>
  <c r="Y518" i="4"/>
  <c r="Z188" i="4"/>
  <c r="Y188" i="4"/>
  <c r="Z620" i="4"/>
  <c r="Y620" i="4"/>
  <c r="Z671" i="4"/>
  <c r="Y671" i="4"/>
  <c r="Z742" i="4"/>
  <c r="Y742" i="4"/>
  <c r="Z808" i="4"/>
  <c r="Y808" i="4"/>
  <c r="Y17" i="4"/>
  <c r="Z425" i="4"/>
  <c r="Z62" i="4"/>
  <c r="Y446" i="4"/>
  <c r="Y508" i="4"/>
  <c r="Y162" i="4"/>
  <c r="Y555" i="4"/>
  <c r="Z177" i="4"/>
  <c r="Z192" i="4"/>
  <c r="Z593" i="4"/>
  <c r="Z611" i="4"/>
  <c r="Y625" i="4"/>
  <c r="Z241" i="4"/>
  <c r="Y259" i="4"/>
  <c r="Z656" i="4"/>
  <c r="Z294" i="4"/>
  <c r="Y696" i="4"/>
  <c r="Z719" i="4"/>
  <c r="Y338" i="4"/>
  <c r="Z352" i="4"/>
  <c r="Z246" i="4"/>
  <c r="Y246" i="4"/>
  <c r="Z462" i="4"/>
  <c r="Y462" i="4"/>
  <c r="Z127" i="4"/>
  <c r="Y127" i="4"/>
  <c r="Z530" i="4"/>
  <c r="Y530" i="4"/>
  <c r="Z563" i="4"/>
  <c r="Y563" i="4"/>
  <c r="Z191" i="4"/>
  <c r="Y191" i="4"/>
  <c r="Z595" i="4"/>
  <c r="Y595" i="4"/>
  <c r="Z213" i="4"/>
  <c r="Y213" i="4"/>
  <c r="Z218" i="4"/>
  <c r="Y218" i="4"/>
  <c r="Z242" i="4"/>
  <c r="Y242" i="4"/>
  <c r="Z265" i="4"/>
  <c r="Y265" i="4"/>
  <c r="Z271" i="4"/>
  <c r="Y271" i="4"/>
  <c r="Z672" i="4"/>
  <c r="Y672" i="4"/>
  <c r="Z296" i="4"/>
  <c r="Y296" i="4"/>
  <c r="Z701" i="4"/>
  <c r="Y701" i="4"/>
  <c r="Z710" i="4"/>
  <c r="Y710" i="4"/>
  <c r="Z314" i="4"/>
  <c r="Y314" i="4"/>
  <c r="Z743" i="4"/>
  <c r="Y743" i="4"/>
  <c r="Z756" i="4"/>
  <c r="Y756" i="4"/>
  <c r="Z769" i="4"/>
  <c r="Y769" i="4"/>
  <c r="Z782" i="4"/>
  <c r="Y782" i="4"/>
  <c r="Z797" i="4"/>
  <c r="Y797" i="4"/>
  <c r="Z809" i="4"/>
  <c r="Y809" i="4"/>
  <c r="Z821" i="4"/>
  <c r="Y821" i="4"/>
  <c r="Z833" i="4"/>
  <c r="Y833" i="4"/>
  <c r="Z845" i="4"/>
  <c r="Y845" i="4"/>
  <c r="Y25" i="4"/>
  <c r="Y32" i="4"/>
  <c r="Y426" i="4"/>
  <c r="Z92" i="4"/>
  <c r="Y471" i="4"/>
  <c r="Z479" i="4"/>
  <c r="Y123" i="4"/>
  <c r="Y178" i="4"/>
  <c r="Y208" i="4"/>
  <c r="Y612" i="4"/>
  <c r="Z226" i="4"/>
  <c r="Z243" i="4"/>
  <c r="Z658" i="4"/>
  <c r="Y676" i="4"/>
  <c r="Y704" i="4"/>
  <c r="Z721" i="4"/>
  <c r="Z731" i="4"/>
  <c r="Z770" i="4"/>
  <c r="Y814" i="4"/>
  <c r="Z195" i="4"/>
  <c r="Y195" i="4"/>
  <c r="Y777" i="4"/>
  <c r="Z777" i="4"/>
  <c r="Z558" i="4"/>
  <c r="Y558" i="4"/>
  <c r="Z337" i="4"/>
  <c r="Y337" i="4"/>
  <c r="Z71" i="4"/>
  <c r="Y71" i="4"/>
  <c r="Z468" i="4"/>
  <c r="Y468" i="4"/>
  <c r="Z133" i="4"/>
  <c r="Y133" i="4"/>
  <c r="Z167" i="4"/>
  <c r="Y167" i="4"/>
  <c r="Z643" i="4"/>
  <c r="Y643" i="4"/>
  <c r="Y140" i="4"/>
  <c r="Z140" i="4"/>
  <c r="Y570" i="4"/>
  <c r="Z570" i="4"/>
  <c r="Z26" i="4"/>
  <c r="Y93" i="4"/>
  <c r="Z510" i="4"/>
  <c r="Y148" i="4"/>
  <c r="Y163" i="4"/>
  <c r="Y227" i="4"/>
  <c r="Y260" i="4"/>
  <c r="Y659" i="4"/>
  <c r="Z279" i="4"/>
  <c r="Z682" i="4"/>
  <c r="Y722" i="4"/>
  <c r="Y732" i="4"/>
  <c r="Y759" i="4"/>
  <c r="Z360" i="4"/>
  <c r="Z456" i="4"/>
  <c r="Y456" i="4"/>
  <c r="Z478" i="4"/>
  <c r="Y478" i="4"/>
  <c r="Z139" i="4"/>
  <c r="Y139" i="4"/>
  <c r="Z537" i="4"/>
  <c r="Y537" i="4"/>
  <c r="Z569" i="4"/>
  <c r="Y569" i="4"/>
  <c r="Z621" i="4"/>
  <c r="Y621" i="4"/>
  <c r="Y50" i="4"/>
  <c r="Z50" i="4"/>
  <c r="Y463" i="4"/>
  <c r="Z463" i="4"/>
  <c r="Y622" i="4"/>
  <c r="Z622" i="4"/>
  <c r="Y673" i="4"/>
  <c r="Z673" i="4"/>
  <c r="Y744" i="4"/>
  <c r="Z744" i="4"/>
  <c r="Y810" i="4"/>
  <c r="Z810" i="4"/>
  <c r="Z427" i="4"/>
  <c r="Y452" i="4"/>
  <c r="Z538" i="4"/>
  <c r="Z39" i="4"/>
  <c r="Y39" i="4"/>
  <c r="Z73" i="4"/>
  <c r="Y73" i="4"/>
  <c r="Z129" i="4"/>
  <c r="Y129" i="4"/>
  <c r="Z169" i="4"/>
  <c r="Y169" i="4"/>
  <c r="Z215" i="4"/>
  <c r="Y215" i="4"/>
  <c r="Z267" i="4"/>
  <c r="Y267" i="4"/>
  <c r="Z712" i="4"/>
  <c r="Y712" i="4"/>
  <c r="Z725" i="4"/>
  <c r="Y725" i="4"/>
  <c r="Z784" i="4"/>
  <c r="Y784" i="4"/>
  <c r="Z799" i="4"/>
  <c r="Y799" i="4"/>
  <c r="Z847" i="4"/>
  <c r="Y847" i="4"/>
  <c r="Z69" i="4"/>
  <c r="Z180" i="4"/>
  <c r="Z596" i="4"/>
  <c r="Y209" i="4"/>
  <c r="Z816" i="4"/>
  <c r="Y58" i="4"/>
  <c r="Y405" i="4"/>
  <c r="Y430" i="4"/>
  <c r="Y88" i="4"/>
  <c r="Y473" i="4"/>
  <c r="Y118" i="4"/>
  <c r="Y506" i="4"/>
  <c r="Y150" i="4"/>
  <c r="Y534" i="4"/>
  <c r="Y176" i="4"/>
  <c r="Y196" i="4"/>
  <c r="Y592" i="4"/>
  <c r="Y225" i="4"/>
  <c r="Y247" i="4"/>
  <c r="Y640" i="4"/>
  <c r="Y278" i="4"/>
  <c r="Y686" i="4"/>
  <c r="Y698" i="4"/>
  <c r="Y730" i="4"/>
  <c r="Y761" i="4"/>
  <c r="Y766" i="4"/>
  <c r="Y343" i="4"/>
  <c r="Y357" i="4"/>
  <c r="Y363" i="4"/>
  <c r="G10" i="11"/>
  <c r="I570" i="15" l="1"/>
  <c r="I122" i="15"/>
  <c r="J178" i="15"/>
  <c r="J570" i="15"/>
  <c r="K570" i="15"/>
  <c r="K234" i="15"/>
  <c r="H234" i="15"/>
  <c r="J66" i="15"/>
  <c r="H66" i="15"/>
  <c r="H178" i="15"/>
  <c r="H122" i="15"/>
  <c r="J122" i="15"/>
  <c r="I66" i="15"/>
  <c r="I178" i="15"/>
  <c r="L178" i="15"/>
  <c r="K66" i="15"/>
  <c r="K122" i="15"/>
  <c r="L66" i="15"/>
  <c r="L122" i="15"/>
  <c r="L234" i="15"/>
  <c r="F10" i="11"/>
  <c r="G10" i="21"/>
  <c r="G10" i="15"/>
  <c r="G10" i="20"/>
  <c r="G234" i="15" l="1"/>
  <c r="G66" i="15"/>
  <c r="G178" i="15"/>
  <c r="G570" i="15"/>
  <c r="G122" i="15"/>
  <c r="E10" i="11"/>
  <c r="F10" i="21"/>
  <c r="F10" i="15"/>
  <c r="F10" i="20"/>
  <c r="F66" i="15" l="1"/>
  <c r="F234" i="15"/>
  <c r="F178" i="15"/>
  <c r="F570" i="15"/>
  <c r="F122" i="15"/>
  <c r="E10" i="21"/>
  <c r="E10" i="15"/>
  <c r="E10" i="20"/>
  <c r="E570" i="15" l="1"/>
  <c r="E66" i="15"/>
  <c r="E178" i="15"/>
  <c r="E122" i="15"/>
  <c r="E234" i="15"/>
  <c r="E514" i="20"/>
  <c r="F514" i="20"/>
  <c r="G514" i="20"/>
  <c r="H514" i="20"/>
  <c r="I514" i="20"/>
  <c r="J514" i="20"/>
  <c r="K514" i="20"/>
  <c r="L514" i="20"/>
  <c r="H234" i="11"/>
  <c r="I570" i="11"/>
  <c r="J122" i="11"/>
  <c r="I122" i="11" l="1"/>
  <c r="H514" i="21"/>
  <c r="H402" i="21"/>
  <c r="H458" i="21"/>
  <c r="J458" i="21"/>
  <c r="J402" i="21"/>
  <c r="J514" i="21"/>
  <c r="F458" i="21"/>
  <c r="F514" i="21"/>
  <c r="F402" i="21"/>
  <c r="E402" i="21"/>
  <c r="E514" i="21"/>
  <c r="E458" i="21"/>
  <c r="I514" i="21"/>
  <c r="I458" i="21"/>
  <c r="I402" i="21"/>
  <c r="G458" i="21"/>
  <c r="G402" i="21"/>
  <c r="G514" i="21"/>
  <c r="L458" i="21"/>
  <c r="L514" i="21"/>
  <c r="L402" i="21"/>
  <c r="K66" i="21"/>
  <c r="K514" i="21"/>
  <c r="K458" i="21"/>
  <c r="K402" i="21"/>
  <c r="K570" i="20"/>
  <c r="K402" i="20"/>
  <c r="K458" i="20"/>
  <c r="K346" i="20"/>
  <c r="H570" i="21"/>
  <c r="H346" i="21"/>
  <c r="J570" i="20"/>
  <c r="J458" i="20"/>
  <c r="J402" i="20"/>
  <c r="J346" i="20"/>
  <c r="G570" i="21"/>
  <c r="G346" i="21"/>
  <c r="L570" i="11"/>
  <c r="H122" i="11"/>
  <c r="I570" i="20"/>
  <c r="I458" i="20"/>
  <c r="I346" i="20"/>
  <c r="I402" i="20"/>
  <c r="F570" i="21"/>
  <c r="F346" i="21"/>
  <c r="K570" i="11"/>
  <c r="L234" i="11"/>
  <c r="H234" i="20"/>
  <c r="H346" i="20"/>
  <c r="H458" i="20"/>
  <c r="H402" i="20"/>
  <c r="E570" i="21"/>
  <c r="E346" i="21"/>
  <c r="J178" i="11"/>
  <c r="G234" i="20"/>
  <c r="G458" i="20"/>
  <c r="G402" i="20"/>
  <c r="G346" i="20"/>
  <c r="I178" i="11"/>
  <c r="J570" i="11"/>
  <c r="F234" i="20"/>
  <c r="F458" i="20"/>
  <c r="F346" i="20"/>
  <c r="F402" i="20"/>
  <c r="E570" i="20"/>
  <c r="E402" i="20"/>
  <c r="E346" i="20"/>
  <c r="E458" i="20"/>
  <c r="H178" i="11"/>
  <c r="G178" i="11"/>
  <c r="H570" i="11"/>
  <c r="E66" i="20"/>
  <c r="F234" i="11"/>
  <c r="L290" i="21"/>
  <c r="L346" i="21"/>
  <c r="E178" i="11"/>
  <c r="K290" i="21"/>
  <c r="K346" i="21"/>
  <c r="L66" i="11"/>
  <c r="J290" i="21"/>
  <c r="J346" i="21"/>
  <c r="H66" i="11"/>
  <c r="L570" i="20"/>
  <c r="L458" i="20"/>
  <c r="L402" i="20"/>
  <c r="L346" i="20"/>
  <c r="I290" i="21"/>
  <c r="I346" i="21"/>
  <c r="K66" i="11"/>
  <c r="G122" i="11"/>
  <c r="K234" i="11"/>
  <c r="G570" i="11"/>
  <c r="L290" i="20"/>
  <c r="J66" i="21"/>
  <c r="L234" i="20"/>
  <c r="J66" i="11"/>
  <c r="F122" i="11"/>
  <c r="J234" i="11"/>
  <c r="F570" i="11"/>
  <c r="K290" i="20"/>
  <c r="I66" i="21"/>
  <c r="F178" i="11"/>
  <c r="I66" i="11"/>
  <c r="E122" i="11"/>
  <c r="I234" i="11"/>
  <c r="E570" i="11"/>
  <c r="J290" i="20"/>
  <c r="F66" i="21"/>
  <c r="L178" i="11"/>
  <c r="E122" i="21"/>
  <c r="G66" i="11"/>
  <c r="K178" i="11"/>
  <c r="G234" i="11"/>
  <c r="F234" i="21"/>
  <c r="F66" i="11"/>
  <c r="L66" i="20"/>
  <c r="H290" i="21"/>
  <c r="K234" i="20"/>
  <c r="J234" i="20"/>
  <c r="E66" i="11"/>
  <c r="E234" i="11"/>
  <c r="K66" i="20"/>
  <c r="G290" i="21"/>
  <c r="L122" i="11"/>
  <c r="J66" i="20"/>
  <c r="F290" i="21"/>
  <c r="K122" i="11"/>
  <c r="E290" i="21"/>
  <c r="H122" i="21"/>
  <c r="G122" i="21"/>
  <c r="F122" i="21"/>
  <c r="L234" i="21"/>
  <c r="K234" i="21"/>
  <c r="J234" i="21"/>
  <c r="L66" i="21"/>
  <c r="I234" i="21"/>
  <c r="L122" i="20"/>
  <c r="K122" i="20"/>
  <c r="J122" i="20"/>
  <c r="I178" i="20"/>
  <c r="E234" i="20"/>
  <c r="H178" i="20"/>
  <c r="F570" i="20"/>
  <c r="I290" i="20"/>
  <c r="H290" i="20"/>
  <c r="G122" i="20"/>
  <c r="G290" i="20"/>
  <c r="F290" i="20"/>
  <c r="I66" i="20"/>
  <c r="E122" i="20"/>
  <c r="I234" i="20"/>
  <c r="E290" i="20"/>
  <c r="H570" i="20"/>
  <c r="G178" i="20"/>
  <c r="I122" i="20"/>
  <c r="H122" i="20"/>
  <c r="F122" i="20"/>
  <c r="H66" i="20"/>
  <c r="L178" i="20"/>
  <c r="G570" i="20"/>
  <c r="F178" i="20"/>
  <c r="E178" i="20"/>
  <c r="G66" i="20"/>
  <c r="K178" i="20"/>
  <c r="F66" i="20"/>
  <c r="J178" i="20"/>
  <c r="H66" i="21"/>
  <c r="L178" i="21"/>
  <c r="H234" i="21"/>
  <c r="L570" i="21"/>
  <c r="G66" i="21"/>
  <c r="K178" i="21"/>
  <c r="G234" i="21"/>
  <c r="K570" i="21"/>
  <c r="J178" i="21"/>
  <c r="J570" i="21"/>
  <c r="E66" i="21"/>
  <c r="I178" i="21"/>
  <c r="E234" i="21"/>
  <c r="I570" i="21"/>
  <c r="L122" i="21"/>
  <c r="H178" i="21"/>
  <c r="K122" i="21"/>
  <c r="G178" i="21"/>
  <c r="J122" i="21"/>
  <c r="F178" i="21"/>
  <c r="I122" i="21"/>
  <c r="E178" i="21"/>
  <c r="C458" i="21" l="1"/>
  <c r="C514" i="21"/>
  <c r="C402" i="21"/>
  <c r="L9" i="4"/>
  <c r="D564" i="21"/>
  <c r="D563" i="21"/>
  <c r="D562" i="21"/>
  <c r="D561" i="21"/>
  <c r="D560" i="21"/>
  <c r="D559" i="21"/>
  <c r="D558" i="21"/>
  <c r="D557" i="21"/>
  <c r="D556" i="21"/>
  <c r="D555" i="21"/>
  <c r="D554" i="21"/>
  <c r="D553" i="21"/>
  <c r="D552" i="21"/>
  <c r="D551" i="21"/>
  <c r="D550" i="21"/>
  <c r="D549" i="21"/>
  <c r="D548" i="21"/>
  <c r="D547" i="21"/>
  <c r="D546" i="21"/>
  <c r="D545" i="21"/>
  <c r="D544" i="21"/>
  <c r="D543" i="21"/>
  <c r="D542" i="21"/>
  <c r="D541" i="21"/>
  <c r="D540" i="21"/>
  <c r="D539" i="21"/>
  <c r="D538" i="21"/>
  <c r="D537" i="21"/>
  <c r="D536" i="21"/>
  <c r="D535" i="21"/>
  <c r="D534" i="21"/>
  <c r="D533" i="21"/>
  <c r="D532" i="21"/>
  <c r="D531" i="21"/>
  <c r="D530" i="21"/>
  <c r="D529" i="21"/>
  <c r="D528" i="21"/>
  <c r="D527" i="21"/>
  <c r="D526" i="21"/>
  <c r="D525" i="21"/>
  <c r="D524" i="21"/>
  <c r="D523" i="21"/>
  <c r="D522" i="21"/>
  <c r="D521" i="21"/>
  <c r="D520" i="21"/>
  <c r="D519" i="21"/>
  <c r="D518" i="21"/>
  <c r="D517" i="21"/>
  <c r="D516" i="21"/>
  <c r="D515" i="21"/>
  <c r="D508" i="21"/>
  <c r="D507" i="21"/>
  <c r="D506" i="21"/>
  <c r="D505" i="21"/>
  <c r="D504" i="21"/>
  <c r="D503" i="21"/>
  <c r="D502" i="21"/>
  <c r="D501" i="21"/>
  <c r="D500" i="21"/>
  <c r="D499" i="21"/>
  <c r="D498" i="21"/>
  <c r="D497" i="21"/>
  <c r="D496" i="21"/>
  <c r="D495" i="21"/>
  <c r="D494" i="21"/>
  <c r="D493" i="21"/>
  <c r="D492" i="21"/>
  <c r="D491" i="21"/>
  <c r="D490" i="21"/>
  <c r="D489" i="21"/>
  <c r="D488" i="21"/>
  <c r="D487" i="21"/>
  <c r="D486" i="21"/>
  <c r="D485" i="21"/>
  <c r="D484" i="21"/>
  <c r="D483" i="21"/>
  <c r="D482" i="21"/>
  <c r="D481" i="21"/>
  <c r="D480" i="21"/>
  <c r="D479" i="21"/>
  <c r="D478" i="21"/>
  <c r="D477" i="21"/>
  <c r="D476" i="21"/>
  <c r="D475" i="21"/>
  <c r="D474" i="21"/>
  <c r="D473" i="21"/>
  <c r="D472" i="21"/>
  <c r="D471" i="21"/>
  <c r="D470" i="21"/>
  <c r="D469" i="21"/>
  <c r="D468" i="21"/>
  <c r="D467" i="21"/>
  <c r="D466" i="21"/>
  <c r="D465" i="21"/>
  <c r="D464" i="21"/>
  <c r="D463" i="21"/>
  <c r="D462" i="21"/>
  <c r="D461" i="21"/>
  <c r="D460" i="21"/>
  <c r="D459" i="21"/>
  <c r="D452" i="21"/>
  <c r="D451" i="21"/>
  <c r="D450" i="21"/>
  <c r="D449" i="21"/>
  <c r="D448" i="21"/>
  <c r="D447" i="21"/>
  <c r="D446" i="21"/>
  <c r="D445" i="21"/>
  <c r="D444" i="21"/>
  <c r="D443" i="21"/>
  <c r="D442" i="21"/>
  <c r="D441" i="21"/>
  <c r="D440" i="21"/>
  <c r="D439" i="21"/>
  <c r="D438" i="21"/>
  <c r="D437" i="21"/>
  <c r="D436" i="21"/>
  <c r="D435" i="21"/>
  <c r="D434" i="21"/>
  <c r="D433" i="21"/>
  <c r="D432" i="21"/>
  <c r="D431" i="21"/>
  <c r="D430" i="21"/>
  <c r="D429" i="21"/>
  <c r="D428" i="21"/>
  <c r="D427" i="21"/>
  <c r="D426" i="21"/>
  <c r="D425" i="21"/>
  <c r="D424" i="21"/>
  <c r="D423" i="21"/>
  <c r="D422" i="21"/>
  <c r="D421" i="21"/>
  <c r="D420" i="21"/>
  <c r="D419" i="21"/>
  <c r="D418" i="21"/>
  <c r="D417" i="21"/>
  <c r="D416" i="21"/>
  <c r="D415" i="21"/>
  <c r="D414" i="21"/>
  <c r="D413" i="21"/>
  <c r="D412" i="21"/>
  <c r="D411" i="21"/>
  <c r="D410" i="21"/>
  <c r="D409" i="21"/>
  <c r="D408" i="21"/>
  <c r="D407" i="21"/>
  <c r="D406" i="21"/>
  <c r="D405" i="21"/>
  <c r="D404" i="21"/>
  <c r="D403" i="21"/>
  <c r="D396" i="21"/>
  <c r="D395" i="21"/>
  <c r="D394" i="21"/>
  <c r="D393" i="21"/>
  <c r="D392" i="21"/>
  <c r="D391" i="21"/>
  <c r="D390" i="21"/>
  <c r="D389" i="21"/>
  <c r="D388" i="21"/>
  <c r="D387" i="21"/>
  <c r="D386" i="21"/>
  <c r="D385" i="21"/>
  <c r="D384" i="21"/>
  <c r="D383" i="21"/>
  <c r="D382" i="21"/>
  <c r="D381" i="21"/>
  <c r="D380" i="21"/>
  <c r="D379" i="21"/>
  <c r="D378" i="21"/>
  <c r="D377" i="21"/>
  <c r="D376" i="21"/>
  <c r="D375" i="21"/>
  <c r="D374" i="21"/>
  <c r="D373" i="21"/>
  <c r="D372" i="21"/>
  <c r="D371" i="21"/>
  <c r="D370" i="21"/>
  <c r="D369" i="21"/>
  <c r="D368" i="21"/>
  <c r="D367" i="21"/>
  <c r="D366" i="21"/>
  <c r="D365" i="21"/>
  <c r="D364" i="21"/>
  <c r="D363" i="21"/>
  <c r="D362" i="21"/>
  <c r="D361" i="21"/>
  <c r="D360" i="21"/>
  <c r="D359" i="21"/>
  <c r="D358" i="21"/>
  <c r="D357" i="21"/>
  <c r="D356" i="21"/>
  <c r="D355" i="21"/>
  <c r="D354" i="21"/>
  <c r="D353" i="21"/>
  <c r="D352" i="21"/>
  <c r="D351" i="21"/>
  <c r="D350" i="21"/>
  <c r="D349" i="21"/>
  <c r="D348" i="21"/>
  <c r="D347" i="21"/>
  <c r="D340" i="21"/>
  <c r="D339" i="21"/>
  <c r="D338" i="21"/>
  <c r="D337" i="21"/>
  <c r="D336" i="21"/>
  <c r="D335" i="21"/>
  <c r="D334" i="21"/>
  <c r="D333" i="21"/>
  <c r="D332" i="21"/>
  <c r="D331" i="21"/>
  <c r="D330" i="21"/>
  <c r="D329" i="21"/>
  <c r="D328" i="21"/>
  <c r="D327" i="21"/>
  <c r="D326" i="21"/>
  <c r="D325" i="21"/>
  <c r="D324" i="21"/>
  <c r="D323" i="21"/>
  <c r="D322" i="21"/>
  <c r="D321" i="21"/>
  <c r="D320" i="21"/>
  <c r="D319" i="21"/>
  <c r="D318" i="21"/>
  <c r="D317" i="21"/>
  <c r="D316" i="21"/>
  <c r="D315" i="21"/>
  <c r="D314" i="21"/>
  <c r="D313" i="21"/>
  <c r="D312" i="21"/>
  <c r="D311" i="21"/>
  <c r="D310" i="21"/>
  <c r="D309" i="21"/>
  <c r="D308" i="21"/>
  <c r="D307" i="21"/>
  <c r="D306" i="21"/>
  <c r="D305" i="21"/>
  <c r="D304" i="21"/>
  <c r="D303" i="21"/>
  <c r="D302" i="21"/>
  <c r="D301" i="21"/>
  <c r="D300" i="21"/>
  <c r="D299" i="21"/>
  <c r="D298" i="21"/>
  <c r="D297" i="21"/>
  <c r="D296" i="21"/>
  <c r="D295" i="21"/>
  <c r="D294" i="21"/>
  <c r="D293" i="21"/>
  <c r="D292" i="21"/>
  <c r="D291" i="21"/>
  <c r="D284" i="21"/>
  <c r="D283" i="21"/>
  <c r="D282" i="21"/>
  <c r="D281" i="21"/>
  <c r="D280" i="21"/>
  <c r="D279" i="21"/>
  <c r="D278" i="21"/>
  <c r="D277" i="21"/>
  <c r="D276" i="21"/>
  <c r="D275" i="21"/>
  <c r="D274" i="21"/>
  <c r="D273" i="21"/>
  <c r="D272" i="21"/>
  <c r="D271" i="21"/>
  <c r="D270" i="21"/>
  <c r="D269" i="21"/>
  <c r="D268" i="21"/>
  <c r="D267" i="21"/>
  <c r="D266" i="21"/>
  <c r="D265" i="21"/>
  <c r="D264" i="21"/>
  <c r="D263" i="21"/>
  <c r="D262" i="21"/>
  <c r="D261" i="21"/>
  <c r="D260" i="21"/>
  <c r="D259" i="21"/>
  <c r="D258" i="21"/>
  <c r="D257" i="21"/>
  <c r="D256" i="21"/>
  <c r="D255" i="21"/>
  <c r="D254" i="21"/>
  <c r="D253" i="21"/>
  <c r="D252" i="21"/>
  <c r="D251" i="21"/>
  <c r="D250" i="21"/>
  <c r="D249" i="21"/>
  <c r="D248" i="21"/>
  <c r="D247" i="21"/>
  <c r="D246" i="21"/>
  <c r="D245" i="21"/>
  <c r="D244" i="21"/>
  <c r="D243" i="21"/>
  <c r="D242" i="21"/>
  <c r="D241" i="21"/>
  <c r="D240" i="21"/>
  <c r="D239" i="21"/>
  <c r="D238" i="21"/>
  <c r="D237" i="21"/>
  <c r="D236" i="21"/>
  <c r="D235" i="21"/>
  <c r="D228" i="21"/>
  <c r="D227" i="21"/>
  <c r="D226" i="21"/>
  <c r="D225" i="21"/>
  <c r="D224" i="21"/>
  <c r="D223" i="21"/>
  <c r="D222" i="21"/>
  <c r="D221" i="21"/>
  <c r="D220" i="21"/>
  <c r="D219" i="21"/>
  <c r="D218" i="21"/>
  <c r="D217" i="21"/>
  <c r="D216" i="21"/>
  <c r="D215" i="21"/>
  <c r="D214" i="21"/>
  <c r="D213" i="21"/>
  <c r="D212" i="21"/>
  <c r="D211" i="21"/>
  <c r="D210" i="21"/>
  <c r="D209" i="21"/>
  <c r="D208" i="21"/>
  <c r="D207" i="21"/>
  <c r="D206" i="21"/>
  <c r="D205" i="21"/>
  <c r="D204" i="21"/>
  <c r="D203" i="21"/>
  <c r="D202" i="21"/>
  <c r="D201" i="21"/>
  <c r="D200" i="21"/>
  <c r="D199" i="21"/>
  <c r="D198" i="21"/>
  <c r="D197" i="21"/>
  <c r="D196" i="21"/>
  <c r="D195" i="21"/>
  <c r="D194" i="21"/>
  <c r="D193" i="21"/>
  <c r="D192" i="21"/>
  <c r="D191" i="21"/>
  <c r="D190" i="21"/>
  <c r="D189" i="21"/>
  <c r="D188" i="21"/>
  <c r="D187" i="21"/>
  <c r="D186" i="21"/>
  <c r="D185" i="21"/>
  <c r="D184" i="21"/>
  <c r="D183" i="21"/>
  <c r="D182" i="21"/>
  <c r="D181" i="21"/>
  <c r="D180" i="21"/>
  <c r="D179" i="21"/>
  <c r="D172" i="21"/>
  <c r="D171" i="21"/>
  <c r="D170" i="21"/>
  <c r="D169" i="21"/>
  <c r="D168" i="21"/>
  <c r="D167" i="21"/>
  <c r="D166" i="21"/>
  <c r="D165" i="21"/>
  <c r="D164" i="21"/>
  <c r="D163" i="21"/>
  <c r="D162" i="21"/>
  <c r="D161" i="21"/>
  <c r="D160" i="21"/>
  <c r="D159" i="21"/>
  <c r="D158" i="21"/>
  <c r="D157" i="21"/>
  <c r="D156" i="21"/>
  <c r="D155" i="21"/>
  <c r="D154" i="21"/>
  <c r="D153" i="21"/>
  <c r="D152" i="21"/>
  <c r="D151" i="21"/>
  <c r="D150" i="21"/>
  <c r="D149" i="21"/>
  <c r="D148" i="21"/>
  <c r="D147" i="21"/>
  <c r="D146" i="21"/>
  <c r="D145" i="21"/>
  <c r="D144" i="21"/>
  <c r="D143" i="21"/>
  <c r="D142" i="21"/>
  <c r="D141" i="21"/>
  <c r="D140" i="21"/>
  <c r="D139" i="21"/>
  <c r="D138" i="21"/>
  <c r="D137" i="21"/>
  <c r="D136" i="21"/>
  <c r="D135" i="21"/>
  <c r="D134" i="21"/>
  <c r="D133" i="21"/>
  <c r="D132" i="21"/>
  <c r="D131" i="21"/>
  <c r="D130" i="21"/>
  <c r="D129" i="21"/>
  <c r="D128" i="21"/>
  <c r="D127" i="21"/>
  <c r="D126" i="21"/>
  <c r="D125" i="21"/>
  <c r="D124" i="21"/>
  <c r="D123" i="21"/>
  <c r="D116" i="21"/>
  <c r="D115" i="21"/>
  <c r="D114" i="21"/>
  <c r="D113" i="21"/>
  <c r="D112" i="21"/>
  <c r="D111" i="21"/>
  <c r="D110" i="21"/>
  <c r="D109" i="21"/>
  <c r="D108" i="21"/>
  <c r="D107" i="21"/>
  <c r="D106" i="21"/>
  <c r="D105" i="21"/>
  <c r="D104" i="21"/>
  <c r="D103" i="21"/>
  <c r="D102" i="21"/>
  <c r="D101" i="21"/>
  <c r="D100" i="21"/>
  <c r="D99" i="21"/>
  <c r="D98" i="21"/>
  <c r="D97" i="21"/>
  <c r="D96" i="21"/>
  <c r="D95" i="21"/>
  <c r="D94" i="21"/>
  <c r="D93" i="21"/>
  <c r="D92" i="21"/>
  <c r="D91" i="21"/>
  <c r="D90" i="21"/>
  <c r="D89" i="21"/>
  <c r="D88" i="21"/>
  <c r="D87" i="21"/>
  <c r="D86" i="21"/>
  <c r="D85" i="21"/>
  <c r="D84" i="21"/>
  <c r="D83" i="21"/>
  <c r="D82" i="21"/>
  <c r="D81" i="21"/>
  <c r="D80" i="21"/>
  <c r="D79" i="21"/>
  <c r="D78" i="21"/>
  <c r="D77" i="21"/>
  <c r="D76" i="21"/>
  <c r="D75" i="21"/>
  <c r="D74" i="21"/>
  <c r="D73" i="21"/>
  <c r="D72" i="21"/>
  <c r="D71" i="21"/>
  <c r="D70" i="21"/>
  <c r="D69" i="21"/>
  <c r="D68" i="21"/>
  <c r="D67" i="21"/>
  <c r="D60" i="21"/>
  <c r="D59" i="21"/>
  <c r="D58" i="21"/>
  <c r="D57" i="21"/>
  <c r="D56" i="21"/>
  <c r="D55" i="21"/>
  <c r="D54" i="21"/>
  <c r="D53" i="21"/>
  <c r="D52" i="21"/>
  <c r="D51" i="21"/>
  <c r="D50" i="21"/>
  <c r="D49" i="21"/>
  <c r="D48" i="21"/>
  <c r="D47" i="21"/>
  <c r="D46" i="21"/>
  <c r="D45" i="21"/>
  <c r="D44" i="21"/>
  <c r="D43" i="21"/>
  <c r="D42" i="21"/>
  <c r="D41" i="21"/>
  <c r="D40" i="21"/>
  <c r="D39" i="21"/>
  <c r="D38" i="21"/>
  <c r="D37" i="21"/>
  <c r="D36" i="21"/>
  <c r="D35" i="21"/>
  <c r="D34" i="21"/>
  <c r="D33" i="21"/>
  <c r="D32" i="21"/>
  <c r="D31" i="21"/>
  <c r="D30" i="21"/>
  <c r="D29" i="21"/>
  <c r="D28" i="21"/>
  <c r="D27" i="21"/>
  <c r="D26" i="21"/>
  <c r="D25" i="21"/>
  <c r="D24" i="21"/>
  <c r="D23" i="21"/>
  <c r="D22" i="21"/>
  <c r="D21" i="21"/>
  <c r="D20" i="21"/>
  <c r="D19" i="21"/>
  <c r="D18" i="21"/>
  <c r="D17" i="21"/>
  <c r="D16" i="21"/>
  <c r="D15" i="21"/>
  <c r="D14" i="21"/>
  <c r="D13" i="21"/>
  <c r="D12" i="21"/>
  <c r="D11" i="21"/>
  <c r="D580" i="21"/>
  <c r="D579" i="21"/>
  <c r="D578" i="21"/>
  <c r="D577" i="21"/>
  <c r="D576" i="21"/>
  <c r="D575" i="21"/>
  <c r="D574" i="21"/>
  <c r="D573" i="21"/>
  <c r="D572" i="21"/>
  <c r="D571" i="21"/>
  <c r="D513" i="21"/>
  <c r="D457" i="21"/>
  <c r="D401" i="21"/>
  <c r="D345" i="21"/>
  <c r="D289" i="21"/>
  <c r="D233" i="21"/>
  <c r="D177" i="21"/>
  <c r="D121" i="21"/>
  <c r="D65" i="21"/>
  <c r="D9" i="21"/>
  <c r="D564" i="20"/>
  <c r="D563" i="20"/>
  <c r="D562" i="20"/>
  <c r="D561" i="20"/>
  <c r="D560" i="20"/>
  <c r="D559" i="20"/>
  <c r="D558" i="20"/>
  <c r="D557" i="20"/>
  <c r="D556" i="20"/>
  <c r="D555" i="20"/>
  <c r="D554" i="20"/>
  <c r="D553" i="20"/>
  <c r="D552" i="20"/>
  <c r="D551" i="20"/>
  <c r="D550" i="20"/>
  <c r="D549" i="20"/>
  <c r="D548" i="20"/>
  <c r="D547" i="20"/>
  <c r="D546" i="20"/>
  <c r="D545" i="20"/>
  <c r="D544" i="20"/>
  <c r="D543" i="20"/>
  <c r="D542" i="20"/>
  <c r="D541" i="20"/>
  <c r="D540" i="20"/>
  <c r="D539" i="20"/>
  <c r="D538" i="20"/>
  <c r="D537" i="20"/>
  <c r="D536" i="20"/>
  <c r="D535" i="20"/>
  <c r="D534" i="20"/>
  <c r="D533" i="20"/>
  <c r="D532" i="20"/>
  <c r="D531" i="20"/>
  <c r="D530" i="20"/>
  <c r="D529" i="20"/>
  <c r="D528" i="20"/>
  <c r="D527" i="20"/>
  <c r="D526" i="20"/>
  <c r="D525" i="20"/>
  <c r="D524" i="20"/>
  <c r="D523" i="20"/>
  <c r="D522" i="20"/>
  <c r="D521" i="20"/>
  <c r="D520" i="20"/>
  <c r="D519" i="20"/>
  <c r="D518" i="20"/>
  <c r="D517" i="20"/>
  <c r="D516" i="20"/>
  <c r="D515" i="20"/>
  <c r="D508" i="20"/>
  <c r="D507" i="20"/>
  <c r="D506" i="20"/>
  <c r="D505" i="20"/>
  <c r="D504" i="20"/>
  <c r="D503" i="20"/>
  <c r="D502" i="20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580" i="20"/>
  <c r="D579" i="20"/>
  <c r="D578" i="20"/>
  <c r="D577" i="20"/>
  <c r="D576" i="20"/>
  <c r="D575" i="20"/>
  <c r="D574" i="20"/>
  <c r="D573" i="20"/>
  <c r="D572" i="20"/>
  <c r="D571" i="20"/>
  <c r="D513" i="20"/>
  <c r="D457" i="20"/>
  <c r="D401" i="20"/>
  <c r="D345" i="20"/>
  <c r="D289" i="20"/>
  <c r="D233" i="20"/>
  <c r="D177" i="20"/>
  <c r="D121" i="20"/>
  <c r="D65" i="20"/>
  <c r="D9" i="20"/>
  <c r="Z9" i="4" l="1"/>
  <c r="Y9" i="4"/>
  <c r="D580" i="15"/>
  <c r="D579" i="15"/>
  <c r="D578" i="15"/>
  <c r="D577" i="15"/>
  <c r="D576" i="15"/>
  <c r="D575" i="15"/>
  <c r="D574" i="15"/>
  <c r="D573" i="15"/>
  <c r="D572" i="15"/>
  <c r="D571" i="15"/>
  <c r="D564" i="15"/>
  <c r="D563" i="15"/>
  <c r="D562" i="15"/>
  <c r="D561" i="15"/>
  <c r="D560" i="15"/>
  <c r="D559" i="15"/>
  <c r="D558" i="15"/>
  <c r="D557" i="15"/>
  <c r="D556" i="15"/>
  <c r="D555" i="15"/>
  <c r="D554" i="15"/>
  <c r="D553" i="15"/>
  <c r="D552" i="15"/>
  <c r="D551" i="15"/>
  <c r="D550" i="15"/>
  <c r="D549" i="15"/>
  <c r="D548" i="15"/>
  <c r="D547" i="15"/>
  <c r="D546" i="15"/>
  <c r="D545" i="15"/>
  <c r="D544" i="15"/>
  <c r="D543" i="15"/>
  <c r="D542" i="15"/>
  <c r="D541" i="15"/>
  <c r="D540" i="15"/>
  <c r="D539" i="15"/>
  <c r="D538" i="15"/>
  <c r="D537" i="15"/>
  <c r="D536" i="15"/>
  <c r="D535" i="15"/>
  <c r="D534" i="15"/>
  <c r="D533" i="15"/>
  <c r="D532" i="15"/>
  <c r="D531" i="15"/>
  <c r="D530" i="15"/>
  <c r="D529" i="15"/>
  <c r="D528" i="15"/>
  <c r="D527" i="15"/>
  <c r="D526" i="15"/>
  <c r="D525" i="15"/>
  <c r="D524" i="15"/>
  <c r="D523" i="15"/>
  <c r="D522" i="15"/>
  <c r="D521" i="15"/>
  <c r="D520" i="15"/>
  <c r="D519" i="15"/>
  <c r="D518" i="15"/>
  <c r="D517" i="15"/>
  <c r="D516" i="15"/>
  <c r="D515" i="15"/>
  <c r="D513" i="15"/>
  <c r="C512" i="15"/>
  <c r="C511" i="15"/>
  <c r="D508" i="15"/>
  <c r="D507" i="15"/>
  <c r="D506" i="15"/>
  <c r="D505" i="15"/>
  <c r="D504" i="15"/>
  <c r="D503" i="15"/>
  <c r="D502" i="15"/>
  <c r="D501" i="15"/>
  <c r="D500" i="15"/>
  <c r="D499" i="15"/>
  <c r="D498" i="15"/>
  <c r="D497" i="15"/>
  <c r="D496" i="15"/>
  <c r="D495" i="15"/>
  <c r="D494" i="15"/>
  <c r="D493" i="15"/>
  <c r="D492" i="15"/>
  <c r="D491" i="15"/>
  <c r="D490" i="15"/>
  <c r="D489" i="15"/>
  <c r="D488" i="15"/>
  <c r="D487" i="15"/>
  <c r="D486" i="15"/>
  <c r="D485" i="15"/>
  <c r="D484" i="15"/>
  <c r="D483" i="15"/>
  <c r="D482" i="15"/>
  <c r="D481" i="15"/>
  <c r="D480" i="15"/>
  <c r="D479" i="15"/>
  <c r="D478" i="15"/>
  <c r="D477" i="15"/>
  <c r="D476" i="15"/>
  <c r="D475" i="15"/>
  <c r="D474" i="15"/>
  <c r="D473" i="15"/>
  <c r="D472" i="15"/>
  <c r="D471" i="15"/>
  <c r="D470" i="15"/>
  <c r="D469" i="15"/>
  <c r="D468" i="15"/>
  <c r="D467" i="15"/>
  <c r="D466" i="15"/>
  <c r="D465" i="15"/>
  <c r="D464" i="15"/>
  <c r="D463" i="15"/>
  <c r="D462" i="15"/>
  <c r="D461" i="15"/>
  <c r="D460" i="15"/>
  <c r="D459" i="15"/>
  <c r="D457" i="15"/>
  <c r="C456" i="15"/>
  <c r="C455" i="15"/>
  <c r="D452" i="15"/>
  <c r="D451" i="15"/>
  <c r="D450" i="15"/>
  <c r="D449" i="15"/>
  <c r="D448" i="15"/>
  <c r="D447" i="15"/>
  <c r="D446" i="15"/>
  <c r="D445" i="15"/>
  <c r="D444" i="15"/>
  <c r="D443" i="15"/>
  <c r="D442" i="15"/>
  <c r="D441" i="15"/>
  <c r="D440" i="15"/>
  <c r="D439" i="15"/>
  <c r="D438" i="15"/>
  <c r="D437" i="15"/>
  <c r="D436" i="15"/>
  <c r="D435" i="15"/>
  <c r="D434" i="15"/>
  <c r="D433" i="15"/>
  <c r="D432" i="15"/>
  <c r="D431" i="15"/>
  <c r="D430" i="15"/>
  <c r="D429" i="15"/>
  <c r="D428" i="15"/>
  <c r="D427" i="15"/>
  <c r="D426" i="15"/>
  <c r="D425" i="15"/>
  <c r="D424" i="15"/>
  <c r="D423" i="15"/>
  <c r="D422" i="15"/>
  <c r="D421" i="15"/>
  <c r="D420" i="15"/>
  <c r="D419" i="15"/>
  <c r="D418" i="15"/>
  <c r="D417" i="15"/>
  <c r="D416" i="15"/>
  <c r="D415" i="15"/>
  <c r="D414" i="15"/>
  <c r="D413" i="15"/>
  <c r="D412" i="15"/>
  <c r="D411" i="15"/>
  <c r="D410" i="15"/>
  <c r="D409" i="15"/>
  <c r="D408" i="15"/>
  <c r="D407" i="15"/>
  <c r="D406" i="15"/>
  <c r="D405" i="15"/>
  <c r="D404" i="15"/>
  <c r="D403" i="15"/>
  <c r="D401" i="15"/>
  <c r="C400" i="15"/>
  <c r="C399" i="15"/>
  <c r="D396" i="15"/>
  <c r="D395" i="15"/>
  <c r="D394" i="15"/>
  <c r="D393" i="15"/>
  <c r="D392" i="15"/>
  <c r="D391" i="15"/>
  <c r="D390" i="15"/>
  <c r="D389" i="15"/>
  <c r="D388" i="15"/>
  <c r="D387" i="15"/>
  <c r="D386" i="15"/>
  <c r="D385" i="15"/>
  <c r="D384" i="15"/>
  <c r="D383" i="15"/>
  <c r="D382" i="15"/>
  <c r="D381" i="15"/>
  <c r="D380" i="15"/>
  <c r="D379" i="15"/>
  <c r="D378" i="15"/>
  <c r="D377" i="15"/>
  <c r="D376" i="15"/>
  <c r="D375" i="15"/>
  <c r="D374" i="15"/>
  <c r="D373" i="15"/>
  <c r="D372" i="15"/>
  <c r="D371" i="15"/>
  <c r="D370" i="15"/>
  <c r="D369" i="15"/>
  <c r="D368" i="15"/>
  <c r="D367" i="15"/>
  <c r="D366" i="15"/>
  <c r="D365" i="15"/>
  <c r="D364" i="15"/>
  <c r="D363" i="15"/>
  <c r="D362" i="15"/>
  <c r="D361" i="15"/>
  <c r="D360" i="15"/>
  <c r="D359" i="15"/>
  <c r="D358" i="15"/>
  <c r="D357" i="15"/>
  <c r="D356" i="15"/>
  <c r="D355" i="15"/>
  <c r="D354" i="15"/>
  <c r="D353" i="15"/>
  <c r="D352" i="15"/>
  <c r="D351" i="15"/>
  <c r="D350" i="15"/>
  <c r="D349" i="15"/>
  <c r="D348" i="15"/>
  <c r="D347" i="15"/>
  <c r="D345" i="15"/>
  <c r="C344" i="15"/>
  <c r="C343" i="15"/>
  <c r="D340" i="15"/>
  <c r="D339" i="15"/>
  <c r="D338" i="15"/>
  <c r="D337" i="15"/>
  <c r="D336" i="15"/>
  <c r="D335" i="15"/>
  <c r="D334" i="15"/>
  <c r="D333" i="15"/>
  <c r="D332" i="15"/>
  <c r="D331" i="15"/>
  <c r="D330" i="15"/>
  <c r="D329" i="15"/>
  <c r="D328" i="15"/>
  <c r="D327" i="15"/>
  <c r="D326" i="15"/>
  <c r="D325" i="15"/>
  <c r="D324" i="15"/>
  <c r="D323" i="15"/>
  <c r="D322" i="15"/>
  <c r="D321" i="15"/>
  <c r="D320" i="15"/>
  <c r="D319" i="15"/>
  <c r="D318" i="15"/>
  <c r="D317" i="15"/>
  <c r="D316" i="15"/>
  <c r="D315" i="15"/>
  <c r="D314" i="15"/>
  <c r="D313" i="15"/>
  <c r="D312" i="15"/>
  <c r="D311" i="15"/>
  <c r="D310" i="15"/>
  <c r="D309" i="15"/>
  <c r="D308" i="15"/>
  <c r="D307" i="15"/>
  <c r="D306" i="15"/>
  <c r="D305" i="15"/>
  <c r="D304" i="15"/>
  <c r="D303" i="15"/>
  <c r="D302" i="15"/>
  <c r="D301" i="15"/>
  <c r="D300" i="15"/>
  <c r="D299" i="15"/>
  <c r="D298" i="15"/>
  <c r="D297" i="15"/>
  <c r="D296" i="15"/>
  <c r="D295" i="15"/>
  <c r="D294" i="15"/>
  <c r="D293" i="15"/>
  <c r="D292" i="15"/>
  <c r="D291" i="15"/>
  <c r="D289" i="15"/>
  <c r="C288" i="15"/>
  <c r="C287" i="15"/>
  <c r="D284" i="15"/>
  <c r="D283" i="15"/>
  <c r="D282" i="15"/>
  <c r="D281" i="15"/>
  <c r="D280" i="15"/>
  <c r="D279" i="15"/>
  <c r="D278" i="15"/>
  <c r="D277" i="15"/>
  <c r="D276" i="15"/>
  <c r="D275" i="15"/>
  <c r="D274" i="15"/>
  <c r="D273" i="15"/>
  <c r="D272" i="15"/>
  <c r="D271" i="15"/>
  <c r="D270" i="15"/>
  <c r="D269" i="15"/>
  <c r="D268" i="15"/>
  <c r="D267" i="15"/>
  <c r="D266" i="15"/>
  <c r="D265" i="15"/>
  <c r="D264" i="15"/>
  <c r="D263" i="15"/>
  <c r="D262" i="15"/>
  <c r="D261" i="15"/>
  <c r="D260" i="15"/>
  <c r="D259" i="15"/>
  <c r="D258" i="15"/>
  <c r="D257" i="15"/>
  <c r="D256" i="15"/>
  <c r="D255" i="15"/>
  <c r="D254" i="15"/>
  <c r="D253" i="15"/>
  <c r="D252" i="15"/>
  <c r="D251" i="15"/>
  <c r="D250" i="15"/>
  <c r="D249" i="15"/>
  <c r="D248" i="15"/>
  <c r="D247" i="15"/>
  <c r="D246" i="15"/>
  <c r="D245" i="15"/>
  <c r="D244" i="15"/>
  <c r="D243" i="15"/>
  <c r="D242" i="15"/>
  <c r="D241" i="15"/>
  <c r="D240" i="15"/>
  <c r="D239" i="15"/>
  <c r="D238" i="15"/>
  <c r="D237" i="15"/>
  <c r="D236" i="15"/>
  <c r="D235" i="15"/>
  <c r="D233" i="15"/>
  <c r="D228" i="15"/>
  <c r="D227" i="15"/>
  <c r="D226" i="15"/>
  <c r="D225" i="15"/>
  <c r="D224" i="15"/>
  <c r="D223" i="15"/>
  <c r="D222" i="15"/>
  <c r="D221" i="15"/>
  <c r="D220" i="15"/>
  <c r="D219" i="15"/>
  <c r="D218" i="15"/>
  <c r="D217" i="15"/>
  <c r="D216" i="15"/>
  <c r="D215" i="15"/>
  <c r="D214" i="15"/>
  <c r="D213" i="15"/>
  <c r="D212" i="15"/>
  <c r="D211" i="15"/>
  <c r="D210" i="15"/>
  <c r="D209" i="15"/>
  <c r="D208" i="15"/>
  <c r="D207" i="15"/>
  <c r="D206" i="15"/>
  <c r="D205" i="15"/>
  <c r="D204" i="15"/>
  <c r="D203" i="15"/>
  <c r="D202" i="15"/>
  <c r="D201" i="15"/>
  <c r="D200" i="15"/>
  <c r="D199" i="15"/>
  <c r="D198" i="15"/>
  <c r="D197" i="15"/>
  <c r="D196" i="15"/>
  <c r="D195" i="15"/>
  <c r="D194" i="15"/>
  <c r="D193" i="15"/>
  <c r="D192" i="15"/>
  <c r="D191" i="15"/>
  <c r="D190" i="15"/>
  <c r="D189" i="15"/>
  <c r="D188" i="15"/>
  <c r="D187" i="15"/>
  <c r="D186" i="15"/>
  <c r="D185" i="15"/>
  <c r="D184" i="15"/>
  <c r="D183" i="15"/>
  <c r="D182" i="15"/>
  <c r="D181" i="15"/>
  <c r="D180" i="15"/>
  <c r="D179" i="15"/>
  <c r="D177" i="15"/>
  <c r="D172" i="15"/>
  <c r="D171" i="15"/>
  <c r="D170" i="15"/>
  <c r="D169" i="15"/>
  <c r="D168" i="15"/>
  <c r="D167" i="15"/>
  <c r="D166" i="15"/>
  <c r="D165" i="15"/>
  <c r="D164" i="15"/>
  <c r="D163" i="15"/>
  <c r="D162" i="15"/>
  <c r="D161" i="15"/>
  <c r="D160" i="15"/>
  <c r="D159" i="15"/>
  <c r="D158" i="15"/>
  <c r="D157" i="15"/>
  <c r="D156" i="15"/>
  <c r="D155" i="15"/>
  <c r="D154" i="15"/>
  <c r="D153" i="15"/>
  <c r="D152" i="15"/>
  <c r="D151" i="15"/>
  <c r="D150" i="15"/>
  <c r="D149" i="15"/>
  <c r="D148" i="15"/>
  <c r="D147" i="15"/>
  <c r="D146" i="15"/>
  <c r="D145" i="15"/>
  <c r="D144" i="15"/>
  <c r="D143" i="15"/>
  <c r="D142" i="15"/>
  <c r="D141" i="15"/>
  <c r="D140" i="15"/>
  <c r="D139" i="15"/>
  <c r="D138" i="15"/>
  <c r="D137" i="15"/>
  <c r="D136" i="15"/>
  <c r="D135" i="15"/>
  <c r="D134" i="15"/>
  <c r="D133" i="15"/>
  <c r="D132" i="15"/>
  <c r="D131" i="15"/>
  <c r="D130" i="15"/>
  <c r="D129" i="15"/>
  <c r="D128" i="15"/>
  <c r="D127" i="15"/>
  <c r="D126" i="15"/>
  <c r="D125" i="15"/>
  <c r="D124" i="15"/>
  <c r="D123" i="15"/>
  <c r="D121" i="15"/>
  <c r="D116" i="15"/>
  <c r="D115" i="15"/>
  <c r="D114" i="15"/>
  <c r="D113" i="15"/>
  <c r="D112" i="15"/>
  <c r="D111" i="15"/>
  <c r="D110" i="15"/>
  <c r="D109" i="15"/>
  <c r="D108" i="15"/>
  <c r="D107" i="15"/>
  <c r="D106" i="15"/>
  <c r="D105" i="15"/>
  <c r="D104" i="15"/>
  <c r="D103" i="15"/>
  <c r="D102" i="15"/>
  <c r="D101" i="15"/>
  <c r="D100" i="15"/>
  <c r="D99" i="15"/>
  <c r="D98" i="15"/>
  <c r="D97" i="15"/>
  <c r="D96" i="15"/>
  <c r="D95" i="15"/>
  <c r="D94" i="15"/>
  <c r="D93" i="15"/>
  <c r="D92" i="15"/>
  <c r="D91" i="15"/>
  <c r="D90" i="15"/>
  <c r="D89" i="15"/>
  <c r="D88" i="15"/>
  <c r="D87" i="15"/>
  <c r="D86" i="15"/>
  <c r="D85" i="15"/>
  <c r="D84" i="15"/>
  <c r="D83" i="15"/>
  <c r="D82" i="15"/>
  <c r="D81" i="15"/>
  <c r="D80" i="15"/>
  <c r="D79" i="15"/>
  <c r="D78" i="15"/>
  <c r="D77" i="15"/>
  <c r="D76" i="15"/>
  <c r="D75" i="15"/>
  <c r="D74" i="15"/>
  <c r="D73" i="15"/>
  <c r="D72" i="15"/>
  <c r="D71" i="15"/>
  <c r="D70" i="15"/>
  <c r="D69" i="15"/>
  <c r="D68" i="15"/>
  <c r="D67" i="15"/>
  <c r="D65" i="15"/>
  <c r="D60" i="15"/>
  <c r="D59" i="15"/>
  <c r="D58" i="15"/>
  <c r="D57" i="15"/>
  <c r="D56" i="15"/>
  <c r="D55" i="15"/>
  <c r="D54" i="15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9" i="15"/>
  <c r="L564" i="20" l="1"/>
  <c r="L560" i="20"/>
  <c r="L556" i="20"/>
  <c r="L552" i="20"/>
  <c r="L548" i="20"/>
  <c r="L544" i="20"/>
  <c r="L540" i="20"/>
  <c r="L536" i="20"/>
  <c r="L532" i="20"/>
  <c r="L528" i="20"/>
  <c r="L524" i="20"/>
  <c r="L520" i="20"/>
  <c r="L516" i="20"/>
  <c r="L506" i="20"/>
  <c r="L502" i="20"/>
  <c r="L498" i="20"/>
  <c r="L494" i="20"/>
  <c r="L490" i="20"/>
  <c r="L486" i="20"/>
  <c r="L482" i="20"/>
  <c r="L478" i="20"/>
  <c r="L474" i="20"/>
  <c r="L470" i="20"/>
  <c r="L466" i="20"/>
  <c r="L462" i="20"/>
  <c r="L452" i="20"/>
  <c r="L448" i="20"/>
  <c r="L444" i="20"/>
  <c r="L440" i="20"/>
  <c r="L436" i="20"/>
  <c r="L432" i="20"/>
  <c r="L428" i="20"/>
  <c r="L424" i="20"/>
  <c r="L420" i="20"/>
  <c r="L416" i="20"/>
  <c r="L412" i="20"/>
  <c r="L408" i="20"/>
  <c r="L404" i="20"/>
  <c r="F563" i="21"/>
  <c r="F559" i="21"/>
  <c r="F555" i="21"/>
  <c r="F551" i="21"/>
  <c r="F547" i="21"/>
  <c r="F543" i="21"/>
  <c r="F539" i="21"/>
  <c r="F535" i="21"/>
  <c r="F531" i="21"/>
  <c r="F527" i="21"/>
  <c r="F523" i="21"/>
  <c r="F519" i="21"/>
  <c r="F515" i="21"/>
  <c r="L505" i="21"/>
  <c r="L501" i="21"/>
  <c r="L497" i="21"/>
  <c r="L493" i="21"/>
  <c r="L489" i="21"/>
  <c r="L485" i="21"/>
  <c r="L481" i="21"/>
  <c r="L477" i="21"/>
  <c r="L473" i="21"/>
  <c r="L469" i="21"/>
  <c r="L465" i="21"/>
  <c r="L461" i="21"/>
  <c r="L451" i="21"/>
  <c r="L447" i="21"/>
  <c r="L443" i="21"/>
  <c r="L439" i="21"/>
  <c r="L435" i="21"/>
  <c r="L431" i="21"/>
  <c r="L427" i="21"/>
  <c r="L423" i="21"/>
  <c r="L419" i="21"/>
  <c r="L415" i="21"/>
  <c r="L411" i="21"/>
  <c r="L407" i="21"/>
  <c r="L403" i="21"/>
  <c r="I524" i="20"/>
  <c r="I444" i="20"/>
  <c r="K564" i="20"/>
  <c r="K560" i="20"/>
  <c r="K556" i="20"/>
  <c r="K552" i="20"/>
  <c r="K548" i="20"/>
  <c r="K544" i="20"/>
  <c r="K540" i="20"/>
  <c r="K536" i="20"/>
  <c r="K532" i="20"/>
  <c r="K528" i="20"/>
  <c r="K524" i="20"/>
  <c r="K520" i="20"/>
  <c r="K516" i="20"/>
  <c r="K506" i="20"/>
  <c r="K502" i="20"/>
  <c r="K498" i="20"/>
  <c r="K494" i="20"/>
  <c r="K490" i="20"/>
  <c r="K486" i="20"/>
  <c r="K482" i="20"/>
  <c r="K478" i="20"/>
  <c r="K474" i="20"/>
  <c r="K470" i="20"/>
  <c r="K466" i="20"/>
  <c r="K462" i="20"/>
  <c r="K452" i="20"/>
  <c r="K448" i="20"/>
  <c r="K444" i="20"/>
  <c r="K440" i="20"/>
  <c r="K436" i="20"/>
  <c r="K432" i="20"/>
  <c r="K428" i="20"/>
  <c r="K424" i="20"/>
  <c r="K420" i="20"/>
  <c r="K416" i="20"/>
  <c r="K412" i="20"/>
  <c r="K408" i="20"/>
  <c r="K404" i="20"/>
  <c r="E563" i="21"/>
  <c r="E559" i="21"/>
  <c r="E555" i="21"/>
  <c r="E551" i="21"/>
  <c r="E547" i="21"/>
  <c r="E543" i="21"/>
  <c r="E539" i="21"/>
  <c r="E535" i="21"/>
  <c r="E531" i="21"/>
  <c r="E527" i="21"/>
  <c r="E523" i="21"/>
  <c r="E519" i="21"/>
  <c r="E515" i="21"/>
  <c r="K505" i="21"/>
  <c r="K501" i="21"/>
  <c r="K497" i="21"/>
  <c r="K493" i="21"/>
  <c r="K489" i="21"/>
  <c r="K485" i="21"/>
  <c r="K481" i="21"/>
  <c r="K477" i="21"/>
  <c r="K473" i="21"/>
  <c r="K469" i="21"/>
  <c r="K465" i="21"/>
  <c r="K461" i="21"/>
  <c r="K451" i="21"/>
  <c r="K447" i="21"/>
  <c r="K443" i="21"/>
  <c r="K439" i="21"/>
  <c r="K435" i="21"/>
  <c r="K431" i="21"/>
  <c r="K427" i="21"/>
  <c r="K423" i="21"/>
  <c r="K419" i="21"/>
  <c r="K415" i="21"/>
  <c r="K411" i="21"/>
  <c r="K407" i="21"/>
  <c r="K403" i="21"/>
  <c r="I528" i="20"/>
  <c r="I516" i="20"/>
  <c r="I498" i="20"/>
  <c r="I490" i="20"/>
  <c r="I478" i="20"/>
  <c r="I470" i="20"/>
  <c r="I452" i="20"/>
  <c r="I436" i="20"/>
  <c r="I424" i="20"/>
  <c r="J564" i="20"/>
  <c r="J560" i="20"/>
  <c r="J556" i="20"/>
  <c r="J552" i="20"/>
  <c r="J548" i="20"/>
  <c r="J544" i="20"/>
  <c r="J540" i="20"/>
  <c r="J536" i="20"/>
  <c r="J532" i="20"/>
  <c r="J528" i="20"/>
  <c r="J524" i="20"/>
  <c r="J520" i="20"/>
  <c r="J516" i="20"/>
  <c r="J506" i="20"/>
  <c r="J502" i="20"/>
  <c r="J498" i="20"/>
  <c r="J494" i="20"/>
  <c r="J490" i="20"/>
  <c r="J486" i="20"/>
  <c r="J482" i="20"/>
  <c r="J478" i="20"/>
  <c r="J474" i="20"/>
  <c r="J470" i="20"/>
  <c r="J466" i="20"/>
  <c r="J462" i="20"/>
  <c r="J452" i="20"/>
  <c r="J448" i="20"/>
  <c r="J444" i="20"/>
  <c r="J440" i="20"/>
  <c r="J436" i="20"/>
  <c r="J432" i="20"/>
  <c r="J428" i="20"/>
  <c r="J424" i="20"/>
  <c r="J420" i="20"/>
  <c r="J416" i="20"/>
  <c r="J412" i="20"/>
  <c r="J408" i="20"/>
  <c r="J404" i="20"/>
  <c r="L562" i="21"/>
  <c r="L558" i="21"/>
  <c r="L554" i="21"/>
  <c r="L550" i="21"/>
  <c r="L546" i="21"/>
  <c r="L542" i="21"/>
  <c r="L538" i="21"/>
  <c r="L534" i="21"/>
  <c r="L530" i="21"/>
  <c r="L526" i="21"/>
  <c r="L522" i="21"/>
  <c r="L518" i="21"/>
  <c r="J505" i="21"/>
  <c r="J501" i="21"/>
  <c r="J497" i="21"/>
  <c r="J493" i="21"/>
  <c r="J489" i="21"/>
  <c r="J485" i="21"/>
  <c r="J481" i="21"/>
  <c r="J477" i="21"/>
  <c r="J473" i="21"/>
  <c r="J469" i="21"/>
  <c r="J465" i="21"/>
  <c r="J461" i="21"/>
  <c r="J451" i="21"/>
  <c r="J447" i="21"/>
  <c r="J443" i="21"/>
  <c r="J439" i="21"/>
  <c r="J435" i="21"/>
  <c r="J431" i="21"/>
  <c r="J427" i="21"/>
  <c r="J423" i="21"/>
  <c r="J419" i="21"/>
  <c r="J415" i="21"/>
  <c r="J411" i="21"/>
  <c r="J407" i="21"/>
  <c r="J403" i="21"/>
  <c r="I536" i="20"/>
  <c r="I502" i="20"/>
  <c r="I486" i="20"/>
  <c r="I474" i="20"/>
  <c r="I462" i="20"/>
  <c r="I440" i="20"/>
  <c r="I432" i="20"/>
  <c r="I420" i="20"/>
  <c r="I408" i="20"/>
  <c r="I564" i="20"/>
  <c r="I560" i="20"/>
  <c r="I556" i="20"/>
  <c r="I552" i="20"/>
  <c r="I548" i="20"/>
  <c r="I544" i="20"/>
  <c r="I540" i="20"/>
  <c r="I532" i="20"/>
  <c r="I520" i="20"/>
  <c r="I506" i="20"/>
  <c r="I494" i="20"/>
  <c r="I482" i="20"/>
  <c r="I466" i="20"/>
  <c r="I448" i="20"/>
  <c r="I428" i="20"/>
  <c r="I563" i="20"/>
  <c r="I559" i="20"/>
  <c r="I555" i="20"/>
  <c r="I551" i="20"/>
  <c r="I547" i="20"/>
  <c r="I543" i="20"/>
  <c r="I539" i="20"/>
  <c r="I535" i="20"/>
  <c r="I531" i="20"/>
  <c r="I527" i="20"/>
  <c r="I523" i="20"/>
  <c r="I519" i="20"/>
  <c r="I515" i="20"/>
  <c r="I505" i="20"/>
  <c r="I501" i="20"/>
  <c r="I497" i="20"/>
  <c r="I493" i="20"/>
  <c r="I489" i="20"/>
  <c r="I485" i="20"/>
  <c r="I481" i="20"/>
  <c r="I477" i="20"/>
  <c r="I473" i="20"/>
  <c r="I469" i="20"/>
  <c r="I465" i="20"/>
  <c r="I461" i="20"/>
  <c r="I451" i="20"/>
  <c r="I447" i="20"/>
  <c r="I443" i="20"/>
  <c r="I439" i="20"/>
  <c r="I435" i="20"/>
  <c r="I431" i="20"/>
  <c r="I427" i="20"/>
  <c r="I423" i="20"/>
  <c r="I419" i="20"/>
  <c r="I415" i="20"/>
  <c r="I411" i="20"/>
  <c r="I407" i="20"/>
  <c r="I403" i="20"/>
  <c r="K561" i="21"/>
  <c r="K557" i="21"/>
  <c r="K553" i="21"/>
  <c r="K549" i="21"/>
  <c r="K545" i="21"/>
  <c r="K541" i="21"/>
  <c r="K537" i="21"/>
  <c r="K533" i="21"/>
  <c r="K529" i="21"/>
  <c r="K525" i="21"/>
  <c r="K521" i="21"/>
  <c r="K517" i="21"/>
  <c r="I508" i="21"/>
  <c r="I504" i="21"/>
  <c r="I500" i="21"/>
  <c r="I496" i="21"/>
  <c r="I492" i="21"/>
  <c r="I488" i="21"/>
  <c r="I484" i="21"/>
  <c r="I480" i="21"/>
  <c r="H563" i="20"/>
  <c r="H559" i="20"/>
  <c r="H555" i="20"/>
  <c r="H551" i="20"/>
  <c r="H547" i="20"/>
  <c r="H543" i="20"/>
  <c r="H539" i="20"/>
  <c r="H535" i="20"/>
  <c r="H531" i="20"/>
  <c r="H527" i="20"/>
  <c r="H523" i="20"/>
  <c r="H519" i="20"/>
  <c r="H515" i="20"/>
  <c r="H505" i="20"/>
  <c r="H501" i="20"/>
  <c r="H497" i="20"/>
  <c r="H493" i="20"/>
  <c r="H489" i="20"/>
  <c r="H485" i="20"/>
  <c r="H481" i="20"/>
  <c r="H477" i="20"/>
  <c r="H473" i="20"/>
  <c r="H469" i="20"/>
  <c r="H465" i="20"/>
  <c r="H461" i="20"/>
  <c r="H451" i="20"/>
  <c r="H447" i="20"/>
  <c r="H443" i="20"/>
  <c r="H439" i="20"/>
  <c r="H435" i="20"/>
  <c r="H431" i="20"/>
  <c r="H427" i="20"/>
  <c r="H423" i="20"/>
  <c r="H419" i="20"/>
  <c r="H415" i="20"/>
  <c r="H411" i="20"/>
  <c r="H407" i="20"/>
  <c r="H403" i="20"/>
  <c r="J561" i="21"/>
  <c r="J557" i="21"/>
  <c r="J553" i="21"/>
  <c r="J549" i="21"/>
  <c r="J545" i="21"/>
  <c r="J541" i="21"/>
  <c r="J537" i="21"/>
  <c r="J533" i="21"/>
  <c r="J529" i="21"/>
  <c r="J525" i="21"/>
  <c r="J521" i="21"/>
  <c r="H564" i="20"/>
  <c r="J559" i="20"/>
  <c r="J554" i="20"/>
  <c r="L549" i="20"/>
  <c r="F545" i="20"/>
  <c r="L539" i="20"/>
  <c r="L534" i="20"/>
  <c r="F530" i="20"/>
  <c r="H525" i="20"/>
  <c r="F520" i="20"/>
  <c r="F515" i="20"/>
  <c r="H504" i="20"/>
  <c r="J499" i="20"/>
  <c r="H494" i="20"/>
  <c r="J489" i="20"/>
  <c r="J484" i="20"/>
  <c r="L479" i="20"/>
  <c r="F475" i="20"/>
  <c r="L469" i="20"/>
  <c r="L464" i="20"/>
  <c r="F460" i="20"/>
  <c r="H449" i="20"/>
  <c r="F444" i="20"/>
  <c r="F439" i="20"/>
  <c r="H434" i="20"/>
  <c r="J429" i="20"/>
  <c r="H424" i="20"/>
  <c r="J419" i="20"/>
  <c r="K414" i="20"/>
  <c r="F410" i="20"/>
  <c r="H405" i="20"/>
  <c r="J562" i="21"/>
  <c r="E558" i="21"/>
  <c r="F553" i="21"/>
  <c r="I548" i="21"/>
  <c r="L543" i="21"/>
  <c r="G539" i="21"/>
  <c r="G534" i="21"/>
  <c r="H529" i="21"/>
  <c r="K524" i="21"/>
  <c r="F520" i="21"/>
  <c r="J515" i="21"/>
  <c r="E506" i="21"/>
  <c r="F501" i="21"/>
  <c r="J496" i="21"/>
  <c r="E492" i="21"/>
  <c r="I487" i="21"/>
  <c r="E483" i="21"/>
  <c r="I478" i="21"/>
  <c r="F474" i="21"/>
  <c r="H469" i="21"/>
  <c r="E465" i="21"/>
  <c r="J460" i="21"/>
  <c r="G450" i="21"/>
  <c r="L445" i="21"/>
  <c r="I441" i="21"/>
  <c r="F437" i="21"/>
  <c r="K432" i="21"/>
  <c r="H428" i="21"/>
  <c r="E424" i="21"/>
  <c r="G419" i="21"/>
  <c r="L414" i="21"/>
  <c r="I410" i="21"/>
  <c r="F406" i="21"/>
  <c r="I515" i="21"/>
  <c r="H487" i="21"/>
  <c r="H478" i="21"/>
  <c r="G469" i="21"/>
  <c r="L464" i="21"/>
  <c r="F450" i="21"/>
  <c r="H441" i="21"/>
  <c r="G428" i="21"/>
  <c r="F419" i="21"/>
  <c r="E406" i="21"/>
  <c r="E525" i="20"/>
  <c r="E489" i="20"/>
  <c r="G474" i="20"/>
  <c r="K459" i="20"/>
  <c r="K438" i="20"/>
  <c r="G429" i="20"/>
  <c r="K409" i="20"/>
  <c r="H557" i="21"/>
  <c r="F548" i="21"/>
  <c r="H524" i="21"/>
  <c r="G564" i="20"/>
  <c r="G559" i="20"/>
  <c r="I554" i="20"/>
  <c r="K549" i="20"/>
  <c r="E545" i="20"/>
  <c r="K539" i="20"/>
  <c r="K534" i="20"/>
  <c r="E530" i="20"/>
  <c r="G525" i="20"/>
  <c r="E520" i="20"/>
  <c r="E515" i="20"/>
  <c r="G504" i="20"/>
  <c r="I499" i="20"/>
  <c r="G494" i="20"/>
  <c r="G489" i="20"/>
  <c r="I484" i="20"/>
  <c r="K479" i="20"/>
  <c r="E475" i="20"/>
  <c r="K469" i="20"/>
  <c r="K464" i="20"/>
  <c r="E460" i="20"/>
  <c r="G449" i="20"/>
  <c r="E444" i="20"/>
  <c r="E439" i="20"/>
  <c r="G434" i="20"/>
  <c r="I429" i="20"/>
  <c r="G424" i="20"/>
  <c r="G419" i="20"/>
  <c r="J414" i="20"/>
  <c r="E410" i="20"/>
  <c r="G405" i="20"/>
  <c r="I562" i="21"/>
  <c r="L557" i="21"/>
  <c r="E553" i="21"/>
  <c r="H548" i="21"/>
  <c r="K543" i="21"/>
  <c r="K538" i="21"/>
  <c r="F534" i="21"/>
  <c r="G529" i="21"/>
  <c r="J524" i="21"/>
  <c r="E520" i="21"/>
  <c r="I505" i="21"/>
  <c r="E501" i="21"/>
  <c r="H496" i="21"/>
  <c r="L491" i="21"/>
  <c r="L482" i="21"/>
  <c r="E474" i="21"/>
  <c r="I460" i="21"/>
  <c r="K445" i="21"/>
  <c r="E437" i="21"/>
  <c r="J432" i="21"/>
  <c r="I423" i="21"/>
  <c r="K414" i="21"/>
  <c r="H410" i="21"/>
  <c r="K529" i="20"/>
  <c r="E494" i="20"/>
  <c r="I479" i="20"/>
  <c r="I464" i="20"/>
  <c r="K443" i="20"/>
  <c r="E424" i="20"/>
  <c r="H414" i="20"/>
  <c r="G562" i="21"/>
  <c r="I543" i="21"/>
  <c r="L533" i="21"/>
  <c r="K519" i="21"/>
  <c r="F564" i="20"/>
  <c r="F559" i="20"/>
  <c r="H554" i="20"/>
  <c r="J549" i="20"/>
  <c r="H544" i="20"/>
  <c r="J539" i="20"/>
  <c r="J534" i="20"/>
  <c r="L529" i="20"/>
  <c r="F525" i="20"/>
  <c r="L519" i="20"/>
  <c r="L508" i="20"/>
  <c r="F504" i="20"/>
  <c r="H499" i="20"/>
  <c r="F494" i="20"/>
  <c r="F489" i="20"/>
  <c r="H484" i="20"/>
  <c r="J479" i="20"/>
  <c r="H474" i="20"/>
  <c r="J469" i="20"/>
  <c r="J464" i="20"/>
  <c r="L459" i="20"/>
  <c r="F449" i="20"/>
  <c r="L443" i="20"/>
  <c r="L438" i="20"/>
  <c r="F434" i="20"/>
  <c r="H429" i="20"/>
  <c r="F424" i="20"/>
  <c r="F419" i="20"/>
  <c r="I414" i="20"/>
  <c r="L409" i="20"/>
  <c r="F405" i="20"/>
  <c r="H562" i="21"/>
  <c r="I557" i="21"/>
  <c r="L552" i="21"/>
  <c r="G548" i="21"/>
  <c r="J543" i="21"/>
  <c r="J538" i="21"/>
  <c r="E534" i="21"/>
  <c r="F529" i="21"/>
  <c r="I524" i="21"/>
  <c r="L519" i="21"/>
  <c r="H515" i="21"/>
  <c r="H505" i="21"/>
  <c r="L500" i="21"/>
  <c r="G496" i="21"/>
  <c r="K491" i="21"/>
  <c r="G487" i="21"/>
  <c r="K482" i="21"/>
  <c r="G478" i="21"/>
  <c r="I473" i="21"/>
  <c r="F469" i="21"/>
  <c r="K464" i="21"/>
  <c r="H460" i="21"/>
  <c r="E450" i="21"/>
  <c r="J445" i="21"/>
  <c r="G441" i="21"/>
  <c r="L436" i="21"/>
  <c r="I432" i="21"/>
  <c r="F428" i="21"/>
  <c r="H423" i="21"/>
  <c r="E419" i="21"/>
  <c r="J414" i="21"/>
  <c r="G410" i="21"/>
  <c r="L405" i="21"/>
  <c r="E564" i="20"/>
  <c r="E559" i="20"/>
  <c r="G554" i="20"/>
  <c r="I549" i="20"/>
  <c r="G544" i="20"/>
  <c r="G539" i="20"/>
  <c r="I534" i="20"/>
  <c r="K519" i="20"/>
  <c r="K508" i="20"/>
  <c r="E504" i="20"/>
  <c r="G499" i="20"/>
  <c r="G484" i="20"/>
  <c r="G469" i="20"/>
  <c r="E449" i="20"/>
  <c r="E434" i="20"/>
  <c r="E419" i="20"/>
  <c r="E405" i="20"/>
  <c r="K552" i="21"/>
  <c r="I538" i="21"/>
  <c r="E529" i="21"/>
  <c r="G515" i="21"/>
  <c r="L563" i="20"/>
  <c r="L558" i="20"/>
  <c r="F554" i="20"/>
  <c r="H549" i="20"/>
  <c r="F544" i="20"/>
  <c r="F539" i="20"/>
  <c r="H534" i="20"/>
  <c r="J529" i="20"/>
  <c r="H524" i="20"/>
  <c r="J519" i="20"/>
  <c r="J508" i="20"/>
  <c r="L503" i="20"/>
  <c r="F499" i="20"/>
  <c r="L493" i="20"/>
  <c r="L488" i="20"/>
  <c r="F484" i="20"/>
  <c r="H479" i="20"/>
  <c r="F474" i="20"/>
  <c r="F469" i="20"/>
  <c r="H464" i="20"/>
  <c r="J459" i="20"/>
  <c r="H448" i="20"/>
  <c r="J443" i="20"/>
  <c r="J438" i="20"/>
  <c r="L433" i="20"/>
  <c r="F429" i="20"/>
  <c r="L423" i="20"/>
  <c r="L418" i="20"/>
  <c r="G414" i="20"/>
  <c r="J409" i="20"/>
  <c r="I404" i="20"/>
  <c r="F562" i="21"/>
  <c r="G557" i="21"/>
  <c r="J552" i="21"/>
  <c r="E548" i="21"/>
  <c r="H543" i="21"/>
  <c r="H538" i="21"/>
  <c r="I533" i="21"/>
  <c r="L528" i="21"/>
  <c r="G524" i="21"/>
  <c r="J519" i="21"/>
  <c r="F505" i="21"/>
  <c r="J500" i="21"/>
  <c r="E496" i="21"/>
  <c r="I491" i="21"/>
  <c r="E487" i="21"/>
  <c r="I482" i="21"/>
  <c r="E478" i="21"/>
  <c r="G473" i="21"/>
  <c r="L468" i="21"/>
  <c r="K563" i="20"/>
  <c r="K558" i="20"/>
  <c r="E554" i="20"/>
  <c r="G549" i="20"/>
  <c r="E544" i="20"/>
  <c r="E539" i="20"/>
  <c r="G534" i="20"/>
  <c r="I529" i="20"/>
  <c r="G524" i="20"/>
  <c r="G519" i="20"/>
  <c r="I508" i="20"/>
  <c r="K503" i="20"/>
  <c r="E499" i="20"/>
  <c r="K493" i="20"/>
  <c r="K488" i="20"/>
  <c r="E484" i="20"/>
  <c r="G479" i="20"/>
  <c r="E474" i="20"/>
  <c r="E469" i="20"/>
  <c r="G464" i="20"/>
  <c r="I459" i="20"/>
  <c r="G448" i="20"/>
  <c r="G443" i="20"/>
  <c r="I438" i="20"/>
  <c r="K433" i="20"/>
  <c r="E429" i="20"/>
  <c r="K423" i="20"/>
  <c r="K418" i="20"/>
  <c r="F414" i="20"/>
  <c r="I409" i="20"/>
  <c r="H404" i="20"/>
  <c r="E562" i="21"/>
  <c r="F557" i="21"/>
  <c r="I552" i="21"/>
  <c r="L547" i="21"/>
  <c r="G543" i="21"/>
  <c r="G538" i="21"/>
  <c r="H533" i="21"/>
  <c r="K528" i="21"/>
  <c r="F524" i="21"/>
  <c r="I519" i="21"/>
  <c r="E505" i="21"/>
  <c r="H500" i="21"/>
  <c r="L495" i="21"/>
  <c r="H491" i="21"/>
  <c r="L486" i="21"/>
  <c r="H482" i="21"/>
  <c r="I477" i="21"/>
  <c r="J563" i="20"/>
  <c r="J558" i="20"/>
  <c r="L553" i="20"/>
  <c r="F549" i="20"/>
  <c r="L543" i="20"/>
  <c r="L538" i="20"/>
  <c r="F534" i="20"/>
  <c r="H529" i="20"/>
  <c r="F524" i="20"/>
  <c r="F519" i="20"/>
  <c r="H508" i="20"/>
  <c r="J503" i="20"/>
  <c r="H498" i="20"/>
  <c r="J493" i="20"/>
  <c r="J488" i="20"/>
  <c r="L483" i="20"/>
  <c r="F479" i="20"/>
  <c r="G563" i="20"/>
  <c r="I558" i="20"/>
  <c r="K553" i="20"/>
  <c r="E549" i="20"/>
  <c r="K543" i="20"/>
  <c r="K538" i="20"/>
  <c r="E534" i="20"/>
  <c r="G529" i="20"/>
  <c r="E524" i="20"/>
  <c r="E519" i="20"/>
  <c r="G508" i="20"/>
  <c r="I503" i="20"/>
  <c r="G498" i="20"/>
  <c r="E561" i="20"/>
  <c r="K555" i="20"/>
  <c r="E560" i="20"/>
  <c r="F563" i="20"/>
  <c r="F557" i="20"/>
  <c r="I550" i="20"/>
  <c r="E543" i="20"/>
  <c r="G537" i="20"/>
  <c r="K530" i="20"/>
  <c r="G523" i="20"/>
  <c r="I517" i="20"/>
  <c r="E505" i="20"/>
  <c r="K497" i="20"/>
  <c r="L491" i="20"/>
  <c r="K485" i="20"/>
  <c r="E479" i="20"/>
  <c r="K472" i="20"/>
  <c r="G467" i="20"/>
  <c r="E461" i="20"/>
  <c r="I449" i="20"/>
  <c r="I442" i="20"/>
  <c r="E437" i="20"/>
  <c r="K430" i="20"/>
  <c r="G425" i="20"/>
  <c r="G418" i="20"/>
  <c r="I412" i="20"/>
  <c r="K406" i="20"/>
  <c r="J563" i="21"/>
  <c r="L556" i="21"/>
  <c r="I551" i="21"/>
  <c r="I545" i="21"/>
  <c r="F540" i="21"/>
  <c r="H534" i="21"/>
  <c r="E528" i="21"/>
  <c r="G522" i="21"/>
  <c r="K516" i="21"/>
  <c r="J506" i="21"/>
  <c r="K500" i="21"/>
  <c r="G495" i="21"/>
  <c r="F490" i="21"/>
  <c r="J484" i="21"/>
  <c r="H479" i="21"/>
  <c r="H474" i="21"/>
  <c r="J468" i="21"/>
  <c r="L463" i="21"/>
  <c r="F459" i="21"/>
  <c r="H448" i="21"/>
  <c r="G443" i="21"/>
  <c r="I438" i="21"/>
  <c r="K433" i="21"/>
  <c r="E429" i="21"/>
  <c r="G424" i="21"/>
  <c r="K418" i="21"/>
  <c r="E414" i="21"/>
  <c r="G409" i="21"/>
  <c r="I404" i="21"/>
  <c r="F467" i="20"/>
  <c r="H412" i="20"/>
  <c r="K556" i="21"/>
  <c r="H551" i="21"/>
  <c r="G533" i="21"/>
  <c r="F522" i="21"/>
  <c r="I506" i="21"/>
  <c r="F495" i="21"/>
  <c r="H484" i="21"/>
  <c r="G474" i="21"/>
  <c r="K463" i="21"/>
  <c r="G448" i="21"/>
  <c r="H438" i="21"/>
  <c r="L428" i="21"/>
  <c r="F424" i="21"/>
  <c r="L413" i="21"/>
  <c r="F409" i="21"/>
  <c r="H472" i="20"/>
  <c r="K550" i="21"/>
  <c r="L521" i="21"/>
  <c r="H516" i="21"/>
  <c r="F484" i="21"/>
  <c r="G468" i="21"/>
  <c r="E448" i="21"/>
  <c r="H433" i="21"/>
  <c r="J413" i="21"/>
  <c r="G406" i="20"/>
  <c r="I527" i="21"/>
  <c r="G489" i="21"/>
  <c r="K442" i="21"/>
  <c r="G418" i="21"/>
  <c r="K472" i="21"/>
  <c r="E563" i="20"/>
  <c r="E557" i="20"/>
  <c r="H550" i="20"/>
  <c r="L542" i="20"/>
  <c r="F537" i="20"/>
  <c r="J530" i="20"/>
  <c r="F523" i="20"/>
  <c r="H517" i="20"/>
  <c r="L504" i="20"/>
  <c r="J497" i="20"/>
  <c r="K491" i="20"/>
  <c r="J485" i="20"/>
  <c r="H478" i="20"/>
  <c r="J472" i="20"/>
  <c r="L460" i="20"/>
  <c r="F448" i="20"/>
  <c r="H442" i="20"/>
  <c r="H436" i="20"/>
  <c r="J430" i="20"/>
  <c r="F425" i="20"/>
  <c r="F418" i="20"/>
  <c r="J406" i="20"/>
  <c r="I563" i="21"/>
  <c r="H545" i="21"/>
  <c r="E540" i="21"/>
  <c r="L527" i="21"/>
  <c r="J516" i="21"/>
  <c r="G500" i="21"/>
  <c r="E490" i="21"/>
  <c r="G479" i="21"/>
  <c r="I468" i="21"/>
  <c r="E459" i="21"/>
  <c r="F443" i="21"/>
  <c r="J433" i="21"/>
  <c r="J418" i="21"/>
  <c r="H404" i="21"/>
  <c r="J460" i="20"/>
  <c r="J423" i="20"/>
  <c r="H406" i="20"/>
  <c r="I556" i="21"/>
  <c r="K539" i="21"/>
  <c r="J527" i="21"/>
  <c r="E500" i="21"/>
  <c r="H489" i="21"/>
  <c r="F473" i="21"/>
  <c r="K452" i="21"/>
  <c r="F438" i="21"/>
  <c r="F423" i="21"/>
  <c r="L408" i="21"/>
  <c r="H556" i="21"/>
  <c r="J539" i="21"/>
  <c r="G516" i="21"/>
  <c r="L499" i="21"/>
  <c r="L478" i="21"/>
  <c r="H463" i="21"/>
  <c r="E438" i="21"/>
  <c r="E423" i="21"/>
  <c r="E404" i="21"/>
  <c r="K483" i="21"/>
  <c r="H452" i="21"/>
  <c r="L562" i="20"/>
  <c r="H556" i="20"/>
  <c r="G550" i="20"/>
  <c r="K542" i="20"/>
  <c r="E537" i="20"/>
  <c r="I530" i="20"/>
  <c r="E523" i="20"/>
  <c r="G517" i="20"/>
  <c r="K504" i="20"/>
  <c r="G497" i="20"/>
  <c r="J491" i="20"/>
  <c r="G485" i="20"/>
  <c r="G478" i="20"/>
  <c r="I472" i="20"/>
  <c r="E467" i="20"/>
  <c r="K460" i="20"/>
  <c r="E448" i="20"/>
  <c r="G442" i="20"/>
  <c r="G436" i="20"/>
  <c r="I430" i="20"/>
  <c r="E425" i="20"/>
  <c r="E418" i="20"/>
  <c r="G412" i="20"/>
  <c r="I406" i="20"/>
  <c r="H563" i="21"/>
  <c r="J556" i="21"/>
  <c r="G551" i="21"/>
  <c r="G545" i="21"/>
  <c r="L539" i="21"/>
  <c r="F533" i="21"/>
  <c r="K527" i="21"/>
  <c r="E522" i="21"/>
  <c r="I516" i="21"/>
  <c r="H506" i="21"/>
  <c r="F500" i="21"/>
  <c r="E495" i="21"/>
  <c r="I489" i="21"/>
  <c r="G484" i="21"/>
  <c r="F479" i="21"/>
  <c r="H473" i="21"/>
  <c r="H468" i="21"/>
  <c r="J463" i="21"/>
  <c r="L452" i="21"/>
  <c r="F448" i="21"/>
  <c r="E443" i="21"/>
  <c r="G438" i="21"/>
  <c r="I433" i="21"/>
  <c r="K428" i="21"/>
  <c r="G423" i="21"/>
  <c r="I418" i="21"/>
  <c r="K413" i="21"/>
  <c r="E409" i="21"/>
  <c r="G404" i="21"/>
  <c r="K562" i="20"/>
  <c r="G556" i="20"/>
  <c r="F550" i="20"/>
  <c r="J542" i="20"/>
  <c r="H536" i="20"/>
  <c r="H530" i="20"/>
  <c r="L522" i="20"/>
  <c r="F517" i="20"/>
  <c r="J504" i="20"/>
  <c r="F497" i="20"/>
  <c r="I491" i="20"/>
  <c r="F485" i="20"/>
  <c r="F478" i="20"/>
  <c r="H466" i="20"/>
  <c r="L447" i="20"/>
  <c r="F442" i="20"/>
  <c r="F436" i="20"/>
  <c r="H430" i="20"/>
  <c r="L417" i="20"/>
  <c r="F412" i="20"/>
  <c r="G563" i="21"/>
  <c r="F545" i="21"/>
  <c r="E533" i="21"/>
  <c r="G506" i="21"/>
  <c r="L494" i="21"/>
  <c r="E479" i="21"/>
  <c r="I463" i="21"/>
  <c r="L442" i="21"/>
  <c r="J428" i="21"/>
  <c r="H418" i="21"/>
  <c r="F404" i="21"/>
  <c r="J550" i="21"/>
  <c r="L532" i="21"/>
  <c r="F506" i="21"/>
  <c r="E484" i="21"/>
  <c r="F468" i="21"/>
  <c r="J452" i="21"/>
  <c r="G433" i="21"/>
  <c r="I413" i="21"/>
  <c r="J499" i="21"/>
  <c r="J478" i="21"/>
  <c r="J562" i="20"/>
  <c r="F556" i="20"/>
  <c r="E550" i="20"/>
  <c r="I542" i="20"/>
  <c r="G536" i="20"/>
  <c r="G530" i="20"/>
  <c r="K522" i="20"/>
  <c r="E517" i="20"/>
  <c r="I504" i="20"/>
  <c r="E497" i="20"/>
  <c r="H491" i="20"/>
  <c r="E485" i="20"/>
  <c r="E478" i="20"/>
  <c r="G472" i="20"/>
  <c r="G466" i="20"/>
  <c r="I460" i="20"/>
  <c r="K447" i="20"/>
  <c r="E442" i="20"/>
  <c r="E436" i="20"/>
  <c r="G430" i="20"/>
  <c r="G423" i="20"/>
  <c r="K417" i="20"/>
  <c r="E412" i="20"/>
  <c r="K562" i="21"/>
  <c r="E545" i="21"/>
  <c r="I521" i="21"/>
  <c r="K494" i="21"/>
  <c r="E473" i="21"/>
  <c r="I447" i="21"/>
  <c r="I428" i="21"/>
  <c r="K408" i="21"/>
  <c r="E489" i="21"/>
  <c r="G447" i="21"/>
  <c r="I562" i="20"/>
  <c r="E556" i="20"/>
  <c r="H548" i="20"/>
  <c r="H542" i="20"/>
  <c r="F536" i="20"/>
  <c r="F529" i="20"/>
  <c r="J522" i="20"/>
  <c r="H516" i="20"/>
  <c r="H503" i="20"/>
  <c r="L496" i="20"/>
  <c r="G491" i="20"/>
  <c r="L484" i="20"/>
  <c r="L477" i="20"/>
  <c r="F472" i="20"/>
  <c r="F466" i="20"/>
  <c r="H460" i="20"/>
  <c r="J447" i="20"/>
  <c r="L441" i="20"/>
  <c r="L435" i="20"/>
  <c r="F430" i="20"/>
  <c r="F423" i="20"/>
  <c r="J417" i="20"/>
  <c r="L411" i="20"/>
  <c r="F406" i="20"/>
  <c r="L561" i="21"/>
  <c r="G556" i="21"/>
  <c r="I550" i="21"/>
  <c r="L544" i="21"/>
  <c r="I539" i="21"/>
  <c r="K532" i="21"/>
  <c r="H527" i="21"/>
  <c r="H521" i="21"/>
  <c r="F516" i="21"/>
  <c r="G505" i="21"/>
  <c r="K499" i="21"/>
  <c r="J494" i="21"/>
  <c r="F489" i="21"/>
  <c r="L483" i="21"/>
  <c r="K478" i="21"/>
  <c r="L472" i="21"/>
  <c r="E468" i="21"/>
  <c r="G463" i="21"/>
  <c r="I452" i="21"/>
  <c r="H447" i="21"/>
  <c r="J442" i="21"/>
  <c r="L437" i="21"/>
  <c r="F433" i="21"/>
  <c r="E428" i="21"/>
  <c r="L422" i="21"/>
  <c r="F418" i="21"/>
  <c r="H413" i="21"/>
  <c r="J408" i="21"/>
  <c r="I403" i="21"/>
  <c r="E423" i="20"/>
  <c r="F556" i="21"/>
  <c r="H539" i="21"/>
  <c r="G527" i="21"/>
  <c r="E516" i="21"/>
  <c r="I494" i="21"/>
  <c r="F463" i="21"/>
  <c r="I442" i="21"/>
  <c r="H562" i="20"/>
  <c r="L555" i="20"/>
  <c r="G548" i="20"/>
  <c r="G542" i="20"/>
  <c r="E536" i="20"/>
  <c r="E529" i="20"/>
  <c r="I522" i="20"/>
  <c r="G516" i="20"/>
  <c r="G503" i="20"/>
  <c r="K496" i="20"/>
  <c r="F491" i="20"/>
  <c r="K484" i="20"/>
  <c r="K477" i="20"/>
  <c r="E472" i="20"/>
  <c r="E466" i="20"/>
  <c r="G460" i="20"/>
  <c r="G447" i="20"/>
  <c r="K441" i="20"/>
  <c r="K435" i="20"/>
  <c r="E430" i="20"/>
  <c r="I417" i="20"/>
  <c r="K411" i="20"/>
  <c r="E406" i="20"/>
  <c r="I561" i="21"/>
  <c r="H550" i="21"/>
  <c r="K544" i="21"/>
  <c r="J532" i="21"/>
  <c r="G521" i="21"/>
  <c r="L504" i="21"/>
  <c r="L467" i="21"/>
  <c r="G562" i="20"/>
  <c r="J555" i="20"/>
  <c r="F548" i="20"/>
  <c r="F542" i="20"/>
  <c r="L535" i="20"/>
  <c r="H528" i="20"/>
  <c r="H522" i="20"/>
  <c r="F516" i="20"/>
  <c r="F503" i="20"/>
  <c r="J496" i="20"/>
  <c r="E491" i="20"/>
  <c r="K483" i="20"/>
  <c r="J477" i="20"/>
  <c r="L471" i="20"/>
  <c r="L465" i="20"/>
  <c r="H459" i="20"/>
  <c r="F447" i="20"/>
  <c r="J441" i="20"/>
  <c r="J435" i="20"/>
  <c r="L429" i="20"/>
  <c r="L422" i="20"/>
  <c r="H417" i="20"/>
  <c r="J411" i="20"/>
  <c r="L405" i="20"/>
  <c r="H561" i="21"/>
  <c r="E556" i="21"/>
  <c r="G550" i="21"/>
  <c r="J544" i="21"/>
  <c r="F538" i="21"/>
  <c r="I532" i="21"/>
  <c r="J561" i="20"/>
  <c r="K554" i="20"/>
  <c r="G547" i="20"/>
  <c r="I541" i="20"/>
  <c r="E535" i="20"/>
  <c r="K527" i="20"/>
  <c r="K521" i="20"/>
  <c r="G515" i="20"/>
  <c r="E502" i="20"/>
  <c r="E496" i="20"/>
  <c r="L489" i="20"/>
  <c r="F483" i="20"/>
  <c r="K476" i="20"/>
  <c r="G471" i="20"/>
  <c r="H558" i="20"/>
  <c r="E552" i="20"/>
  <c r="E546" i="20"/>
  <c r="I538" i="20"/>
  <c r="G532" i="20"/>
  <c r="G526" i="20"/>
  <c r="K518" i="20"/>
  <c r="E507" i="20"/>
  <c r="I500" i="20"/>
  <c r="F493" i="20"/>
  <c r="I487" i="20"/>
  <c r="F481" i="20"/>
  <c r="I475" i="20"/>
  <c r="H557" i="20"/>
  <c r="F562" i="20"/>
  <c r="G552" i="20"/>
  <c r="F543" i="20"/>
  <c r="G533" i="20"/>
  <c r="L523" i="20"/>
  <c r="K507" i="20"/>
  <c r="L499" i="20"/>
  <c r="I488" i="20"/>
  <c r="K480" i="20"/>
  <c r="H471" i="20"/>
  <c r="G463" i="20"/>
  <c r="E450" i="20"/>
  <c r="E441" i="20"/>
  <c r="E433" i="20"/>
  <c r="K425" i="20"/>
  <c r="H416" i="20"/>
  <c r="E409" i="20"/>
  <c r="F564" i="21"/>
  <c r="H555" i="21"/>
  <c r="J547" i="21"/>
  <c r="J540" i="21"/>
  <c r="L531" i="21"/>
  <c r="E525" i="21"/>
  <c r="I517" i="21"/>
  <c r="J504" i="21"/>
  <c r="I498" i="21"/>
  <c r="J491" i="21"/>
  <c r="E485" i="21"/>
  <c r="E477" i="21"/>
  <c r="G471" i="21"/>
  <c r="F465" i="21"/>
  <c r="G452" i="21"/>
  <c r="G446" i="21"/>
  <c r="G440" i="21"/>
  <c r="H434" i="21"/>
  <c r="H427" i="21"/>
  <c r="L421" i="21"/>
  <c r="H416" i="21"/>
  <c r="F410" i="21"/>
  <c r="J404" i="21"/>
  <c r="H470" i="20"/>
  <c r="K563" i="21"/>
  <c r="I531" i="21"/>
  <c r="E491" i="21"/>
  <c r="I451" i="21"/>
  <c r="E434" i="21"/>
  <c r="K409" i="21"/>
  <c r="K523" i="21"/>
  <c r="L490" i="21"/>
  <c r="G464" i="21"/>
  <c r="H439" i="21"/>
  <c r="I415" i="21"/>
  <c r="E532" i="20"/>
  <c r="F470" i="20"/>
  <c r="L439" i="20"/>
  <c r="K415" i="20"/>
  <c r="J546" i="21"/>
  <c r="L516" i="21"/>
  <c r="I497" i="21"/>
  <c r="H483" i="21"/>
  <c r="G451" i="21"/>
  <c r="G421" i="21"/>
  <c r="I422" i="20"/>
  <c r="L515" i="21"/>
  <c r="G483" i="21"/>
  <c r="L432" i="21"/>
  <c r="H409" i="21"/>
  <c r="G477" i="20"/>
  <c r="J407" i="20"/>
  <c r="J530" i="21"/>
  <c r="G497" i="21"/>
  <c r="E451" i="21"/>
  <c r="E421" i="21"/>
  <c r="F415" i="20"/>
  <c r="I503" i="21"/>
  <c r="G470" i="21"/>
  <c r="L438" i="21"/>
  <c r="F432" i="21"/>
  <c r="E562" i="20"/>
  <c r="F552" i="20"/>
  <c r="E542" i="20"/>
  <c r="F533" i="20"/>
  <c r="K523" i="20"/>
  <c r="J507" i="20"/>
  <c r="K499" i="20"/>
  <c r="H488" i="20"/>
  <c r="J480" i="20"/>
  <c r="F471" i="20"/>
  <c r="F463" i="20"/>
  <c r="L449" i="20"/>
  <c r="H440" i="20"/>
  <c r="H432" i="20"/>
  <c r="J425" i="20"/>
  <c r="G416" i="20"/>
  <c r="H408" i="20"/>
  <c r="E564" i="21"/>
  <c r="G555" i="21"/>
  <c r="I547" i="21"/>
  <c r="I540" i="21"/>
  <c r="K531" i="21"/>
  <c r="L524" i="21"/>
  <c r="H517" i="21"/>
  <c r="H504" i="21"/>
  <c r="H498" i="21"/>
  <c r="G491" i="21"/>
  <c r="L484" i="21"/>
  <c r="L476" i="21"/>
  <c r="F471" i="21"/>
  <c r="J464" i="21"/>
  <c r="F452" i="21"/>
  <c r="F446" i="21"/>
  <c r="F440" i="21"/>
  <c r="G434" i="21"/>
  <c r="G427" i="21"/>
  <c r="K421" i="21"/>
  <c r="G416" i="21"/>
  <c r="E410" i="21"/>
  <c r="H403" i="21"/>
  <c r="K551" i="20"/>
  <c r="K541" i="20"/>
  <c r="G522" i="20"/>
  <c r="E498" i="20"/>
  <c r="H480" i="20"/>
  <c r="J449" i="20"/>
  <c r="F432" i="20"/>
  <c r="H425" i="20"/>
  <c r="G547" i="21"/>
  <c r="F517" i="21"/>
  <c r="J483" i="21"/>
  <c r="L470" i="21"/>
  <c r="I439" i="21"/>
  <c r="I421" i="21"/>
  <c r="E538" i="21"/>
  <c r="E504" i="21"/>
  <c r="I476" i="21"/>
  <c r="H445" i="21"/>
  <c r="L426" i="21"/>
  <c r="J409" i="21"/>
  <c r="E522" i="20"/>
  <c r="L487" i="20"/>
  <c r="F462" i="20"/>
  <c r="L431" i="20"/>
  <c r="L407" i="20"/>
  <c r="J523" i="21"/>
  <c r="K490" i="21"/>
  <c r="F464" i="21"/>
  <c r="K426" i="21"/>
  <c r="I409" i="21"/>
  <c r="E561" i="21"/>
  <c r="H497" i="21"/>
  <c r="I470" i="21"/>
  <c r="G415" i="21"/>
  <c r="J487" i="20"/>
  <c r="J439" i="20"/>
  <c r="G415" i="20"/>
  <c r="H546" i="21"/>
  <c r="I490" i="21"/>
  <c r="E463" i="21"/>
  <c r="H432" i="21"/>
  <c r="G431" i="20"/>
  <c r="K560" i="21"/>
  <c r="G523" i="21"/>
  <c r="E476" i="21"/>
  <c r="L444" i="21"/>
  <c r="L420" i="21"/>
  <c r="K444" i="21"/>
  <c r="L561" i="20"/>
  <c r="L551" i="20"/>
  <c r="L541" i="20"/>
  <c r="E533" i="20"/>
  <c r="J523" i="20"/>
  <c r="I507" i="20"/>
  <c r="F498" i="20"/>
  <c r="G488" i="20"/>
  <c r="I480" i="20"/>
  <c r="E471" i="20"/>
  <c r="E463" i="20"/>
  <c r="K449" i="20"/>
  <c r="G440" i="20"/>
  <c r="G432" i="20"/>
  <c r="I425" i="20"/>
  <c r="F416" i="20"/>
  <c r="G408" i="20"/>
  <c r="L563" i="21"/>
  <c r="K554" i="21"/>
  <c r="H547" i="21"/>
  <c r="H540" i="21"/>
  <c r="J531" i="21"/>
  <c r="E524" i="21"/>
  <c r="G517" i="21"/>
  <c r="G504" i="21"/>
  <c r="G498" i="21"/>
  <c r="F491" i="21"/>
  <c r="K484" i="21"/>
  <c r="K476" i="21"/>
  <c r="E471" i="21"/>
  <c r="I464" i="21"/>
  <c r="E452" i="21"/>
  <c r="E446" i="21"/>
  <c r="E440" i="21"/>
  <c r="F434" i="21"/>
  <c r="F427" i="21"/>
  <c r="J421" i="21"/>
  <c r="F416" i="21"/>
  <c r="L409" i="21"/>
  <c r="G403" i="21"/>
  <c r="K561" i="20"/>
  <c r="H532" i="20"/>
  <c r="H507" i="20"/>
  <c r="F488" i="20"/>
  <c r="H462" i="20"/>
  <c r="F440" i="20"/>
  <c r="E416" i="20"/>
  <c r="F408" i="20"/>
  <c r="J554" i="21"/>
  <c r="G540" i="21"/>
  <c r="L523" i="21"/>
  <c r="F504" i="21"/>
  <c r="F498" i="21"/>
  <c r="J476" i="21"/>
  <c r="H464" i="21"/>
  <c r="I445" i="21"/>
  <c r="E427" i="21"/>
  <c r="F403" i="21"/>
  <c r="H531" i="21"/>
  <c r="E498" i="21"/>
  <c r="I483" i="21"/>
  <c r="H451" i="21"/>
  <c r="H421" i="21"/>
  <c r="E403" i="21"/>
  <c r="F507" i="20"/>
  <c r="L446" i="20"/>
  <c r="F561" i="21"/>
  <c r="G531" i="21"/>
  <c r="L503" i="21"/>
  <c r="J470" i="21"/>
  <c r="E433" i="21"/>
  <c r="H415" i="21"/>
  <c r="J415" i="20"/>
  <c r="I523" i="21"/>
  <c r="J490" i="21"/>
  <c r="F451" i="21"/>
  <c r="J426" i="21"/>
  <c r="G496" i="20"/>
  <c r="J431" i="20"/>
  <c r="L560" i="21"/>
  <c r="H537" i="21"/>
  <c r="J503" i="21"/>
  <c r="F476" i="21"/>
  <c r="E445" i="21"/>
  <c r="I408" i="21"/>
  <c r="G407" i="20"/>
  <c r="F497" i="21"/>
  <c r="L462" i="21"/>
  <c r="E415" i="21"/>
  <c r="K420" i="21"/>
  <c r="E416" i="21"/>
  <c r="J422" i="20"/>
  <c r="H476" i="21"/>
  <c r="K530" i="21"/>
  <c r="J446" i="20"/>
  <c r="K515" i="21"/>
  <c r="F415" i="21"/>
  <c r="J482" i="21"/>
  <c r="H408" i="21"/>
  <c r="I561" i="20"/>
  <c r="J551" i="20"/>
  <c r="J541" i="20"/>
  <c r="F532" i="20"/>
  <c r="F522" i="20"/>
  <c r="G507" i="20"/>
  <c r="L497" i="20"/>
  <c r="E488" i="20"/>
  <c r="G480" i="20"/>
  <c r="G470" i="20"/>
  <c r="G462" i="20"/>
  <c r="E447" i="20"/>
  <c r="E440" i="20"/>
  <c r="E432" i="20"/>
  <c r="K422" i="20"/>
  <c r="L415" i="20"/>
  <c r="E408" i="20"/>
  <c r="G561" i="21"/>
  <c r="I554" i="21"/>
  <c r="K546" i="21"/>
  <c r="E517" i="21"/>
  <c r="K470" i="21"/>
  <c r="L433" i="21"/>
  <c r="I496" i="20"/>
  <c r="L537" i="21"/>
  <c r="G439" i="21"/>
  <c r="G554" i="21"/>
  <c r="E464" i="21"/>
  <c r="L468" i="20"/>
  <c r="H523" i="21"/>
  <c r="I426" i="21"/>
  <c r="G537" i="21"/>
  <c r="K438" i="21"/>
  <c r="H561" i="20"/>
  <c r="G551" i="20"/>
  <c r="H541" i="20"/>
  <c r="F480" i="20"/>
  <c r="H554" i="21"/>
  <c r="G445" i="21"/>
  <c r="I537" i="21"/>
  <c r="F439" i="21"/>
  <c r="L461" i="20"/>
  <c r="H470" i="21"/>
  <c r="I530" i="21"/>
  <c r="G432" i="21"/>
  <c r="G561" i="20"/>
  <c r="F551" i="20"/>
  <c r="G541" i="20"/>
  <c r="L531" i="20"/>
  <c r="L521" i="20"/>
  <c r="H506" i="20"/>
  <c r="H496" i="20"/>
  <c r="K487" i="20"/>
  <c r="E480" i="20"/>
  <c r="E470" i="20"/>
  <c r="E462" i="20"/>
  <c r="K446" i="20"/>
  <c r="K439" i="20"/>
  <c r="K431" i="20"/>
  <c r="K407" i="20"/>
  <c r="I546" i="21"/>
  <c r="K503" i="21"/>
  <c r="G476" i="21"/>
  <c r="F445" i="21"/>
  <c r="F421" i="21"/>
  <c r="G506" i="20"/>
  <c r="H422" i="20"/>
  <c r="F554" i="21"/>
  <c r="F483" i="21"/>
  <c r="E439" i="21"/>
  <c r="G422" i="20"/>
  <c r="G546" i="21"/>
  <c r="H490" i="21"/>
  <c r="L450" i="21"/>
  <c r="G426" i="21"/>
  <c r="F561" i="20"/>
  <c r="E551" i="20"/>
  <c r="F541" i="20"/>
  <c r="K531" i="20"/>
  <c r="J521" i="20"/>
  <c r="H560" i="20"/>
  <c r="L550" i="20"/>
  <c r="E541" i="20"/>
  <c r="J531" i="20"/>
  <c r="I521" i="20"/>
  <c r="F506" i="20"/>
  <c r="F496" i="20"/>
  <c r="H487" i="20"/>
  <c r="F477" i="20"/>
  <c r="K468" i="20"/>
  <c r="K461" i="20"/>
  <c r="I446" i="20"/>
  <c r="G439" i="20"/>
  <c r="E554" i="21"/>
  <c r="H426" i="21"/>
  <c r="G560" i="20"/>
  <c r="K550" i="20"/>
  <c r="H540" i="20"/>
  <c r="G531" i="20"/>
  <c r="H521" i="20"/>
  <c r="E506" i="20"/>
  <c r="L495" i="20"/>
  <c r="G487" i="20"/>
  <c r="E477" i="20"/>
  <c r="J468" i="20"/>
  <c r="J461" i="20"/>
  <c r="H446" i="20"/>
  <c r="H438" i="20"/>
  <c r="F431" i="20"/>
  <c r="F422" i="20"/>
  <c r="E415" i="20"/>
  <c r="F407" i="20"/>
  <c r="J560" i="21"/>
  <c r="L553" i="21"/>
  <c r="F546" i="21"/>
  <c r="F537" i="21"/>
  <c r="H530" i="21"/>
  <c r="K522" i="21"/>
  <c r="H503" i="21"/>
  <c r="E497" i="21"/>
  <c r="G490" i="21"/>
  <c r="G482" i="21"/>
  <c r="L475" i="21"/>
  <c r="F470" i="21"/>
  <c r="K462" i="21"/>
  <c r="K450" i="21"/>
  <c r="F560" i="20"/>
  <c r="J550" i="20"/>
  <c r="G540" i="20"/>
  <c r="F531" i="20"/>
  <c r="G521" i="20"/>
  <c r="L505" i="20"/>
  <c r="K495" i="20"/>
  <c r="F487" i="20"/>
  <c r="L476" i="20"/>
  <c r="I468" i="20"/>
  <c r="G461" i="20"/>
  <c r="G446" i="20"/>
  <c r="G438" i="20"/>
  <c r="E431" i="20"/>
  <c r="E422" i="20"/>
  <c r="L414" i="20"/>
  <c r="E407" i="20"/>
  <c r="I560" i="21"/>
  <c r="I553" i="21"/>
  <c r="E546" i="21"/>
  <c r="E537" i="21"/>
  <c r="G530" i="21"/>
  <c r="J522" i="21"/>
  <c r="G503" i="21"/>
  <c r="L496" i="21"/>
  <c r="L488" i="21"/>
  <c r="F482" i="21"/>
  <c r="K475" i="21"/>
  <c r="E470" i="21"/>
  <c r="J462" i="21"/>
  <c r="J450" i="21"/>
  <c r="J444" i="21"/>
  <c r="J438" i="21"/>
  <c r="E432" i="21"/>
  <c r="F426" i="21"/>
  <c r="J420" i="21"/>
  <c r="H414" i="21"/>
  <c r="F408" i="21"/>
  <c r="I431" i="21"/>
  <c r="L559" i="20"/>
  <c r="E548" i="20"/>
  <c r="F540" i="20"/>
  <c r="E531" i="20"/>
  <c r="F521" i="20"/>
  <c r="K505" i="20"/>
  <c r="J495" i="20"/>
  <c r="E487" i="20"/>
  <c r="J476" i="20"/>
  <c r="H468" i="20"/>
  <c r="F461" i="20"/>
  <c r="F446" i="20"/>
  <c r="F438" i="20"/>
  <c r="L430" i="20"/>
  <c r="L421" i="20"/>
  <c r="E414" i="20"/>
  <c r="L406" i="20"/>
  <c r="H560" i="21"/>
  <c r="H553" i="21"/>
  <c r="L545" i="21"/>
  <c r="L536" i="21"/>
  <c r="F530" i="21"/>
  <c r="I522" i="21"/>
  <c r="F503" i="21"/>
  <c r="K496" i="21"/>
  <c r="K488" i="21"/>
  <c r="E482" i="21"/>
  <c r="J475" i="21"/>
  <c r="I469" i="21"/>
  <c r="I462" i="21"/>
  <c r="I450" i="21"/>
  <c r="I444" i="21"/>
  <c r="K437" i="21"/>
  <c r="E426" i="21"/>
  <c r="J557" i="20"/>
  <c r="K546" i="20"/>
  <c r="L537" i="20"/>
  <c r="G527" i="20"/>
  <c r="H518" i="20"/>
  <c r="F502" i="20"/>
  <c r="E493" i="20"/>
  <c r="I483" i="20"/>
  <c r="K475" i="20"/>
  <c r="I467" i="20"/>
  <c r="E452" i="20"/>
  <c r="G445" i="20"/>
  <c r="G437" i="20"/>
  <c r="K427" i="20"/>
  <c r="E421" i="20"/>
  <c r="F413" i="20"/>
  <c r="L403" i="20"/>
  <c r="I559" i="21"/>
  <c r="K551" i="21"/>
  <c r="J542" i="21"/>
  <c r="E536" i="21"/>
  <c r="G528" i="21"/>
  <c r="I520" i="21"/>
  <c r="G508" i="21"/>
  <c r="G502" i="21"/>
  <c r="G494" i="21"/>
  <c r="K487" i="21"/>
  <c r="K480" i="21"/>
  <c r="K474" i="21"/>
  <c r="G467" i="21"/>
  <c r="G461" i="21"/>
  <c r="G449" i="21"/>
  <c r="H442" i="21"/>
  <c r="I436" i="21"/>
  <c r="J430" i="21"/>
  <c r="F425" i="21"/>
  <c r="L418" i="21"/>
  <c r="J412" i="21"/>
  <c r="K406" i="21"/>
  <c r="I557" i="20"/>
  <c r="J546" i="20"/>
  <c r="K537" i="20"/>
  <c r="F527" i="20"/>
  <c r="G518" i="20"/>
  <c r="L501" i="20"/>
  <c r="L492" i="20"/>
  <c r="H483" i="20"/>
  <c r="J475" i="20"/>
  <c r="H467" i="20"/>
  <c r="L451" i="20"/>
  <c r="F445" i="20"/>
  <c r="F437" i="20"/>
  <c r="J427" i="20"/>
  <c r="H420" i="20"/>
  <c r="E413" i="20"/>
  <c r="K403" i="20"/>
  <c r="H559" i="21"/>
  <c r="J551" i="21"/>
  <c r="I542" i="21"/>
  <c r="L535" i="21"/>
  <c r="F528" i="21"/>
  <c r="H520" i="21"/>
  <c r="F508" i="21"/>
  <c r="F502" i="21"/>
  <c r="F494" i="21"/>
  <c r="J487" i="21"/>
  <c r="J480" i="21"/>
  <c r="J474" i="21"/>
  <c r="F467" i="21"/>
  <c r="F461" i="21"/>
  <c r="F449" i="21"/>
  <c r="G442" i="21"/>
  <c r="H436" i="21"/>
  <c r="I430" i="21"/>
  <c r="E425" i="21"/>
  <c r="E418" i="21"/>
  <c r="I412" i="21"/>
  <c r="J406" i="21"/>
  <c r="G557" i="20"/>
  <c r="I546" i="20"/>
  <c r="J537" i="20"/>
  <c r="E527" i="20"/>
  <c r="F518" i="20"/>
  <c r="K501" i="20"/>
  <c r="K492" i="20"/>
  <c r="F555" i="20"/>
  <c r="G546" i="20"/>
  <c r="H537" i="20"/>
  <c r="K526" i="20"/>
  <c r="L517" i="20"/>
  <c r="G501" i="20"/>
  <c r="I492" i="20"/>
  <c r="H482" i="20"/>
  <c r="H552" i="20"/>
  <c r="G543" i="20"/>
  <c r="H533" i="20"/>
  <c r="I525" i="20"/>
  <c r="L507" i="20"/>
  <c r="E500" i="20"/>
  <c r="K489" i="20"/>
  <c r="K559" i="20"/>
  <c r="H538" i="20"/>
  <c r="J518" i="20"/>
  <c r="J492" i="20"/>
  <c r="H475" i="20"/>
  <c r="E459" i="20"/>
  <c r="G441" i="20"/>
  <c r="I426" i="20"/>
  <c r="E411" i="20"/>
  <c r="K559" i="21"/>
  <c r="I544" i="21"/>
  <c r="H532" i="21"/>
  <c r="J518" i="21"/>
  <c r="I502" i="21"/>
  <c r="J488" i="21"/>
  <c r="F478" i="21"/>
  <c r="I466" i="21"/>
  <c r="E449" i="21"/>
  <c r="H437" i="21"/>
  <c r="F429" i="21"/>
  <c r="G417" i="21"/>
  <c r="F407" i="21"/>
  <c r="K547" i="20"/>
  <c r="K460" i="21"/>
  <c r="K540" i="21"/>
  <c r="K504" i="21"/>
  <c r="J502" i="21"/>
  <c r="G558" i="20"/>
  <c r="G538" i="20"/>
  <c r="I518" i="20"/>
  <c r="H492" i="20"/>
  <c r="G475" i="20"/>
  <c r="H452" i="20"/>
  <c r="F441" i="20"/>
  <c r="H426" i="20"/>
  <c r="L410" i="20"/>
  <c r="J559" i="21"/>
  <c r="H544" i="21"/>
  <c r="G532" i="21"/>
  <c r="I518" i="21"/>
  <c r="H502" i="21"/>
  <c r="H488" i="21"/>
  <c r="H477" i="21"/>
  <c r="H466" i="21"/>
  <c r="L448" i="21"/>
  <c r="G437" i="21"/>
  <c r="I427" i="21"/>
  <c r="F417" i="21"/>
  <c r="E407" i="21"/>
  <c r="F558" i="20"/>
  <c r="F538" i="20"/>
  <c r="E518" i="20"/>
  <c r="G492" i="20"/>
  <c r="L473" i="20"/>
  <c r="G452" i="20"/>
  <c r="E438" i="20"/>
  <c r="G426" i="20"/>
  <c r="K410" i="20"/>
  <c r="G559" i="21"/>
  <c r="G544" i="21"/>
  <c r="F532" i="21"/>
  <c r="H518" i="21"/>
  <c r="E502" i="21"/>
  <c r="G488" i="21"/>
  <c r="G477" i="21"/>
  <c r="G466" i="21"/>
  <c r="K448" i="21"/>
  <c r="K436" i="21"/>
  <c r="L425" i="21"/>
  <c r="E417" i="21"/>
  <c r="L406" i="21"/>
  <c r="E558" i="20"/>
  <c r="E538" i="20"/>
  <c r="K517" i="20"/>
  <c r="F492" i="20"/>
  <c r="K473" i="20"/>
  <c r="F452" i="20"/>
  <c r="L437" i="20"/>
  <c r="F426" i="20"/>
  <c r="J410" i="20"/>
  <c r="K558" i="21"/>
  <c r="F544" i="21"/>
  <c r="E532" i="21"/>
  <c r="G518" i="21"/>
  <c r="I501" i="21"/>
  <c r="F488" i="21"/>
  <c r="F477" i="21"/>
  <c r="F466" i="21"/>
  <c r="J448" i="21"/>
  <c r="J436" i="21"/>
  <c r="K425" i="21"/>
  <c r="L416" i="21"/>
  <c r="I406" i="21"/>
  <c r="L557" i="20"/>
  <c r="I537" i="20"/>
  <c r="J517" i="20"/>
  <c r="E492" i="20"/>
  <c r="J473" i="20"/>
  <c r="K451" i="20"/>
  <c r="K437" i="20"/>
  <c r="I410" i="20"/>
  <c r="J558" i="21"/>
  <c r="E544" i="21"/>
  <c r="H501" i="21"/>
  <c r="E488" i="21"/>
  <c r="I475" i="21"/>
  <c r="E466" i="21"/>
  <c r="I448" i="21"/>
  <c r="G436" i="21"/>
  <c r="J425" i="21"/>
  <c r="K416" i="21"/>
  <c r="H406" i="21"/>
  <c r="K557" i="20"/>
  <c r="H490" i="20"/>
  <c r="G473" i="20"/>
  <c r="H410" i="20"/>
  <c r="E518" i="21"/>
  <c r="H475" i="21"/>
  <c r="F436" i="21"/>
  <c r="G406" i="21"/>
  <c r="K421" i="20"/>
  <c r="I529" i="21"/>
  <c r="H465" i="21"/>
  <c r="G542" i="21"/>
  <c r="J517" i="21"/>
  <c r="L446" i="21"/>
  <c r="I528" i="21"/>
  <c r="H462" i="21"/>
  <c r="I405" i="21"/>
  <c r="F508" i="20"/>
  <c r="F435" i="20"/>
  <c r="E542" i="21"/>
  <c r="G435" i="21"/>
  <c r="F462" i="21"/>
  <c r="G413" i="21"/>
  <c r="E435" i="21"/>
  <c r="E486" i="20"/>
  <c r="L508" i="21"/>
  <c r="L434" i="21"/>
  <c r="E405" i="21"/>
  <c r="F553" i="20"/>
  <c r="I555" i="21"/>
  <c r="J498" i="21"/>
  <c r="G444" i="21"/>
  <c r="E503" i="20"/>
  <c r="G553" i="21"/>
  <c r="E461" i="21"/>
  <c r="L547" i="20"/>
  <c r="J433" i="20"/>
  <c r="E541" i="21"/>
  <c r="L460" i="21"/>
  <c r="G502" i="20"/>
  <c r="G552" i="21"/>
  <c r="H422" i="21"/>
  <c r="G482" i="20"/>
  <c r="L525" i="21"/>
  <c r="H443" i="21"/>
  <c r="F427" i="20"/>
  <c r="L449" i="21"/>
  <c r="G519" i="21"/>
  <c r="I417" i="21"/>
  <c r="F518" i="21"/>
  <c r="K535" i="20"/>
  <c r="J437" i="20"/>
  <c r="K542" i="21"/>
  <c r="G501" i="21"/>
  <c r="F447" i="21"/>
  <c r="G451" i="20"/>
  <c r="I499" i="21"/>
  <c r="E447" i="21"/>
  <c r="I416" i="21"/>
  <c r="J528" i="21"/>
  <c r="F475" i="21"/>
  <c r="G425" i="21"/>
  <c r="F542" i="21"/>
  <c r="K446" i="21"/>
  <c r="G414" i="21"/>
  <c r="J553" i="20"/>
  <c r="F409" i="20"/>
  <c r="H528" i="21"/>
  <c r="G462" i="21"/>
  <c r="H405" i="21"/>
  <c r="J424" i="21"/>
  <c r="E462" i="21"/>
  <c r="I450" i="20"/>
  <c r="F486" i="21"/>
  <c r="L530" i="20"/>
  <c r="G541" i="21"/>
  <c r="K422" i="21"/>
  <c r="G450" i="20"/>
  <c r="F541" i="21"/>
  <c r="J422" i="21"/>
  <c r="F528" i="20"/>
  <c r="F526" i="21"/>
  <c r="H412" i="21"/>
  <c r="I433" i="20"/>
  <c r="E508" i="21"/>
  <c r="J547" i="20"/>
  <c r="J418" i="20"/>
  <c r="F552" i="21"/>
  <c r="L471" i="21"/>
  <c r="I413" i="20"/>
  <c r="G492" i="21"/>
  <c r="I479" i="21"/>
  <c r="E530" i="21"/>
  <c r="E516" i="20"/>
  <c r="L425" i="20"/>
  <c r="L529" i="21"/>
  <c r="I465" i="21"/>
  <c r="J416" i="21"/>
  <c r="I437" i="20"/>
  <c r="H542" i="21"/>
  <c r="F487" i="21"/>
  <c r="E436" i="21"/>
  <c r="H409" i="20"/>
  <c r="G465" i="21"/>
  <c r="J405" i="21"/>
  <c r="J486" i="21"/>
  <c r="K471" i="20"/>
  <c r="E557" i="21"/>
  <c r="F499" i="21"/>
  <c r="F414" i="21"/>
  <c r="I474" i="21"/>
  <c r="G405" i="21"/>
  <c r="F413" i="21"/>
  <c r="I405" i="20"/>
  <c r="I472" i="21"/>
  <c r="F505" i="20"/>
  <c r="H526" i="21"/>
  <c r="H461" i="21"/>
  <c r="G528" i="20"/>
  <c r="I434" i="20"/>
  <c r="J508" i="21"/>
  <c r="J434" i="21"/>
  <c r="G483" i="20"/>
  <c r="H508" i="21"/>
  <c r="E444" i="21"/>
  <c r="E528" i="20"/>
  <c r="E526" i="21"/>
  <c r="I443" i="21"/>
  <c r="J467" i="20"/>
  <c r="F485" i="21"/>
  <c r="F412" i="21"/>
  <c r="E549" i="21"/>
  <c r="J440" i="21"/>
  <c r="H429" i="21"/>
  <c r="J466" i="21"/>
  <c r="E426" i="20"/>
  <c r="J451" i="20"/>
  <c r="I558" i="21"/>
  <c r="L487" i="21"/>
  <c r="I425" i="21"/>
  <c r="G410" i="20"/>
  <c r="L517" i="21"/>
  <c r="G475" i="21"/>
  <c r="H425" i="21"/>
  <c r="G558" i="21"/>
  <c r="K486" i="21"/>
  <c r="I414" i="21"/>
  <c r="G499" i="21"/>
  <c r="H421" i="20"/>
  <c r="I486" i="21"/>
  <c r="K424" i="21"/>
  <c r="I446" i="21"/>
  <c r="J472" i="21"/>
  <c r="F405" i="21"/>
  <c r="G420" i="20"/>
  <c r="K498" i="21"/>
  <c r="H450" i="20"/>
  <c r="K508" i="21"/>
  <c r="K434" i="21"/>
  <c r="F404" i="20"/>
  <c r="F496" i="21"/>
  <c r="K412" i="21"/>
  <c r="H502" i="20"/>
  <c r="H552" i="21"/>
  <c r="I434" i="21"/>
  <c r="E446" i="20"/>
  <c r="J495" i="21"/>
  <c r="H431" i="21"/>
  <c r="J501" i="20"/>
  <c r="I495" i="21"/>
  <c r="G431" i="21"/>
  <c r="G564" i="21"/>
  <c r="G408" i="21"/>
  <c r="F492" i="21"/>
  <c r="G555" i="20"/>
  <c r="J535" i="20"/>
  <c r="L515" i="20"/>
  <c r="G490" i="20"/>
  <c r="F473" i="20"/>
  <c r="H558" i="21"/>
  <c r="K405" i="21"/>
  <c r="I435" i="21"/>
  <c r="E475" i="21"/>
  <c r="L533" i="20"/>
  <c r="L474" i="21"/>
  <c r="H446" i="21"/>
  <c r="I526" i="21"/>
  <c r="E413" i="21"/>
  <c r="G404" i="20"/>
  <c r="L404" i="21"/>
  <c r="I485" i="21"/>
  <c r="F450" i="20"/>
  <c r="F472" i="21"/>
  <c r="L540" i="21"/>
  <c r="L527" i="20"/>
  <c r="L417" i="21"/>
  <c r="G407" i="21"/>
  <c r="E555" i="20"/>
  <c r="G535" i="20"/>
  <c r="K515" i="20"/>
  <c r="F490" i="20"/>
  <c r="E473" i="20"/>
  <c r="F451" i="20"/>
  <c r="H437" i="20"/>
  <c r="J421" i="20"/>
  <c r="H499" i="21"/>
  <c r="H435" i="21"/>
  <c r="H486" i="20"/>
  <c r="J446" i="21"/>
  <c r="I424" i="21"/>
  <c r="H541" i="21"/>
  <c r="H424" i="21"/>
  <c r="F420" i="20"/>
  <c r="L412" i="21"/>
  <c r="G526" i="21"/>
  <c r="L467" i="20"/>
  <c r="H485" i="21"/>
  <c r="J403" i="20"/>
  <c r="L445" i="20"/>
  <c r="G460" i="21"/>
  <c r="K502" i="21"/>
  <c r="L554" i="20"/>
  <c r="F535" i="20"/>
  <c r="J515" i="20"/>
  <c r="E490" i="20"/>
  <c r="L472" i="20"/>
  <c r="E451" i="20"/>
  <c r="G435" i="20"/>
  <c r="I421" i="20"/>
  <c r="G409" i="20"/>
  <c r="F558" i="21"/>
  <c r="L424" i="21"/>
  <c r="L450" i="20"/>
  <c r="F435" i="21"/>
  <c r="J555" i="21"/>
  <c r="I461" i="21"/>
  <c r="L485" i="20"/>
  <c r="H472" i="21"/>
  <c r="E420" i="20"/>
  <c r="K404" i="21"/>
  <c r="K495" i="21"/>
  <c r="E483" i="20"/>
  <c r="G412" i="21"/>
  <c r="L507" i="21"/>
  <c r="K492" i="21"/>
  <c r="H449" i="21"/>
  <c r="I553" i="20"/>
  <c r="K533" i="20"/>
  <c r="E508" i="20"/>
  <c r="G486" i="20"/>
  <c r="J471" i="20"/>
  <c r="K450" i="20"/>
  <c r="E435" i="20"/>
  <c r="G421" i="20"/>
  <c r="K405" i="20"/>
  <c r="L555" i="21"/>
  <c r="L541" i="21"/>
  <c r="K526" i="21"/>
  <c r="E499" i="21"/>
  <c r="H486" i="21"/>
  <c r="K434" i="20"/>
  <c r="H444" i="21"/>
  <c r="J434" i="20"/>
  <c r="J483" i="20"/>
  <c r="G472" i="21"/>
  <c r="L419" i="20"/>
  <c r="I422" i="21"/>
  <c r="G485" i="21"/>
  <c r="H433" i="20"/>
  <c r="G422" i="21"/>
  <c r="K429" i="21"/>
  <c r="H553" i="20"/>
  <c r="J533" i="20"/>
  <c r="J505" i="20"/>
  <c r="F486" i="20"/>
  <c r="I471" i="20"/>
  <c r="J450" i="20"/>
  <c r="L434" i="20"/>
  <c r="F421" i="20"/>
  <c r="J405" i="20"/>
  <c r="K555" i="21"/>
  <c r="I541" i="21"/>
  <c r="J526" i="21"/>
  <c r="L498" i="21"/>
  <c r="G486" i="21"/>
  <c r="G468" i="20"/>
  <c r="F468" i="20"/>
  <c r="E486" i="21"/>
  <c r="E468" i="20"/>
  <c r="F444" i="21"/>
  <c r="E404" i="20"/>
  <c r="K467" i="20"/>
  <c r="E472" i="21"/>
  <c r="G403" i="20"/>
  <c r="E480" i="21"/>
  <c r="G553" i="20"/>
  <c r="I533" i="20"/>
  <c r="G505" i="20"/>
  <c r="E553" i="20"/>
  <c r="K419" i="20"/>
  <c r="J479" i="21"/>
  <c r="F547" i="20"/>
  <c r="J527" i="20"/>
  <c r="F501" i="20"/>
  <c r="F482" i="20"/>
  <c r="K465" i="20"/>
  <c r="K445" i="20"/>
  <c r="G433" i="20"/>
  <c r="I418" i="20"/>
  <c r="F403" i="20"/>
  <c r="E552" i="21"/>
  <c r="K536" i="21"/>
  <c r="I525" i="21"/>
  <c r="K507" i="21"/>
  <c r="H495" i="21"/>
  <c r="I481" i="21"/>
  <c r="K471" i="21"/>
  <c r="F460" i="21"/>
  <c r="F442" i="21"/>
  <c r="F431" i="21"/>
  <c r="F422" i="21"/>
  <c r="E412" i="21"/>
  <c r="J465" i="20"/>
  <c r="H418" i="20"/>
  <c r="L551" i="21"/>
  <c r="H525" i="21"/>
  <c r="H494" i="21"/>
  <c r="J471" i="21"/>
  <c r="E460" i="21"/>
  <c r="E431" i="21"/>
  <c r="I411" i="21"/>
  <c r="L546" i="20"/>
  <c r="L500" i="20"/>
  <c r="G465" i="20"/>
  <c r="K429" i="20"/>
  <c r="F550" i="21"/>
  <c r="I536" i="21"/>
  <c r="I507" i="21"/>
  <c r="G481" i="21"/>
  <c r="L441" i="21"/>
  <c r="L430" i="21"/>
  <c r="H411" i="21"/>
  <c r="I526" i="20"/>
  <c r="K481" i="20"/>
  <c r="H428" i="20"/>
  <c r="H430" i="21"/>
  <c r="F526" i="20"/>
  <c r="F464" i="20"/>
  <c r="F428" i="20"/>
  <c r="K564" i="21"/>
  <c r="F521" i="21"/>
  <c r="G493" i="21"/>
  <c r="I459" i="21"/>
  <c r="F441" i="21"/>
  <c r="F420" i="21"/>
  <c r="K545" i="20"/>
  <c r="G500" i="20"/>
  <c r="E464" i="20"/>
  <c r="E428" i="20"/>
  <c r="J564" i="21"/>
  <c r="E521" i="21"/>
  <c r="F493" i="21"/>
  <c r="H480" i="21"/>
  <c r="E441" i="21"/>
  <c r="E420" i="21"/>
  <c r="L506" i="21"/>
  <c r="J467" i="21"/>
  <c r="E430" i="21"/>
  <c r="I545" i="20"/>
  <c r="I476" i="20"/>
  <c r="E443" i="20"/>
  <c r="H564" i="21"/>
  <c r="K520" i="21"/>
  <c r="L492" i="21"/>
  <c r="I467" i="21"/>
  <c r="H450" i="21"/>
  <c r="L429" i="21"/>
  <c r="J410" i="21"/>
  <c r="J525" i="20"/>
  <c r="J463" i="20"/>
  <c r="J520" i="21"/>
  <c r="H407" i="21"/>
  <c r="H417" i="21"/>
  <c r="E547" i="20"/>
  <c r="L526" i="20"/>
  <c r="E501" i="20"/>
  <c r="E482" i="20"/>
  <c r="J445" i="20"/>
  <c r="F433" i="20"/>
  <c r="E403" i="20"/>
  <c r="J536" i="21"/>
  <c r="J507" i="21"/>
  <c r="H481" i="21"/>
  <c r="E442" i="21"/>
  <c r="E422" i="21"/>
  <c r="J526" i="20"/>
  <c r="L481" i="20"/>
  <c r="I445" i="20"/>
  <c r="G417" i="20"/>
  <c r="G525" i="21"/>
  <c r="E494" i="21"/>
  <c r="I471" i="21"/>
  <c r="L459" i="21"/>
  <c r="I420" i="21"/>
  <c r="H546" i="20"/>
  <c r="K500" i="20"/>
  <c r="F465" i="20"/>
  <c r="H445" i="20"/>
  <c r="F417" i="20"/>
  <c r="E550" i="21"/>
  <c r="H536" i="21"/>
  <c r="F525" i="21"/>
  <c r="H507" i="21"/>
  <c r="I493" i="21"/>
  <c r="F481" i="21"/>
  <c r="H471" i="21"/>
  <c r="K459" i="21"/>
  <c r="K441" i="21"/>
  <c r="K430" i="21"/>
  <c r="H420" i="21"/>
  <c r="G411" i="21"/>
  <c r="E469" i="21"/>
  <c r="J441" i="21"/>
  <c r="G420" i="21"/>
  <c r="L545" i="20"/>
  <c r="G481" i="20"/>
  <c r="H444" i="20"/>
  <c r="I416" i="20"/>
  <c r="F536" i="21"/>
  <c r="F507" i="21"/>
  <c r="K468" i="21"/>
  <c r="G430" i="21"/>
  <c r="E526" i="20"/>
  <c r="G444" i="20"/>
  <c r="L413" i="20"/>
  <c r="H549" i="21"/>
  <c r="E507" i="21"/>
  <c r="K467" i="21"/>
  <c r="F430" i="21"/>
  <c r="L410" i="21"/>
  <c r="J545" i="20"/>
  <c r="F500" i="20"/>
  <c r="L463" i="20"/>
  <c r="F443" i="20"/>
  <c r="L427" i="20"/>
  <c r="I564" i="21"/>
  <c r="G549" i="21"/>
  <c r="J535" i="21"/>
  <c r="E493" i="21"/>
  <c r="G480" i="21"/>
  <c r="G459" i="21"/>
  <c r="I419" i="21"/>
  <c r="K410" i="21"/>
  <c r="K525" i="20"/>
  <c r="K463" i="20"/>
  <c r="G427" i="20"/>
  <c r="J413" i="20"/>
  <c r="I535" i="21"/>
  <c r="K506" i="21"/>
  <c r="F480" i="21"/>
  <c r="H545" i="20"/>
  <c r="H476" i="20"/>
  <c r="L442" i="20"/>
  <c r="H467" i="21"/>
  <c r="K466" i="21"/>
  <c r="H419" i="21"/>
  <c r="J437" i="21"/>
  <c r="F546" i="20"/>
  <c r="H526" i="20"/>
  <c r="J500" i="20"/>
  <c r="J481" i="20"/>
  <c r="E465" i="20"/>
  <c r="E445" i="20"/>
  <c r="G428" i="20"/>
  <c r="E417" i="20"/>
  <c r="L564" i="21"/>
  <c r="L549" i="21"/>
  <c r="G536" i="21"/>
  <c r="H522" i="21"/>
  <c r="G507" i="21"/>
  <c r="H493" i="21"/>
  <c r="E481" i="21"/>
  <c r="J459" i="21"/>
  <c r="F411" i="21"/>
  <c r="H500" i="20"/>
  <c r="I549" i="21"/>
  <c r="L480" i="21"/>
  <c r="E411" i="21"/>
  <c r="E481" i="20"/>
  <c r="K535" i="21"/>
  <c r="H459" i="21"/>
  <c r="L525" i="20"/>
  <c r="L480" i="20"/>
  <c r="K413" i="20"/>
  <c r="L520" i="21"/>
  <c r="L440" i="21"/>
  <c r="I495" i="20"/>
  <c r="F549" i="21"/>
  <c r="K440" i="21"/>
  <c r="H495" i="20"/>
  <c r="H535" i="21"/>
  <c r="I437" i="21"/>
  <c r="G545" i="20"/>
  <c r="E521" i="20"/>
  <c r="G495" i="20"/>
  <c r="G476" i="20"/>
  <c r="I463" i="20"/>
  <c r="K442" i="20"/>
  <c r="E427" i="20"/>
  <c r="H413" i="20"/>
  <c r="G560" i="21"/>
  <c r="L548" i="21"/>
  <c r="G535" i="21"/>
  <c r="G520" i="21"/>
  <c r="E503" i="21"/>
  <c r="J492" i="21"/>
  <c r="L479" i="21"/>
  <c r="E467" i="21"/>
  <c r="K449" i="21"/>
  <c r="I440" i="21"/>
  <c r="J429" i="21"/>
  <c r="K417" i="21"/>
  <c r="E408" i="21"/>
  <c r="G520" i="20"/>
  <c r="G459" i="20"/>
  <c r="K426" i="20"/>
  <c r="E560" i="21"/>
  <c r="J534" i="21"/>
  <c r="G429" i="21"/>
  <c r="J543" i="20"/>
  <c r="H520" i="20"/>
  <c r="F495" i="20"/>
  <c r="F476" i="20"/>
  <c r="H463" i="20"/>
  <c r="J442" i="20"/>
  <c r="L426" i="20"/>
  <c r="G413" i="20"/>
  <c r="F560" i="21"/>
  <c r="K548" i="21"/>
  <c r="K534" i="21"/>
  <c r="H519" i="21"/>
  <c r="L502" i="21"/>
  <c r="H492" i="21"/>
  <c r="K479" i="21"/>
  <c r="L466" i="21"/>
  <c r="J449" i="21"/>
  <c r="H440" i="21"/>
  <c r="I429" i="21"/>
  <c r="J417" i="21"/>
  <c r="I407" i="21"/>
  <c r="E540" i="20"/>
  <c r="E495" i="20"/>
  <c r="E476" i="20"/>
  <c r="I441" i="20"/>
  <c r="G411" i="20"/>
  <c r="J548" i="21"/>
  <c r="I449" i="21"/>
  <c r="J538" i="20"/>
  <c r="L518" i="20"/>
  <c r="G493" i="20"/>
  <c r="L475" i="20"/>
  <c r="F459" i="20"/>
  <c r="H441" i="20"/>
  <c r="J426" i="20"/>
  <c r="F411" i="20"/>
  <c r="L559" i="21"/>
  <c r="K547" i="21"/>
  <c r="I534" i="21"/>
  <c r="K518" i="21"/>
  <c r="C456" i="11"/>
  <c r="C455" i="11"/>
  <c r="C400" i="11"/>
  <c r="C399" i="11"/>
  <c r="C344" i="11"/>
  <c r="C343" i="11"/>
  <c r="C288" i="11"/>
  <c r="C287" i="11"/>
  <c r="C512" i="11"/>
  <c r="C511" i="11"/>
  <c r="D571" i="11"/>
  <c r="D572" i="11"/>
  <c r="D573" i="11"/>
  <c r="D574" i="11"/>
  <c r="D575" i="11"/>
  <c r="D576" i="11"/>
  <c r="D577" i="11"/>
  <c r="D578" i="11"/>
  <c r="D579" i="11"/>
  <c r="D580" i="11"/>
  <c r="D121" i="11"/>
  <c r="D513" i="11"/>
  <c r="D457" i="11"/>
  <c r="D401" i="11"/>
  <c r="D345" i="11"/>
  <c r="D564" i="11"/>
  <c r="D563" i="11"/>
  <c r="D562" i="11"/>
  <c r="D561" i="11"/>
  <c r="D560" i="11"/>
  <c r="D559" i="11"/>
  <c r="D558" i="11"/>
  <c r="D557" i="11"/>
  <c r="D556" i="11"/>
  <c r="D555" i="11"/>
  <c r="D554" i="11"/>
  <c r="D553" i="11"/>
  <c r="D552" i="11"/>
  <c r="D551" i="11"/>
  <c r="D550" i="11"/>
  <c r="D549" i="11"/>
  <c r="D548" i="11"/>
  <c r="D547" i="11"/>
  <c r="D546" i="11"/>
  <c r="D545" i="11"/>
  <c r="D544" i="11"/>
  <c r="D543" i="11"/>
  <c r="D542" i="11"/>
  <c r="D541" i="11"/>
  <c r="D540" i="11"/>
  <c r="D539" i="11"/>
  <c r="D538" i="11"/>
  <c r="D537" i="11"/>
  <c r="D536" i="11"/>
  <c r="D535" i="11"/>
  <c r="D534" i="11"/>
  <c r="D533" i="11"/>
  <c r="D532" i="11"/>
  <c r="D531" i="11"/>
  <c r="D530" i="11"/>
  <c r="D529" i="11"/>
  <c r="D528" i="11"/>
  <c r="D527" i="11"/>
  <c r="D526" i="11"/>
  <c r="D525" i="11"/>
  <c r="D524" i="11"/>
  <c r="D523" i="11"/>
  <c r="D522" i="11"/>
  <c r="D521" i="11"/>
  <c r="D520" i="11"/>
  <c r="D519" i="11"/>
  <c r="D518" i="11"/>
  <c r="D517" i="11"/>
  <c r="D516" i="11"/>
  <c r="D515" i="11"/>
  <c r="D508" i="11"/>
  <c r="D507" i="11"/>
  <c r="D506" i="11"/>
  <c r="D505" i="11"/>
  <c r="D504" i="11"/>
  <c r="D503" i="11"/>
  <c r="D502" i="11"/>
  <c r="D501" i="11"/>
  <c r="D500" i="11"/>
  <c r="D499" i="11"/>
  <c r="D498" i="11"/>
  <c r="D497" i="11"/>
  <c r="D496" i="11"/>
  <c r="D495" i="11"/>
  <c r="D494" i="11"/>
  <c r="D493" i="11"/>
  <c r="D492" i="11"/>
  <c r="D491" i="11"/>
  <c r="D490" i="11"/>
  <c r="D489" i="11"/>
  <c r="D488" i="11"/>
  <c r="D487" i="11"/>
  <c r="D486" i="11"/>
  <c r="D485" i="11"/>
  <c r="D484" i="11"/>
  <c r="D483" i="11"/>
  <c r="D482" i="11"/>
  <c r="D481" i="11"/>
  <c r="D480" i="11"/>
  <c r="D479" i="11"/>
  <c r="D478" i="11"/>
  <c r="D477" i="11"/>
  <c r="D476" i="11"/>
  <c r="D475" i="11"/>
  <c r="D474" i="11"/>
  <c r="D473" i="11"/>
  <c r="D472" i="11"/>
  <c r="D471" i="11"/>
  <c r="D470" i="11"/>
  <c r="D469" i="11"/>
  <c r="D468" i="11"/>
  <c r="D467" i="11"/>
  <c r="D466" i="11"/>
  <c r="D465" i="11"/>
  <c r="D464" i="11"/>
  <c r="D463" i="11"/>
  <c r="D462" i="11"/>
  <c r="D461" i="11"/>
  <c r="D460" i="11"/>
  <c r="D459" i="11"/>
  <c r="D452" i="11"/>
  <c r="D451" i="11"/>
  <c r="D450" i="11"/>
  <c r="D449" i="11"/>
  <c r="D448" i="11"/>
  <c r="D447" i="11"/>
  <c r="D446" i="11"/>
  <c r="D445" i="11"/>
  <c r="D444" i="11"/>
  <c r="D443" i="11"/>
  <c r="D442" i="11"/>
  <c r="D441" i="11"/>
  <c r="D440" i="11"/>
  <c r="D439" i="11"/>
  <c r="D438" i="11"/>
  <c r="D437" i="11"/>
  <c r="D436" i="11"/>
  <c r="D435" i="11"/>
  <c r="D434" i="11"/>
  <c r="D433" i="11"/>
  <c r="D432" i="11"/>
  <c r="D431" i="11"/>
  <c r="D430" i="11"/>
  <c r="D429" i="11"/>
  <c r="D428" i="11"/>
  <c r="D427" i="11"/>
  <c r="D426" i="11"/>
  <c r="D425" i="11"/>
  <c r="D424" i="11"/>
  <c r="D423" i="11"/>
  <c r="D422" i="11"/>
  <c r="D421" i="11"/>
  <c r="D420" i="11"/>
  <c r="D419" i="11"/>
  <c r="D418" i="11"/>
  <c r="D417" i="11"/>
  <c r="D416" i="11"/>
  <c r="D415" i="11"/>
  <c r="D414" i="11"/>
  <c r="D413" i="11"/>
  <c r="D412" i="11"/>
  <c r="D411" i="11"/>
  <c r="D410" i="11"/>
  <c r="D409" i="11"/>
  <c r="D408" i="11"/>
  <c r="D407" i="11"/>
  <c r="D406" i="11"/>
  <c r="D405" i="11"/>
  <c r="D404" i="11"/>
  <c r="D403" i="11"/>
  <c r="D396" i="11"/>
  <c r="D395" i="11"/>
  <c r="D394" i="11"/>
  <c r="D393" i="11"/>
  <c r="D392" i="11"/>
  <c r="D391" i="11"/>
  <c r="D390" i="11"/>
  <c r="D389" i="11"/>
  <c r="D388" i="11"/>
  <c r="D387" i="11"/>
  <c r="D386" i="11"/>
  <c r="D385" i="11"/>
  <c r="D384" i="11"/>
  <c r="D383" i="11"/>
  <c r="D382" i="11"/>
  <c r="D381" i="11"/>
  <c r="D380" i="11"/>
  <c r="D379" i="11"/>
  <c r="D378" i="11"/>
  <c r="D377" i="11"/>
  <c r="D376" i="11"/>
  <c r="D375" i="11"/>
  <c r="D374" i="11"/>
  <c r="D373" i="11"/>
  <c r="D372" i="11"/>
  <c r="D371" i="11"/>
  <c r="D370" i="11"/>
  <c r="D369" i="11"/>
  <c r="D368" i="11"/>
  <c r="D367" i="11"/>
  <c r="D366" i="11"/>
  <c r="D365" i="11"/>
  <c r="D364" i="11"/>
  <c r="D363" i="11"/>
  <c r="D362" i="11"/>
  <c r="D361" i="11"/>
  <c r="D360" i="11"/>
  <c r="D359" i="11"/>
  <c r="D358" i="11"/>
  <c r="D357" i="11"/>
  <c r="D356" i="11"/>
  <c r="D355" i="11"/>
  <c r="D354" i="11"/>
  <c r="D353" i="11"/>
  <c r="D352" i="11"/>
  <c r="D351" i="11"/>
  <c r="D350" i="11"/>
  <c r="D349" i="11"/>
  <c r="D348" i="11"/>
  <c r="D347" i="11"/>
  <c r="D289" i="11"/>
  <c r="D233" i="11"/>
  <c r="D340" i="11"/>
  <c r="D339" i="11"/>
  <c r="D338" i="11"/>
  <c r="D337" i="11"/>
  <c r="D336" i="11"/>
  <c r="D335" i="11"/>
  <c r="D334" i="11"/>
  <c r="D333" i="11"/>
  <c r="D332" i="11"/>
  <c r="D331" i="11"/>
  <c r="D330" i="11"/>
  <c r="D329" i="11"/>
  <c r="D328" i="11"/>
  <c r="D327" i="11"/>
  <c r="D326" i="11"/>
  <c r="D325" i="11"/>
  <c r="D324" i="11"/>
  <c r="D323" i="11"/>
  <c r="D322" i="11"/>
  <c r="D321" i="11"/>
  <c r="D320" i="11"/>
  <c r="D319" i="11"/>
  <c r="D318" i="11"/>
  <c r="D317" i="11"/>
  <c r="D316" i="11"/>
  <c r="D315" i="11"/>
  <c r="D314" i="11"/>
  <c r="D313" i="11"/>
  <c r="D312" i="11"/>
  <c r="D311" i="11"/>
  <c r="D310" i="11"/>
  <c r="D309" i="11"/>
  <c r="D308" i="11"/>
  <c r="D307" i="11"/>
  <c r="D306" i="11"/>
  <c r="D305" i="11"/>
  <c r="D304" i="11"/>
  <c r="D303" i="11"/>
  <c r="D302" i="11"/>
  <c r="D301" i="11"/>
  <c r="D300" i="11"/>
  <c r="D299" i="11"/>
  <c r="D298" i="11"/>
  <c r="D297" i="11"/>
  <c r="D296" i="11"/>
  <c r="D295" i="11"/>
  <c r="D294" i="11"/>
  <c r="D293" i="11"/>
  <c r="D292" i="11"/>
  <c r="D291" i="11"/>
  <c r="D284" i="11"/>
  <c r="D283" i="11"/>
  <c r="D282" i="11"/>
  <c r="D281" i="11"/>
  <c r="D280" i="11"/>
  <c r="D279" i="11"/>
  <c r="D278" i="11"/>
  <c r="D277" i="11"/>
  <c r="D276" i="11"/>
  <c r="D275" i="11"/>
  <c r="D274" i="11"/>
  <c r="D273" i="11"/>
  <c r="D272" i="11"/>
  <c r="D271" i="11"/>
  <c r="D270" i="11"/>
  <c r="D269" i="11"/>
  <c r="D268" i="11"/>
  <c r="D267" i="11"/>
  <c r="D266" i="11"/>
  <c r="D265" i="11"/>
  <c r="D264" i="11"/>
  <c r="D263" i="11"/>
  <c r="D262" i="11"/>
  <c r="D261" i="11"/>
  <c r="D260" i="11"/>
  <c r="D259" i="11"/>
  <c r="D258" i="11"/>
  <c r="D257" i="11"/>
  <c r="D256" i="11"/>
  <c r="D255" i="11"/>
  <c r="D254" i="11"/>
  <c r="D253" i="11"/>
  <c r="D252" i="11"/>
  <c r="D251" i="11"/>
  <c r="D250" i="11"/>
  <c r="D249" i="11"/>
  <c r="D248" i="11"/>
  <c r="D247" i="11"/>
  <c r="D246" i="11"/>
  <c r="D245" i="11"/>
  <c r="D244" i="11"/>
  <c r="D243" i="11"/>
  <c r="D242" i="11"/>
  <c r="D241" i="11"/>
  <c r="D240" i="11"/>
  <c r="D239" i="11"/>
  <c r="D238" i="11"/>
  <c r="D237" i="11"/>
  <c r="D236" i="11"/>
  <c r="D235" i="11"/>
  <c r="D177" i="11"/>
  <c r="D228" i="11"/>
  <c r="D227" i="11"/>
  <c r="D226" i="11"/>
  <c r="D225" i="11"/>
  <c r="D224" i="11"/>
  <c r="D223" i="11"/>
  <c r="D222" i="11"/>
  <c r="D221" i="11"/>
  <c r="D220" i="11"/>
  <c r="D219" i="11"/>
  <c r="D218" i="11"/>
  <c r="D217" i="11"/>
  <c r="D216" i="11"/>
  <c r="D215" i="11"/>
  <c r="D214" i="11"/>
  <c r="D213" i="11"/>
  <c r="D212" i="11"/>
  <c r="D211" i="11"/>
  <c r="D210" i="11"/>
  <c r="D209" i="11"/>
  <c r="D208" i="11"/>
  <c r="D207" i="11"/>
  <c r="D206" i="11"/>
  <c r="D205" i="11"/>
  <c r="D204" i="11"/>
  <c r="D203" i="11"/>
  <c r="D202" i="11"/>
  <c r="D201" i="11"/>
  <c r="D200" i="11"/>
  <c r="D199" i="11"/>
  <c r="D198" i="11"/>
  <c r="D197" i="11"/>
  <c r="D196" i="11"/>
  <c r="D195" i="11"/>
  <c r="D194" i="11"/>
  <c r="D193" i="11"/>
  <c r="D192" i="11"/>
  <c r="D191" i="11"/>
  <c r="D190" i="11"/>
  <c r="D189" i="11"/>
  <c r="D188" i="11"/>
  <c r="D187" i="11"/>
  <c r="D186" i="11"/>
  <c r="D185" i="11"/>
  <c r="D184" i="11"/>
  <c r="D183" i="11"/>
  <c r="D182" i="11"/>
  <c r="D181" i="11"/>
  <c r="D180" i="11"/>
  <c r="D179" i="11"/>
  <c r="D172" i="11"/>
  <c r="D171" i="11"/>
  <c r="D170" i="11"/>
  <c r="D169" i="11"/>
  <c r="D168" i="11"/>
  <c r="D167" i="11"/>
  <c r="D166" i="11"/>
  <c r="D165" i="11"/>
  <c r="D164" i="11"/>
  <c r="D163" i="11"/>
  <c r="D162" i="11"/>
  <c r="D161" i="11"/>
  <c r="D160" i="11"/>
  <c r="D159" i="11"/>
  <c r="D158" i="11"/>
  <c r="D157" i="11"/>
  <c r="D156" i="11"/>
  <c r="D155" i="11"/>
  <c r="D154" i="11"/>
  <c r="D153" i="11"/>
  <c r="D152" i="11"/>
  <c r="D151" i="11"/>
  <c r="D150" i="11"/>
  <c r="D149" i="11"/>
  <c r="D148" i="11"/>
  <c r="D147" i="11"/>
  <c r="D146" i="11"/>
  <c r="D145" i="11"/>
  <c r="D144" i="11"/>
  <c r="D143" i="11"/>
  <c r="D142" i="11"/>
  <c r="D141" i="11"/>
  <c r="D140" i="11"/>
  <c r="D139" i="11"/>
  <c r="D138" i="11"/>
  <c r="D137" i="11"/>
  <c r="D136" i="11"/>
  <c r="D135" i="11"/>
  <c r="D134" i="11"/>
  <c r="D133" i="11"/>
  <c r="D132" i="11"/>
  <c r="D131" i="11"/>
  <c r="D130" i="11"/>
  <c r="D129" i="11"/>
  <c r="D128" i="11"/>
  <c r="D127" i="11"/>
  <c r="D126" i="11"/>
  <c r="D125" i="11"/>
  <c r="D124" i="11"/>
  <c r="D123" i="11"/>
  <c r="D116" i="11"/>
  <c r="D115" i="11"/>
  <c r="D114" i="11"/>
  <c r="D113" i="11"/>
  <c r="D112" i="11"/>
  <c r="D111" i="11"/>
  <c r="D110" i="11"/>
  <c r="D109" i="11"/>
  <c r="D108" i="11"/>
  <c r="D107" i="11"/>
  <c r="D106" i="11"/>
  <c r="D105" i="11"/>
  <c r="D104" i="11"/>
  <c r="D103" i="11"/>
  <c r="D102" i="11"/>
  <c r="D101" i="11"/>
  <c r="D100" i="11"/>
  <c r="D99" i="11"/>
  <c r="D98" i="11"/>
  <c r="D97" i="11"/>
  <c r="D96" i="11"/>
  <c r="D95" i="11"/>
  <c r="D94" i="11"/>
  <c r="D93" i="11"/>
  <c r="D92" i="11"/>
  <c r="D91" i="11"/>
  <c r="D90" i="11"/>
  <c r="D89" i="11"/>
  <c r="D88" i="11"/>
  <c r="D87" i="11"/>
  <c r="D86" i="11"/>
  <c r="D85" i="11"/>
  <c r="D84" i="11"/>
  <c r="D83" i="11"/>
  <c r="D82" i="11"/>
  <c r="D81" i="11"/>
  <c r="D80" i="11"/>
  <c r="D79" i="11"/>
  <c r="D78" i="11"/>
  <c r="D77" i="11"/>
  <c r="D76" i="11"/>
  <c r="D75" i="11"/>
  <c r="D74" i="11"/>
  <c r="D73" i="11"/>
  <c r="D72" i="11"/>
  <c r="D71" i="11"/>
  <c r="D70" i="11"/>
  <c r="D69" i="11"/>
  <c r="D68" i="11"/>
  <c r="D67" i="11"/>
  <c r="D65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9" i="11"/>
  <c r="C408" i="20" l="1"/>
  <c r="C507" i="20"/>
  <c r="C445" i="20"/>
  <c r="C508" i="20"/>
  <c r="C486" i="20"/>
  <c r="C488" i="21"/>
  <c r="C538" i="20"/>
  <c r="C411" i="20"/>
  <c r="C524" i="21"/>
  <c r="C477" i="21"/>
  <c r="C519" i="20"/>
  <c r="C436" i="20"/>
  <c r="C448" i="20"/>
  <c r="C469" i="20"/>
  <c r="C519" i="21"/>
  <c r="C521" i="20"/>
  <c r="C465" i="20"/>
  <c r="C435" i="21"/>
  <c r="C558" i="20"/>
  <c r="C541" i="20"/>
  <c r="C442" i="20"/>
  <c r="C474" i="20"/>
  <c r="C523" i="21"/>
  <c r="C542" i="20"/>
  <c r="C562" i="20"/>
  <c r="C417" i="21"/>
  <c r="C445" i="21"/>
  <c r="C528" i="21"/>
  <c r="C529" i="21"/>
  <c r="C542" i="21"/>
  <c r="C415" i="20"/>
  <c r="C533" i="21"/>
  <c r="C539" i="21"/>
  <c r="C420" i="20"/>
  <c r="C419" i="20"/>
  <c r="C498" i="20"/>
  <c r="C557" i="21"/>
  <c r="C548" i="20"/>
  <c r="C539" i="20"/>
  <c r="C494" i="20"/>
  <c r="C499" i="20"/>
  <c r="C469" i="21"/>
  <c r="C459" i="20"/>
  <c r="C561" i="21"/>
  <c r="C543" i="21"/>
  <c r="C521" i="21"/>
  <c r="C485" i="21"/>
  <c r="C430" i="20"/>
  <c r="C492" i="21"/>
  <c r="C552" i="21"/>
  <c r="C475" i="21"/>
  <c r="C544" i="21"/>
  <c r="C425" i="21"/>
  <c r="C452" i="20"/>
  <c r="C546" i="21"/>
  <c r="C491" i="21"/>
  <c r="C428" i="21"/>
  <c r="C479" i="21"/>
  <c r="C467" i="20"/>
  <c r="C500" i="21"/>
  <c r="C560" i="20"/>
  <c r="C548" i="21"/>
  <c r="C527" i="21"/>
  <c r="C484" i="20"/>
  <c r="C439" i="20"/>
  <c r="C489" i="20"/>
  <c r="C531" i="21"/>
  <c r="C507" i="21"/>
  <c r="C508" i="21"/>
  <c r="C443" i="21"/>
  <c r="C561" i="20"/>
  <c r="C450" i="21"/>
  <c r="C444" i="20"/>
  <c r="C525" i="20"/>
  <c r="C506" i="21"/>
  <c r="C535" i="21"/>
  <c r="C532" i="20"/>
  <c r="C551" i="21"/>
  <c r="C430" i="21"/>
  <c r="C552" i="20"/>
  <c r="C468" i="21"/>
  <c r="C497" i="20"/>
  <c r="C524" i="20"/>
  <c r="C505" i="21"/>
  <c r="C405" i="20"/>
  <c r="C437" i="21"/>
  <c r="C475" i="20"/>
  <c r="C555" i="21"/>
  <c r="C537" i="21"/>
  <c r="C526" i="20"/>
  <c r="C546" i="20"/>
  <c r="C560" i="21"/>
  <c r="C559" i="21"/>
  <c r="C531" i="20"/>
  <c r="C517" i="20"/>
  <c r="C557" i="20"/>
  <c r="C534" i="20"/>
  <c r="C434" i="20"/>
  <c r="C563" i="21"/>
  <c r="C500" i="20"/>
  <c r="C422" i="21"/>
  <c r="C442" i="21"/>
  <c r="C431" i="21"/>
  <c r="C473" i="20"/>
  <c r="C506" i="20"/>
  <c r="C432" i="21"/>
  <c r="C434" i="21"/>
  <c r="C433" i="20"/>
  <c r="C496" i="20"/>
  <c r="C529" i="20"/>
  <c r="C414" i="21"/>
  <c r="C437" i="20"/>
  <c r="C406" i="21"/>
  <c r="C408" i="21"/>
  <c r="C522" i="20"/>
  <c r="C461" i="20"/>
  <c r="C520" i="21"/>
  <c r="C443" i="20"/>
  <c r="C432" i="20"/>
  <c r="C525" i="21"/>
  <c r="C460" i="20"/>
  <c r="C422" i="20"/>
  <c r="C472" i="20"/>
  <c r="C502" i="21"/>
  <c r="C477" i="20"/>
  <c r="C553" i="20"/>
  <c r="C550" i="20"/>
  <c r="C515" i="20"/>
  <c r="C522" i="21"/>
  <c r="C555" i="20"/>
  <c r="C407" i="21"/>
  <c r="C540" i="21"/>
  <c r="C549" i="21"/>
  <c r="C448" i="21"/>
  <c r="C499" i="21"/>
  <c r="C532" i="21"/>
  <c r="C413" i="20"/>
  <c r="C481" i="21"/>
  <c r="C501" i="20"/>
  <c r="C412" i="21"/>
  <c r="C449" i="21"/>
  <c r="C403" i="21"/>
  <c r="C452" i="21"/>
  <c r="C504" i="21"/>
  <c r="C473" i="21"/>
  <c r="C487" i="21"/>
  <c r="C547" i="21"/>
  <c r="C416" i="20"/>
  <c r="C495" i="21"/>
  <c r="C460" i="21"/>
  <c r="C556" i="20"/>
  <c r="C471" i="21"/>
  <c r="C424" i="21"/>
  <c r="C421" i="21"/>
  <c r="C461" i="21"/>
  <c r="C545" i="20"/>
  <c r="C493" i="21"/>
  <c r="C468" i="20"/>
  <c r="C490" i="20"/>
  <c r="C503" i="20"/>
  <c r="C536" i="21"/>
  <c r="C464" i="21"/>
  <c r="C538" i="21"/>
  <c r="C516" i="21"/>
  <c r="C559" i="20"/>
  <c r="C466" i="20"/>
  <c r="C551" i="20"/>
  <c r="C485" i="20"/>
  <c r="C523" i="20"/>
  <c r="C488" i="20"/>
  <c r="C491" i="20"/>
  <c r="C449" i="20"/>
  <c r="C459" i="21"/>
  <c r="C439" i="21"/>
  <c r="C554" i="20"/>
  <c r="C462" i="21"/>
  <c r="C450" i="20"/>
  <c r="C520" i="20"/>
  <c r="C480" i="21"/>
  <c r="C467" i="21"/>
  <c r="C472" i="21"/>
  <c r="C423" i="21"/>
  <c r="C438" i="21"/>
  <c r="C479" i="20"/>
  <c r="C404" i="20"/>
  <c r="C554" i="21"/>
  <c r="C547" i="20"/>
  <c r="C486" i="21"/>
  <c r="C470" i="21"/>
  <c r="C484" i="21"/>
  <c r="C505" i="20"/>
  <c r="C429" i="20"/>
  <c r="C496" i="21"/>
  <c r="C564" i="20"/>
  <c r="C553" i="21"/>
  <c r="C463" i="20"/>
  <c r="C563" i="20"/>
  <c r="C426" i="20"/>
  <c r="C464" i="20"/>
  <c r="C436" i="21"/>
  <c r="C404" i="21"/>
  <c r="C518" i="20"/>
  <c r="C503" i="21"/>
  <c r="C482" i="20"/>
  <c r="C451" i="20"/>
  <c r="C526" i="21"/>
  <c r="C476" i="21"/>
  <c r="C545" i="21"/>
  <c r="C478" i="20"/>
  <c r="C492" i="20"/>
  <c r="C431" i="20"/>
  <c r="C447" i="20"/>
  <c r="C494" i="21"/>
  <c r="C537" i="20"/>
  <c r="C441" i="21"/>
  <c r="C549" i="20"/>
  <c r="C481" i="20"/>
  <c r="C502" i="20"/>
  <c r="C504" i="20"/>
  <c r="C428" i="20"/>
  <c r="C446" i="20"/>
  <c r="C478" i="21"/>
  <c r="C528" i="20"/>
  <c r="C498" i="21"/>
  <c r="C418" i="20"/>
  <c r="C465" i="21"/>
  <c r="C427" i="20"/>
  <c r="C435" i="20"/>
  <c r="C444" i="21"/>
  <c r="C530" i="21"/>
  <c r="C497" i="21"/>
  <c r="C462" i="20"/>
  <c r="C416" i="21"/>
  <c r="C423" i="20"/>
  <c r="C412" i="20"/>
  <c r="C425" i="20"/>
  <c r="C487" i="20"/>
  <c r="C420" i="21"/>
  <c r="C489" i="21"/>
  <c r="C544" i="20"/>
  <c r="C558" i="21"/>
  <c r="C476" i="20"/>
  <c r="C501" i="21"/>
  <c r="C495" i="20"/>
  <c r="C541" i="21"/>
  <c r="C427" i="21"/>
  <c r="C413" i="21"/>
  <c r="C405" i="21"/>
  <c r="C470" i="20"/>
  <c r="C564" i="21"/>
  <c r="C556" i="21"/>
  <c r="C409" i="21"/>
  <c r="C419" i="21"/>
  <c r="C410" i="20"/>
  <c r="C474" i="21"/>
  <c r="C493" i="20"/>
  <c r="C483" i="20"/>
  <c r="C440" i="20"/>
  <c r="C410" i="21"/>
  <c r="C409" i="20"/>
  <c r="C426" i="21"/>
  <c r="C429" i="21"/>
  <c r="C536" i="20"/>
  <c r="C438" i="20"/>
  <c r="C540" i="20"/>
  <c r="C403" i="20"/>
  <c r="C562" i="21"/>
  <c r="C518" i="21"/>
  <c r="C482" i="21"/>
  <c r="C534" i="21"/>
  <c r="C451" i="21"/>
  <c r="C516" i="20"/>
  <c r="C527" i="20"/>
  <c r="C417" i="20"/>
  <c r="C466" i="21"/>
  <c r="C421" i="20"/>
  <c r="C480" i="20"/>
  <c r="C415" i="21"/>
  <c r="C406" i="20"/>
  <c r="C543" i="20"/>
  <c r="C418" i="21"/>
  <c r="C407" i="20"/>
  <c r="C471" i="20"/>
  <c r="C446" i="21"/>
  <c r="C433" i="21"/>
  <c r="C441" i="20"/>
  <c r="C490" i="21"/>
  <c r="C411" i="21"/>
  <c r="C533" i="20"/>
  <c r="C530" i="20"/>
  <c r="C535" i="20"/>
  <c r="C440" i="21"/>
  <c r="C550" i="21"/>
  <c r="C447" i="21"/>
  <c r="C414" i="20"/>
  <c r="C517" i="21"/>
  <c r="C463" i="21"/>
  <c r="C424" i="20"/>
  <c r="C483" i="21"/>
  <c r="C515" i="21"/>
  <c r="W9" i="4"/>
  <c r="F509" i="21"/>
  <c r="H509" i="21"/>
  <c r="F453" i="20"/>
  <c r="F509" i="20"/>
  <c r="J453" i="21"/>
  <c r="J509" i="21"/>
  <c r="F565" i="21"/>
  <c r="E509" i="21"/>
  <c r="K565" i="21"/>
  <c r="I565" i="21"/>
  <c r="H565" i="21"/>
  <c r="L565" i="21"/>
  <c r="G509" i="21"/>
  <c r="E565" i="21"/>
  <c r="G453" i="21"/>
  <c r="F453" i="21"/>
  <c r="L453" i="21"/>
  <c r="H453" i="21"/>
  <c r="L509" i="21"/>
  <c r="G565" i="21"/>
  <c r="K453" i="21"/>
  <c r="G509" i="20"/>
  <c r="H453" i="20"/>
  <c r="I509" i="20"/>
  <c r="G565" i="20"/>
  <c r="E565" i="20"/>
  <c r="I565" i="20"/>
  <c r="F565" i="20"/>
  <c r="H565" i="20"/>
  <c r="J565" i="20"/>
  <c r="L565" i="20"/>
  <c r="J453" i="20"/>
  <c r="E453" i="20"/>
  <c r="L453" i="20"/>
  <c r="I453" i="20"/>
  <c r="K509" i="20"/>
  <c r="J565" i="21"/>
  <c r="G453" i="20"/>
  <c r="E509" i="20"/>
  <c r="L509" i="20"/>
  <c r="I509" i="21"/>
  <c r="H509" i="20"/>
  <c r="K565" i="20"/>
  <c r="I453" i="21"/>
  <c r="K509" i="21"/>
  <c r="J509" i="20"/>
  <c r="K453" i="20"/>
  <c r="C565" i="20" l="1"/>
  <c r="C509" i="20"/>
  <c r="C453" i="20"/>
  <c r="C565" i="21"/>
  <c r="C509" i="21"/>
  <c r="I76" i="20"/>
  <c r="E325" i="21"/>
  <c r="J334" i="21"/>
  <c r="L386" i="20"/>
  <c r="I84" i="20"/>
  <c r="I91" i="21"/>
  <c r="I103" i="20"/>
  <c r="E112" i="20"/>
  <c r="E111" i="20"/>
  <c r="E115" i="20"/>
  <c r="H104" i="20"/>
  <c r="H94" i="20"/>
  <c r="J94" i="20"/>
  <c r="L94" i="20"/>
  <c r="J111" i="20"/>
  <c r="J113" i="20"/>
  <c r="L103" i="20"/>
  <c r="F95" i="20"/>
  <c r="K115" i="20"/>
  <c r="K99" i="20"/>
  <c r="K103" i="20"/>
  <c r="K98" i="20"/>
  <c r="G70" i="20"/>
  <c r="I93" i="21"/>
  <c r="G280" i="21"/>
  <c r="J205" i="21"/>
  <c r="F204" i="21"/>
  <c r="I257" i="21"/>
  <c r="K125" i="20"/>
  <c r="K389" i="20"/>
  <c r="K267" i="20"/>
  <c r="K283" i="20"/>
  <c r="F266" i="20"/>
  <c r="J262" i="20"/>
  <c r="F256" i="20"/>
  <c r="F271" i="20"/>
  <c r="E262" i="20"/>
  <c r="L275" i="20"/>
  <c r="L266" i="20"/>
  <c r="L257" i="20"/>
  <c r="H256" i="20"/>
  <c r="G272" i="20"/>
  <c r="H282" i="20"/>
  <c r="H281" i="20"/>
  <c r="L273" i="20"/>
  <c r="L264" i="20"/>
  <c r="E281" i="20"/>
  <c r="H47" i="21"/>
  <c r="J39" i="21"/>
  <c r="F58" i="21"/>
  <c r="I54" i="21"/>
  <c r="E57" i="21"/>
  <c r="I46" i="21"/>
  <c r="E59" i="21"/>
  <c r="H53" i="21"/>
  <c r="K45" i="21"/>
  <c r="F43" i="21"/>
  <c r="J57" i="21"/>
  <c r="K38" i="21"/>
  <c r="E54" i="21"/>
  <c r="H55" i="21"/>
  <c r="L39" i="21"/>
  <c r="H54" i="21"/>
  <c r="L57" i="21"/>
  <c r="K58" i="21"/>
  <c r="G45" i="21"/>
  <c r="J56" i="21"/>
  <c r="I189" i="21"/>
  <c r="I259" i="21"/>
  <c r="K157" i="20"/>
  <c r="I161" i="21"/>
  <c r="F339" i="20"/>
  <c r="F333" i="20"/>
  <c r="F340" i="20"/>
  <c r="G328" i="20"/>
  <c r="K325" i="20"/>
  <c r="G333" i="20"/>
  <c r="F321" i="20"/>
  <c r="J318" i="20"/>
  <c r="J313" i="20"/>
  <c r="J339" i="20"/>
  <c r="H328" i="20"/>
  <c r="I238" i="20"/>
  <c r="L378" i="20"/>
  <c r="J149" i="21"/>
  <c r="I246" i="20"/>
  <c r="I283" i="21"/>
  <c r="I257" i="20"/>
  <c r="E99" i="20"/>
  <c r="H110" i="20"/>
  <c r="H111" i="20"/>
  <c r="H99" i="20"/>
  <c r="H101" i="20"/>
  <c r="L107" i="20"/>
  <c r="L102" i="20"/>
  <c r="L100" i="20"/>
  <c r="J99" i="20"/>
  <c r="L116" i="20"/>
  <c r="F93" i="20"/>
  <c r="K89" i="20"/>
  <c r="K110" i="20"/>
  <c r="K102" i="20"/>
  <c r="F97" i="20"/>
  <c r="I82" i="20"/>
  <c r="I96" i="21"/>
  <c r="J169" i="21"/>
  <c r="I130" i="21"/>
  <c r="K208" i="20"/>
  <c r="I279" i="21"/>
  <c r="K147" i="20"/>
  <c r="G355" i="20"/>
  <c r="K266" i="20"/>
  <c r="K256" i="20"/>
  <c r="F276" i="20"/>
  <c r="K279" i="20"/>
  <c r="F279" i="20"/>
  <c r="J267" i="20"/>
  <c r="E268" i="20"/>
  <c r="L272" i="20"/>
  <c r="L258" i="20"/>
  <c r="L276" i="20"/>
  <c r="H269" i="20"/>
  <c r="G258" i="20"/>
  <c r="H270" i="20"/>
  <c r="H277" i="20"/>
  <c r="H279" i="20"/>
  <c r="E258" i="20"/>
  <c r="L270" i="20"/>
  <c r="G41" i="21"/>
  <c r="J34" i="21"/>
  <c r="E46" i="21"/>
  <c r="I55" i="21"/>
  <c r="L56" i="21"/>
  <c r="H59" i="21"/>
  <c r="L53" i="21"/>
  <c r="G35" i="21"/>
  <c r="J46" i="21"/>
  <c r="E35" i="21"/>
  <c r="G34" i="21"/>
  <c r="K34" i="21"/>
  <c r="L41" i="21"/>
  <c r="H57" i="21"/>
  <c r="K42" i="21"/>
  <c r="G59" i="21"/>
  <c r="K57" i="21"/>
  <c r="I35" i="21"/>
  <c r="G46" i="21"/>
  <c r="I57" i="21"/>
  <c r="I243" i="21"/>
  <c r="I261" i="21"/>
  <c r="K146" i="20"/>
  <c r="I159" i="21"/>
  <c r="F319" i="20"/>
  <c r="F312" i="20"/>
  <c r="F316" i="20"/>
  <c r="F338" i="20"/>
  <c r="K322" i="20"/>
  <c r="G338" i="20"/>
  <c r="K329" i="20"/>
  <c r="I331" i="20"/>
  <c r="I326" i="20"/>
  <c r="F225" i="21"/>
  <c r="L377" i="20"/>
  <c r="J203" i="21"/>
  <c r="K354" i="20"/>
  <c r="I155" i="21"/>
  <c r="I114" i="21"/>
  <c r="E116" i="20"/>
  <c r="H95" i="20"/>
  <c r="H112" i="20"/>
  <c r="E88" i="20"/>
  <c r="E92" i="20"/>
  <c r="L109" i="20"/>
  <c r="J93" i="20"/>
  <c r="L104" i="20"/>
  <c r="L98" i="20"/>
  <c r="L101" i="20"/>
  <c r="F99" i="20"/>
  <c r="F102" i="20"/>
  <c r="F101" i="20"/>
  <c r="F89" i="20"/>
  <c r="K91" i="20"/>
  <c r="E190" i="20"/>
  <c r="I265" i="21"/>
  <c r="J171" i="21"/>
  <c r="I149" i="21"/>
  <c r="G339" i="21"/>
  <c r="I91" i="20"/>
  <c r="I281" i="20"/>
  <c r="L150" i="20"/>
  <c r="K264" i="20"/>
  <c r="K282" i="20"/>
  <c r="F257" i="20"/>
  <c r="F274" i="20"/>
  <c r="F269" i="20"/>
  <c r="J277" i="20"/>
  <c r="F280" i="20"/>
  <c r="F275" i="20"/>
  <c r="J261" i="20"/>
  <c r="J283" i="20"/>
  <c r="J268" i="20"/>
  <c r="G264" i="20"/>
  <c r="H266" i="20"/>
  <c r="J276" i="20"/>
  <c r="L271" i="20"/>
  <c r="L267" i="20"/>
  <c r="E275" i="20"/>
  <c r="G55" i="21"/>
  <c r="I34" i="21"/>
  <c r="L59" i="21"/>
  <c r="G48" i="21"/>
  <c r="L46" i="21"/>
  <c r="G56" i="21"/>
  <c r="L37" i="21"/>
  <c r="G54" i="21"/>
  <c r="J35" i="21"/>
  <c r="E39" i="21"/>
  <c r="H44" i="21"/>
  <c r="J44" i="21"/>
  <c r="L58" i="21"/>
  <c r="H50" i="21"/>
  <c r="K51" i="21"/>
  <c r="G37" i="21"/>
  <c r="K60" i="21"/>
  <c r="H46" i="21"/>
  <c r="L35" i="21"/>
  <c r="G255" i="21"/>
  <c r="I111" i="20"/>
  <c r="K153" i="20"/>
  <c r="K379" i="20"/>
  <c r="K319" i="20"/>
  <c r="K313" i="20"/>
  <c r="K337" i="20"/>
  <c r="F334" i="20"/>
  <c r="K326" i="20"/>
  <c r="G331" i="20"/>
  <c r="K335" i="20"/>
  <c r="I314" i="20"/>
  <c r="I321" i="20"/>
  <c r="J317" i="20"/>
  <c r="I247" i="20"/>
  <c r="I72" i="21"/>
  <c r="I71" i="20"/>
  <c r="I80" i="21"/>
  <c r="E91" i="21"/>
  <c r="G258" i="21"/>
  <c r="H88" i="20"/>
  <c r="H100" i="20"/>
  <c r="H115" i="20"/>
  <c r="E113" i="20"/>
  <c r="E104" i="20"/>
  <c r="L106" i="20"/>
  <c r="J97" i="20"/>
  <c r="E89" i="20"/>
  <c r="L96" i="20"/>
  <c r="F91" i="20"/>
  <c r="F109" i="20"/>
  <c r="K111" i="20"/>
  <c r="K116" i="20"/>
  <c r="F115" i="20"/>
  <c r="K109" i="20"/>
  <c r="J132" i="21"/>
  <c r="I275" i="21"/>
  <c r="K151" i="20"/>
  <c r="I152" i="21"/>
  <c r="L125" i="20"/>
  <c r="J330" i="21"/>
  <c r="I94" i="20"/>
  <c r="G68" i="20"/>
  <c r="E161" i="20"/>
  <c r="K257" i="20"/>
  <c r="K281" i="20"/>
  <c r="J256" i="20"/>
  <c r="F262" i="20"/>
  <c r="F272" i="20"/>
  <c r="F282" i="20"/>
  <c r="J274" i="20"/>
  <c r="J265" i="20"/>
  <c r="G284" i="20"/>
  <c r="G281" i="20"/>
  <c r="G275" i="20"/>
  <c r="H263" i="20"/>
  <c r="E264" i="20"/>
  <c r="J266" i="20"/>
  <c r="J282" i="20"/>
  <c r="E280" i="20"/>
  <c r="L281" i="20"/>
  <c r="G73" i="20"/>
  <c r="F41" i="21"/>
  <c r="I48" i="21"/>
  <c r="L55" i="21"/>
  <c r="H37" i="21"/>
  <c r="L43" i="21"/>
  <c r="L34" i="21"/>
  <c r="F54" i="21"/>
  <c r="I50" i="21"/>
  <c r="E38" i="21"/>
  <c r="G51" i="21"/>
  <c r="H58" i="21"/>
  <c r="L60" i="21"/>
  <c r="G43" i="21"/>
  <c r="J51" i="21"/>
  <c r="G38" i="21"/>
  <c r="K37" i="21"/>
  <c r="E50" i="21"/>
  <c r="I40" i="21"/>
  <c r="J297" i="21"/>
  <c r="I105" i="20"/>
  <c r="I258" i="20"/>
  <c r="G372" i="20"/>
  <c r="K328" i="20"/>
  <c r="K320" i="20"/>
  <c r="K333" i="20"/>
  <c r="F324" i="20"/>
  <c r="G336" i="20"/>
  <c r="F326" i="20"/>
  <c r="K327" i="20"/>
  <c r="H323" i="20"/>
  <c r="H336" i="20"/>
  <c r="L327" i="20"/>
  <c r="I84" i="21"/>
  <c r="I83" i="20"/>
  <c r="F242" i="21"/>
  <c r="J338" i="21"/>
  <c r="I250" i="20"/>
  <c r="H116" i="20"/>
  <c r="E100" i="20"/>
  <c r="E94" i="20"/>
  <c r="H113" i="20"/>
  <c r="H97" i="20"/>
  <c r="J95" i="20"/>
  <c r="L114" i="20"/>
  <c r="H98" i="20"/>
  <c r="J101" i="20"/>
  <c r="F104" i="20"/>
  <c r="F92" i="20"/>
  <c r="K101" i="20"/>
  <c r="K90" i="20"/>
  <c r="K100" i="20"/>
  <c r="J198" i="21"/>
  <c r="I276" i="21"/>
  <c r="K144" i="20"/>
  <c r="K385" i="20"/>
  <c r="K137" i="20"/>
  <c r="J319" i="21"/>
  <c r="F208" i="20"/>
  <c r="G108" i="20"/>
  <c r="E172" i="20"/>
  <c r="K261" i="20"/>
  <c r="K262" i="20"/>
  <c r="J264" i="20"/>
  <c r="J284" i="20"/>
  <c r="F259" i="20"/>
  <c r="F261" i="20"/>
  <c r="J257" i="20"/>
  <c r="G262" i="20"/>
  <c r="G282" i="20"/>
  <c r="G280" i="20"/>
  <c r="G267" i="20"/>
  <c r="H280" i="20"/>
  <c r="E256" i="20"/>
  <c r="G260" i="20"/>
  <c r="H261" i="20"/>
  <c r="L283" i="20"/>
  <c r="G266" i="20"/>
  <c r="G85" i="20"/>
  <c r="F40" i="21"/>
  <c r="J58" i="21"/>
  <c r="L48" i="21"/>
  <c r="H33" i="21"/>
  <c r="K44" i="21"/>
  <c r="H34" i="21"/>
  <c r="K35" i="21"/>
  <c r="F52" i="21"/>
  <c r="I33" i="21"/>
  <c r="L47" i="21"/>
  <c r="G40" i="21"/>
  <c r="H38" i="21"/>
  <c r="K50" i="21"/>
  <c r="G33" i="21"/>
  <c r="J40" i="21"/>
  <c r="F47" i="21"/>
  <c r="J45" i="21"/>
  <c r="H60" i="21"/>
  <c r="E48" i="21"/>
  <c r="J309" i="21"/>
  <c r="F205" i="20"/>
  <c r="I266" i="20"/>
  <c r="L161" i="20"/>
  <c r="G314" i="20"/>
  <c r="G325" i="20"/>
  <c r="G321" i="20"/>
  <c r="K331" i="20"/>
  <c r="G312" i="20"/>
  <c r="F325" i="20"/>
  <c r="G317" i="20"/>
  <c r="I94" i="21"/>
  <c r="G261" i="21"/>
  <c r="G88" i="20"/>
  <c r="I126" i="21"/>
  <c r="L365" i="20"/>
  <c r="G254" i="21"/>
  <c r="I81" i="21"/>
  <c r="K378" i="20"/>
  <c r="E107" i="20"/>
  <c r="E106" i="20"/>
  <c r="E114" i="20"/>
  <c r="H102" i="20"/>
  <c r="H90" i="20"/>
  <c r="J98" i="20"/>
  <c r="L97" i="20"/>
  <c r="J114" i="20"/>
  <c r="J109" i="20"/>
  <c r="J112" i="20"/>
  <c r="F90" i="20"/>
  <c r="K96" i="20"/>
  <c r="K106" i="20"/>
  <c r="K93" i="20"/>
  <c r="I240" i="21"/>
  <c r="I90" i="20"/>
  <c r="I235" i="20"/>
  <c r="K393" i="20"/>
  <c r="H179" i="20"/>
  <c r="L373" i="20"/>
  <c r="F217" i="20"/>
  <c r="G99" i="20"/>
  <c r="E206" i="20"/>
  <c r="K269" i="20"/>
  <c r="K276" i="20"/>
  <c r="F267" i="20"/>
  <c r="J270" i="20"/>
  <c r="J278" i="20"/>
  <c r="J258" i="20"/>
  <c r="G271" i="20"/>
  <c r="G268" i="20"/>
  <c r="G259" i="20"/>
  <c r="G270" i="20"/>
  <c r="G261" i="20"/>
  <c r="E267" i="20"/>
  <c r="L243" i="20"/>
  <c r="G283" i="20"/>
  <c r="E276" i="20"/>
  <c r="L260" i="20"/>
  <c r="E272" i="20"/>
  <c r="J127" i="20"/>
  <c r="E55" i="21"/>
  <c r="H52" i="21"/>
  <c r="K53" i="21"/>
  <c r="H41" i="21"/>
  <c r="K43" i="21"/>
  <c r="H45" i="21"/>
  <c r="K54" i="21"/>
  <c r="E44" i="21"/>
  <c r="I56" i="21"/>
  <c r="L45" i="21"/>
  <c r="F59" i="21"/>
  <c r="G52" i="21"/>
  <c r="K52" i="21"/>
  <c r="G39" i="21"/>
  <c r="J43" i="21"/>
  <c r="F55" i="21"/>
  <c r="J47" i="21"/>
  <c r="E52" i="21"/>
  <c r="L49" i="21"/>
  <c r="J317" i="21"/>
  <c r="F200" i="20"/>
  <c r="I256" i="20"/>
  <c r="E157" i="20"/>
  <c r="G326" i="20"/>
  <c r="G316" i="20"/>
  <c r="G334" i="20"/>
  <c r="K323" i="20"/>
  <c r="G337" i="20"/>
  <c r="F315" i="20"/>
  <c r="G329" i="20"/>
  <c r="J334" i="20"/>
  <c r="J320" i="20"/>
  <c r="I320" i="20"/>
  <c r="J138" i="21"/>
  <c r="F199" i="21"/>
  <c r="J296" i="21"/>
  <c r="I282" i="21"/>
  <c r="L393" i="20"/>
  <c r="E90" i="20"/>
  <c r="E96" i="20"/>
  <c r="H109" i="20"/>
  <c r="E98" i="20"/>
  <c r="J110" i="20"/>
  <c r="L99" i="20"/>
  <c r="J115" i="20"/>
  <c r="J91" i="20"/>
  <c r="J88" i="20"/>
  <c r="L108" i="20"/>
  <c r="F105" i="20"/>
  <c r="F113" i="20"/>
  <c r="F108" i="20"/>
  <c r="F96" i="20"/>
  <c r="J312" i="21"/>
  <c r="I115" i="20"/>
  <c r="I269" i="20"/>
  <c r="G375" i="20"/>
  <c r="F191" i="20"/>
  <c r="L375" i="20"/>
  <c r="F216" i="20"/>
  <c r="J201" i="21"/>
  <c r="F224" i="21"/>
  <c r="E208" i="20"/>
  <c r="K258" i="20"/>
  <c r="K268" i="20"/>
  <c r="F281" i="20"/>
  <c r="K277" i="20"/>
  <c r="J281" i="20"/>
  <c r="J260" i="20"/>
  <c r="G277" i="20"/>
  <c r="H258" i="20"/>
  <c r="H274" i="20"/>
  <c r="H265" i="20"/>
  <c r="H272" i="20"/>
  <c r="E265" i="20"/>
  <c r="L282" i="20"/>
  <c r="H278" i="20"/>
  <c r="L262" i="20"/>
  <c r="E278" i="20"/>
  <c r="L268" i="20"/>
  <c r="F181" i="20"/>
  <c r="E36" i="21"/>
  <c r="H40" i="21"/>
  <c r="K49" i="21"/>
  <c r="G53" i="21"/>
  <c r="K59" i="21"/>
  <c r="H32" i="21"/>
  <c r="J55" i="21"/>
  <c r="E47" i="21"/>
  <c r="I41" i="21"/>
  <c r="L33" i="21"/>
  <c r="F36" i="21"/>
  <c r="G42" i="21"/>
  <c r="J54" i="21"/>
  <c r="F53" i="21"/>
  <c r="I49" i="21"/>
  <c r="F51" i="21"/>
  <c r="I53" i="21"/>
  <c r="K41" i="21"/>
  <c r="J48" i="21"/>
  <c r="J314" i="21"/>
  <c r="F222" i="20"/>
  <c r="G103" i="20"/>
  <c r="E205" i="20"/>
  <c r="F336" i="20"/>
  <c r="F330" i="20"/>
  <c r="F337" i="20"/>
  <c r="I253" i="21"/>
  <c r="J308" i="21"/>
  <c r="I158" i="21"/>
  <c r="G284" i="21"/>
  <c r="E93" i="20"/>
  <c r="H105" i="20"/>
  <c r="H106" i="20"/>
  <c r="E109" i="20"/>
  <c r="J103" i="20"/>
  <c r="L105" i="20"/>
  <c r="J116" i="20"/>
  <c r="J96" i="20"/>
  <c r="L89" i="20"/>
  <c r="F106" i="20"/>
  <c r="L113" i="20"/>
  <c r="K108" i="20"/>
  <c r="K113" i="20"/>
  <c r="F103" i="20"/>
  <c r="J316" i="21"/>
  <c r="I116" i="20"/>
  <c r="I283" i="20"/>
  <c r="G395" i="20"/>
  <c r="L374" i="20"/>
  <c r="G274" i="21"/>
  <c r="J204" i="21"/>
  <c r="K219" i="20"/>
  <c r="F200" i="21"/>
  <c r="K260" i="20"/>
  <c r="K280" i="20"/>
  <c r="J272" i="20"/>
  <c r="F273" i="20"/>
  <c r="F260" i="20"/>
  <c r="G257" i="20"/>
  <c r="H267" i="20"/>
  <c r="H262" i="20"/>
  <c r="H283" i="20"/>
  <c r="H275" i="20"/>
  <c r="H268" i="20"/>
  <c r="L261" i="20"/>
  <c r="J280" i="20"/>
  <c r="H273" i="20"/>
  <c r="J275" i="20"/>
  <c r="L265" i="20"/>
  <c r="E193" i="20"/>
  <c r="E42" i="21"/>
  <c r="H42" i="21"/>
  <c r="K55" i="21"/>
  <c r="G36" i="21"/>
  <c r="J33" i="21"/>
  <c r="G44" i="21"/>
  <c r="J41" i="21"/>
  <c r="E45" i="21"/>
  <c r="F50" i="21"/>
  <c r="K47" i="21"/>
  <c r="F33" i="21"/>
  <c r="G58" i="21"/>
  <c r="J49" i="21"/>
  <c r="F37" i="21"/>
  <c r="I45" i="21"/>
  <c r="E43" i="21"/>
  <c r="I39" i="21"/>
  <c r="H35" i="21"/>
  <c r="I42" i="21"/>
  <c r="J325" i="21"/>
  <c r="G257" i="21"/>
  <c r="G97" i="20"/>
  <c r="E212" i="20"/>
  <c r="F322" i="20"/>
  <c r="F314" i="20"/>
  <c r="F318" i="20"/>
  <c r="G315" i="20"/>
  <c r="F328" i="20"/>
  <c r="K321" i="20"/>
  <c r="I312" i="20"/>
  <c r="I328" i="20"/>
  <c r="I339" i="20"/>
  <c r="H324" i="20"/>
  <c r="G374" i="20"/>
  <c r="E201" i="20"/>
  <c r="J300" i="21"/>
  <c r="J295" i="21"/>
  <c r="J329" i="21"/>
  <c r="J335" i="21"/>
  <c r="G92" i="20"/>
  <c r="H108" i="20"/>
  <c r="H114" i="20"/>
  <c r="H92" i="20"/>
  <c r="H107" i="20"/>
  <c r="L112" i="20"/>
  <c r="L95" i="20"/>
  <c r="J89" i="20"/>
  <c r="L91" i="20"/>
  <c r="L111" i="20"/>
  <c r="F116" i="20"/>
  <c r="F88" i="20"/>
  <c r="K92" i="20"/>
  <c r="K104" i="20"/>
  <c r="K97" i="20"/>
  <c r="L349" i="20"/>
  <c r="F203" i="20"/>
  <c r="G95" i="20"/>
  <c r="L168" i="20"/>
  <c r="I90" i="21"/>
  <c r="G260" i="21"/>
  <c r="J214" i="21"/>
  <c r="F100" i="20"/>
  <c r="H205" i="20"/>
  <c r="K272" i="20"/>
  <c r="K273" i="20"/>
  <c r="J271" i="20"/>
  <c r="F265" i="20"/>
  <c r="F263" i="20"/>
  <c r="G279" i="20"/>
  <c r="H259" i="20"/>
  <c r="E282" i="20"/>
  <c r="E279" i="20"/>
  <c r="J279" i="20"/>
  <c r="E270" i="20"/>
  <c r="L278" i="20"/>
  <c r="J269" i="20"/>
  <c r="H271" i="20"/>
  <c r="H260" i="20"/>
  <c r="L269" i="20"/>
  <c r="L355" i="20"/>
  <c r="L40" i="21"/>
  <c r="H56" i="21"/>
  <c r="J36" i="21"/>
  <c r="F35" i="21"/>
  <c r="J52" i="21"/>
  <c r="G57" i="21"/>
  <c r="I59" i="21"/>
  <c r="L50" i="21"/>
  <c r="H36" i="21"/>
  <c r="K40" i="21"/>
  <c r="E40" i="21"/>
  <c r="F56" i="21"/>
  <c r="J53" i="21"/>
  <c r="F46" i="21"/>
  <c r="H48" i="21"/>
  <c r="E56" i="21"/>
  <c r="J32" i="21"/>
  <c r="G50" i="21"/>
  <c r="F44" i="21"/>
  <c r="L384" i="20"/>
  <c r="G256" i="21"/>
  <c r="G112" i="20"/>
  <c r="F227" i="21"/>
  <c r="K316" i="20"/>
  <c r="K340" i="20"/>
  <c r="K334" i="20"/>
  <c r="G313" i="20"/>
  <c r="F313" i="20"/>
  <c r="K332" i="20"/>
  <c r="J322" i="21"/>
  <c r="G102" i="20"/>
  <c r="J212" i="21"/>
  <c r="I145" i="21"/>
  <c r="I96" i="20"/>
  <c r="G270" i="21"/>
  <c r="E103" i="20"/>
  <c r="E97" i="20"/>
  <c r="E102" i="20"/>
  <c r="E101" i="20"/>
  <c r="L110" i="20"/>
  <c r="J90" i="20"/>
  <c r="J108" i="20"/>
  <c r="E105" i="20"/>
  <c r="J107" i="20"/>
  <c r="L88" i="20"/>
  <c r="F114" i="20"/>
  <c r="F94" i="20"/>
  <c r="F98" i="20"/>
  <c r="F110" i="20"/>
  <c r="L371" i="20"/>
  <c r="G241" i="21"/>
  <c r="J200" i="21"/>
  <c r="E165" i="20"/>
  <c r="I105" i="21"/>
  <c r="J123" i="21"/>
  <c r="I153" i="21"/>
  <c r="K275" i="20"/>
  <c r="K263" i="20"/>
  <c r="K271" i="20"/>
  <c r="F283" i="20"/>
  <c r="K274" i="20"/>
  <c r="F284" i="20"/>
  <c r="H264" i="20"/>
  <c r="E259" i="20"/>
  <c r="E257" i="20"/>
  <c r="E263" i="20"/>
  <c r="G276" i="20"/>
  <c r="E266" i="20"/>
  <c r="G269" i="20"/>
  <c r="G256" i="20"/>
  <c r="E277" i="20"/>
  <c r="L284" i="20"/>
  <c r="L256" i="20"/>
  <c r="H43" i="21"/>
  <c r="K33" i="21"/>
  <c r="G47" i="21"/>
  <c r="I44" i="21"/>
  <c r="E37" i="21"/>
  <c r="I38" i="21"/>
  <c r="F34" i="21"/>
  <c r="I47" i="21"/>
  <c r="L52" i="21"/>
  <c r="G49" i="21"/>
  <c r="J37" i="21"/>
  <c r="L36" i="21"/>
  <c r="F42" i="21"/>
  <c r="I36" i="21"/>
  <c r="E49" i="21"/>
  <c r="H49" i="21"/>
  <c r="E51" i="21"/>
  <c r="E33" i="21"/>
  <c r="K46" i="21"/>
  <c r="J42" i="21"/>
  <c r="I123" i="21"/>
  <c r="L380" i="20"/>
  <c r="J144" i="21"/>
  <c r="J199" i="21"/>
  <c r="E200" i="21"/>
  <c r="G327" i="20"/>
  <c r="G323" i="20"/>
  <c r="G324" i="20"/>
  <c r="F331" i="20"/>
  <c r="K336" i="20"/>
  <c r="G332" i="20"/>
  <c r="H317" i="20"/>
  <c r="H314" i="20"/>
  <c r="J324" i="21"/>
  <c r="E108" i="20"/>
  <c r="F111" i="20"/>
  <c r="I99" i="21"/>
  <c r="J146" i="21"/>
  <c r="J263" i="20"/>
  <c r="L274" i="20"/>
  <c r="E261" i="20"/>
  <c r="I43" i="21"/>
  <c r="F45" i="21"/>
  <c r="H39" i="21"/>
  <c r="I103" i="21"/>
  <c r="G318" i="20"/>
  <c r="H312" i="20"/>
  <c r="H334" i="20"/>
  <c r="I330" i="20"/>
  <c r="H325" i="20"/>
  <c r="H337" i="20"/>
  <c r="J316" i="20"/>
  <c r="J322" i="20"/>
  <c r="E335" i="20"/>
  <c r="E329" i="20"/>
  <c r="L329" i="20"/>
  <c r="E319" i="20"/>
  <c r="F182" i="20"/>
  <c r="K92" i="21"/>
  <c r="K108" i="21"/>
  <c r="G113" i="21"/>
  <c r="F97" i="21"/>
  <c r="G97" i="21"/>
  <c r="L88" i="21"/>
  <c r="L102" i="21"/>
  <c r="F91" i="21"/>
  <c r="G110" i="21"/>
  <c r="H92" i="21"/>
  <c r="H110" i="21"/>
  <c r="E114" i="21"/>
  <c r="E89" i="21"/>
  <c r="E109" i="21"/>
  <c r="J103" i="21"/>
  <c r="E101" i="21"/>
  <c r="J91" i="21"/>
  <c r="I136" i="21"/>
  <c r="I267" i="21"/>
  <c r="K166" i="20"/>
  <c r="I167" i="21"/>
  <c r="E144" i="20"/>
  <c r="E390" i="20"/>
  <c r="F369" i="20"/>
  <c r="J396" i="20"/>
  <c r="J393" i="20"/>
  <c r="J390" i="20"/>
  <c r="J381" i="20"/>
  <c r="J370" i="20"/>
  <c r="E395" i="20"/>
  <c r="E389" i="20"/>
  <c r="H368" i="20"/>
  <c r="I389" i="20"/>
  <c r="K374" i="20"/>
  <c r="G373" i="20"/>
  <c r="K396" i="20"/>
  <c r="G75" i="20"/>
  <c r="K153" i="21"/>
  <c r="E149" i="21"/>
  <c r="K151" i="21"/>
  <c r="E148" i="21"/>
  <c r="K165" i="21"/>
  <c r="L154" i="21"/>
  <c r="F153" i="21"/>
  <c r="G156" i="21"/>
  <c r="L169" i="21"/>
  <c r="G144" i="21"/>
  <c r="G158" i="21"/>
  <c r="H166" i="21"/>
  <c r="H151" i="21"/>
  <c r="H172" i="21"/>
  <c r="H147" i="21"/>
  <c r="J125" i="21"/>
  <c r="I258" i="21"/>
  <c r="K127" i="20"/>
  <c r="I148" i="21"/>
  <c r="K214" i="21"/>
  <c r="H227" i="21"/>
  <c r="K222" i="21"/>
  <c r="K204" i="21"/>
  <c r="I89" i="21"/>
  <c r="L92" i="20"/>
  <c r="F112" i="20"/>
  <c r="F213" i="20"/>
  <c r="I154" i="21"/>
  <c r="F268" i="20"/>
  <c r="G278" i="20"/>
  <c r="E283" i="20"/>
  <c r="F57" i="21"/>
  <c r="J60" i="21"/>
  <c r="E32" i="21"/>
  <c r="J166" i="21"/>
  <c r="G339" i="20"/>
  <c r="J337" i="20"/>
  <c r="J338" i="20"/>
  <c r="I332" i="20"/>
  <c r="H320" i="20"/>
  <c r="J324" i="20"/>
  <c r="F317" i="20"/>
  <c r="E325" i="20"/>
  <c r="E318" i="20"/>
  <c r="E312" i="20"/>
  <c r="I313" i="20"/>
  <c r="L333" i="20"/>
  <c r="F194" i="20"/>
  <c r="K110" i="21"/>
  <c r="K95" i="21"/>
  <c r="G93" i="21"/>
  <c r="L115" i="21"/>
  <c r="F95" i="21"/>
  <c r="L108" i="21"/>
  <c r="L109" i="21"/>
  <c r="F90" i="21"/>
  <c r="F107" i="21"/>
  <c r="L94" i="21"/>
  <c r="G92" i="21"/>
  <c r="H89" i="21"/>
  <c r="J105" i="21"/>
  <c r="E106" i="21"/>
  <c r="J81" i="21"/>
  <c r="J115" i="21"/>
  <c r="J190" i="21"/>
  <c r="I284" i="21"/>
  <c r="K149" i="20"/>
  <c r="K369" i="20"/>
  <c r="E209" i="20"/>
  <c r="E374" i="20"/>
  <c r="I97" i="21"/>
  <c r="J106" i="20"/>
  <c r="K114" i="20"/>
  <c r="G279" i="21"/>
  <c r="I156" i="21"/>
  <c r="F264" i="20"/>
  <c r="G273" i="20"/>
  <c r="L263" i="20"/>
  <c r="E58" i="21"/>
  <c r="J59" i="21"/>
  <c r="L32" i="21"/>
  <c r="J152" i="21"/>
  <c r="F335" i="20"/>
  <c r="H316" i="20"/>
  <c r="I336" i="20"/>
  <c r="I322" i="20"/>
  <c r="J327" i="20"/>
  <c r="J314" i="20"/>
  <c r="H329" i="20"/>
  <c r="E316" i="20"/>
  <c r="E334" i="20"/>
  <c r="E328" i="20"/>
  <c r="E339" i="20"/>
  <c r="L316" i="20"/>
  <c r="H236" i="20"/>
  <c r="K89" i="21"/>
  <c r="K115" i="21"/>
  <c r="G101" i="21"/>
  <c r="L100" i="21"/>
  <c r="F112" i="21"/>
  <c r="G94" i="21"/>
  <c r="G99" i="21"/>
  <c r="L98" i="21"/>
  <c r="F96" i="21"/>
  <c r="F114" i="21"/>
  <c r="H106" i="21"/>
  <c r="E102" i="21"/>
  <c r="E112" i="21"/>
  <c r="J95" i="21"/>
  <c r="E92" i="21"/>
  <c r="J92" i="21"/>
  <c r="G244" i="21"/>
  <c r="I93" i="20"/>
  <c r="K156" i="20"/>
  <c r="L166" i="20"/>
  <c r="E223" i="21"/>
  <c r="E384" i="20"/>
  <c r="J379" i="20"/>
  <c r="J382" i="20"/>
  <c r="J395" i="20"/>
  <c r="J376" i="20"/>
  <c r="E391" i="20"/>
  <c r="E378" i="20"/>
  <c r="H390" i="20"/>
  <c r="H374" i="20"/>
  <c r="I394" i="20"/>
  <c r="F370" i="20"/>
  <c r="K372" i="20"/>
  <c r="G392" i="20"/>
  <c r="G393" i="20"/>
  <c r="K129" i="20"/>
  <c r="E155" i="21"/>
  <c r="K167" i="21"/>
  <c r="E154" i="21"/>
  <c r="K166" i="21"/>
  <c r="K157" i="21"/>
  <c r="G172" i="21"/>
  <c r="L150" i="21"/>
  <c r="F163" i="21"/>
  <c r="L148" i="21"/>
  <c r="F154" i="21"/>
  <c r="G152" i="21"/>
  <c r="F150" i="21"/>
  <c r="H171" i="21"/>
  <c r="H158" i="21"/>
  <c r="J179" i="21"/>
  <c r="I102" i="20"/>
  <c r="K159" i="20"/>
  <c r="L390" i="20"/>
  <c r="J102" i="20"/>
  <c r="K107" i="20"/>
  <c r="G96" i="20"/>
  <c r="H165" i="21"/>
  <c r="F277" i="20"/>
  <c r="E274" i="20"/>
  <c r="I60" i="21"/>
  <c r="L44" i="21"/>
  <c r="J38" i="21"/>
  <c r="J224" i="21"/>
  <c r="F320" i="20"/>
  <c r="J328" i="20"/>
  <c r="I338" i="20"/>
  <c r="H322" i="20"/>
  <c r="J319" i="20"/>
  <c r="F327" i="20"/>
  <c r="K338" i="20"/>
  <c r="L324" i="20"/>
  <c r="L340" i="20"/>
  <c r="L334" i="20"/>
  <c r="E317" i="20"/>
  <c r="L315" i="20"/>
  <c r="I248" i="20"/>
  <c r="K104" i="21"/>
  <c r="K99" i="21"/>
  <c r="F104" i="21"/>
  <c r="G95" i="21"/>
  <c r="L116" i="21"/>
  <c r="G111" i="21"/>
  <c r="G91" i="21"/>
  <c r="L99" i="21"/>
  <c r="F102" i="21"/>
  <c r="H102" i="21"/>
  <c r="H98" i="21"/>
  <c r="E96" i="21"/>
  <c r="H103" i="21"/>
  <c r="J106" i="21"/>
  <c r="J96" i="21"/>
  <c r="H112" i="21"/>
  <c r="J298" i="21"/>
  <c r="I107" i="20"/>
  <c r="I264" i="20"/>
  <c r="E162" i="20"/>
  <c r="E385" i="20"/>
  <c r="E379" i="20"/>
  <c r="E377" i="20"/>
  <c r="E371" i="20"/>
  <c r="E393" i="20"/>
  <c r="E381" i="20"/>
  <c r="H383" i="20"/>
  <c r="H395" i="20"/>
  <c r="H377" i="20"/>
  <c r="H384" i="20"/>
  <c r="I390" i="20"/>
  <c r="F388" i="20"/>
  <c r="H391" i="20"/>
  <c r="K368" i="20"/>
  <c r="G368" i="20"/>
  <c r="K141" i="20"/>
  <c r="E156" i="21"/>
  <c r="K148" i="21"/>
  <c r="E161" i="21"/>
  <c r="K150" i="21"/>
  <c r="F170" i="21"/>
  <c r="F172" i="21"/>
  <c r="G155" i="21"/>
  <c r="F155" i="21"/>
  <c r="G149" i="21"/>
  <c r="F146" i="21"/>
  <c r="F148" i="21"/>
  <c r="G160" i="21"/>
  <c r="H148" i="21"/>
  <c r="H162" i="21"/>
  <c r="G245" i="21"/>
  <c r="I113" i="20"/>
  <c r="I278" i="20"/>
  <c r="G389" i="20"/>
  <c r="H212" i="21"/>
  <c r="L216" i="21"/>
  <c r="H215" i="21"/>
  <c r="I168" i="21"/>
  <c r="K196" i="20"/>
  <c r="L90" i="20"/>
  <c r="K105" i="20"/>
  <c r="J217" i="21"/>
  <c r="F270" i="20"/>
  <c r="J259" i="20"/>
  <c r="I51" i="21"/>
  <c r="L42" i="21"/>
  <c r="K48" i="21"/>
  <c r="J194" i="21"/>
  <c r="F332" i="20"/>
  <c r="I325" i="20"/>
  <c r="H330" i="20"/>
  <c r="H313" i="20"/>
  <c r="J323" i="20"/>
  <c r="K330" i="20"/>
  <c r="H315" i="20"/>
  <c r="L326" i="20"/>
  <c r="L335" i="20"/>
  <c r="L311" i="20"/>
  <c r="L339" i="20"/>
  <c r="E322" i="20"/>
  <c r="K356" i="20"/>
  <c r="K101" i="21"/>
  <c r="K97" i="21"/>
  <c r="F111" i="21"/>
  <c r="G116" i="21"/>
  <c r="L97" i="21"/>
  <c r="L110" i="21"/>
  <c r="F100" i="21"/>
  <c r="G105" i="21"/>
  <c r="H91" i="21"/>
  <c r="H99" i="21"/>
  <c r="H90" i="21"/>
  <c r="E94" i="21"/>
  <c r="H97" i="21"/>
  <c r="E105" i="21"/>
  <c r="J101" i="21"/>
  <c r="E103" i="21"/>
  <c r="J306" i="21"/>
  <c r="F209" i="20"/>
  <c r="I275" i="20"/>
  <c r="E202" i="20"/>
  <c r="E369" i="20"/>
  <c r="E368" i="20"/>
  <c r="H385" i="20"/>
  <c r="H393" i="20"/>
  <c r="H388" i="20"/>
  <c r="H396" i="20"/>
  <c r="H375" i="20"/>
  <c r="H380" i="20"/>
  <c r="H369" i="20"/>
  <c r="I368" i="20"/>
  <c r="F373" i="20"/>
  <c r="J371" i="20"/>
  <c r="G376" i="20"/>
  <c r="K390" i="20"/>
  <c r="G380" i="20"/>
  <c r="F183" i="20"/>
  <c r="K146" i="21"/>
  <c r="E160" i="21"/>
  <c r="E147" i="21"/>
  <c r="K169" i="21"/>
  <c r="F144" i="21"/>
  <c r="F164" i="21"/>
  <c r="G148" i="21"/>
  <c r="H93" i="20"/>
  <c r="H103" i="20"/>
  <c r="K95" i="20"/>
  <c r="E147" i="20"/>
  <c r="K270" i="20"/>
  <c r="H276" i="20"/>
  <c r="J273" i="20"/>
  <c r="K367" i="20"/>
  <c r="F32" i="21"/>
  <c r="F48" i="21"/>
  <c r="E34" i="21"/>
  <c r="J167" i="20"/>
  <c r="K318" i="20"/>
  <c r="H339" i="20"/>
  <c r="I333" i="20"/>
  <c r="J330" i="20"/>
  <c r="F329" i="20"/>
  <c r="G335" i="20"/>
  <c r="J336" i="20"/>
  <c r="L314" i="20"/>
  <c r="L303" i="20"/>
  <c r="E326" i="20"/>
  <c r="L323" i="20"/>
  <c r="E330" i="20"/>
  <c r="K116" i="21"/>
  <c r="K112" i="21"/>
  <c r="K90" i="21"/>
  <c r="F93" i="21"/>
  <c r="G109" i="21"/>
  <c r="L112" i="21"/>
  <c r="L111" i="21"/>
  <c r="F94" i="21"/>
  <c r="G98" i="21"/>
  <c r="H101" i="21"/>
  <c r="F103" i="21"/>
  <c r="G102" i="21"/>
  <c r="H113" i="21"/>
  <c r="E97" i="21"/>
  <c r="J102" i="21"/>
  <c r="E88" i="21"/>
  <c r="J109" i="21"/>
  <c r="J321" i="21"/>
  <c r="F214" i="20"/>
  <c r="I259" i="20"/>
  <c r="E218" i="20"/>
  <c r="E388" i="20"/>
  <c r="E380" i="20"/>
  <c r="H381" i="20"/>
  <c r="H392" i="20"/>
  <c r="H387" i="20"/>
  <c r="H372" i="20"/>
  <c r="I377" i="20"/>
  <c r="H378" i="20"/>
  <c r="I371" i="20"/>
  <c r="I386" i="20"/>
  <c r="F378" i="20"/>
  <c r="J394" i="20"/>
  <c r="G366" i="20"/>
  <c r="K355" i="20"/>
  <c r="K394" i="20"/>
  <c r="E195" i="20"/>
  <c r="K159" i="21"/>
  <c r="E145" i="21"/>
  <c r="K144" i="21"/>
  <c r="E164" i="21"/>
  <c r="L164" i="21"/>
  <c r="F159" i="21"/>
  <c r="K170" i="21"/>
  <c r="L172" i="21"/>
  <c r="F157" i="21"/>
  <c r="L162" i="21"/>
  <c r="L170" i="21"/>
  <c r="H150" i="21"/>
  <c r="L167" i="21"/>
  <c r="H157" i="21"/>
  <c r="J318" i="21"/>
  <c r="F218" i="20"/>
  <c r="I262" i="20"/>
  <c r="E133" i="20"/>
  <c r="L210" i="21"/>
  <c r="K201" i="21"/>
  <c r="L215" i="21"/>
  <c r="E168" i="20"/>
  <c r="J126" i="21"/>
  <c r="E110" i="20"/>
  <c r="J100" i="20"/>
  <c r="F107" i="20"/>
  <c r="E222" i="20"/>
  <c r="K265" i="20"/>
  <c r="H257" i="20"/>
  <c r="G274" i="20"/>
  <c r="H51" i="21"/>
  <c r="E53" i="21"/>
  <c r="E60" i="21"/>
  <c r="K32" i="21"/>
  <c r="J225" i="20"/>
  <c r="K314" i="20"/>
  <c r="J331" i="20"/>
  <c r="I335" i="20"/>
  <c r="J329" i="20"/>
  <c r="K315" i="20"/>
  <c r="I340" i="20"/>
  <c r="H319" i="20"/>
  <c r="E338" i="20"/>
  <c r="E332" i="20"/>
  <c r="E337" i="20"/>
  <c r="L320" i="20"/>
  <c r="L330" i="20"/>
  <c r="K109" i="21"/>
  <c r="K100" i="21"/>
  <c r="K113" i="21"/>
  <c r="L89" i="21"/>
  <c r="F98" i="21"/>
  <c r="G103" i="21"/>
  <c r="L103" i="21"/>
  <c r="L104" i="21"/>
  <c r="F110" i="21"/>
  <c r="F113" i="21"/>
  <c r="H115" i="21"/>
  <c r="H100" i="21"/>
  <c r="E93" i="21"/>
  <c r="E99" i="21"/>
  <c r="J97" i="21"/>
  <c r="E98" i="21"/>
  <c r="J116" i="21"/>
  <c r="J328" i="21"/>
  <c r="F225" i="20"/>
  <c r="G100" i="20"/>
  <c r="F201" i="21"/>
  <c r="E386" i="20"/>
  <c r="H370" i="20"/>
  <c r="I388" i="20"/>
  <c r="I396" i="20"/>
  <c r="I383" i="20"/>
  <c r="I380" i="20"/>
  <c r="I369" i="20"/>
  <c r="I374" i="20"/>
  <c r="I376" i="20"/>
  <c r="F379" i="20"/>
  <c r="J374" i="20"/>
  <c r="H379" i="20"/>
  <c r="G369" i="20"/>
  <c r="E376" i="20"/>
  <c r="K395" i="20"/>
  <c r="I249" i="20"/>
  <c r="E167" i="21"/>
  <c r="E166" i="21"/>
  <c r="K156" i="21"/>
  <c r="E172" i="21"/>
  <c r="L144" i="21"/>
  <c r="L158" i="21"/>
  <c r="F166" i="21"/>
  <c r="L358" i="20"/>
  <c r="H89" i="20"/>
  <c r="L93" i="20"/>
  <c r="K73" i="20"/>
  <c r="K284" i="20"/>
  <c r="E269" i="20"/>
  <c r="G263" i="20"/>
  <c r="K39" i="21"/>
  <c r="I52" i="21"/>
  <c r="I58" i="21"/>
  <c r="L51" i="21"/>
  <c r="K324" i="20"/>
  <c r="K312" i="20"/>
  <c r="H340" i="20"/>
  <c r="I315" i="20"/>
  <c r="J312" i="20"/>
  <c r="G330" i="20"/>
  <c r="I316" i="20"/>
  <c r="J340" i="20"/>
  <c r="E321" i="20"/>
  <c r="E315" i="20"/>
  <c r="E320" i="20"/>
  <c r="E336" i="20"/>
  <c r="L313" i="20"/>
  <c r="K93" i="21"/>
  <c r="K91" i="21"/>
  <c r="K114" i="21"/>
  <c r="L90" i="21"/>
  <c r="F115" i="21"/>
  <c r="G115" i="21"/>
  <c r="G108" i="21"/>
  <c r="L93" i="21"/>
  <c r="F105" i="21"/>
  <c r="H88" i="21"/>
  <c r="H93" i="21"/>
  <c r="H108" i="21"/>
  <c r="E68" i="21"/>
  <c r="E95" i="21"/>
  <c r="J94" i="21"/>
  <c r="J93" i="21"/>
  <c r="E108" i="21"/>
  <c r="L385" i="20"/>
  <c r="G265" i="21"/>
  <c r="G105" i="20"/>
  <c r="J171" i="20"/>
  <c r="E396" i="20"/>
  <c r="H394" i="20"/>
  <c r="I381" i="20"/>
  <c r="I378" i="20"/>
  <c r="I375" i="20"/>
  <c r="I372" i="20"/>
  <c r="F387" i="20"/>
  <c r="I395" i="20"/>
  <c r="F382" i="20"/>
  <c r="F368" i="20"/>
  <c r="J373" i="20"/>
  <c r="F391" i="20"/>
  <c r="K371" i="20"/>
  <c r="I379" i="20"/>
  <c r="G391" i="20"/>
  <c r="L291" i="20"/>
  <c r="E151" i="21"/>
  <c r="K158" i="21"/>
  <c r="E152" i="21"/>
  <c r="K161" i="21"/>
  <c r="G166" i="21"/>
  <c r="L168" i="21"/>
  <c r="F158" i="21"/>
  <c r="L159" i="21"/>
  <c r="L166" i="21"/>
  <c r="F151" i="21"/>
  <c r="G165" i="21"/>
  <c r="G394" i="20"/>
  <c r="E95" i="20"/>
  <c r="J104" i="20"/>
  <c r="K94" i="20"/>
  <c r="K278" i="20"/>
  <c r="L280" i="20"/>
  <c r="H284" i="20"/>
  <c r="K36" i="21"/>
  <c r="I32" i="21"/>
  <c r="I37" i="21"/>
  <c r="F49" i="21"/>
  <c r="G322" i="20"/>
  <c r="G320" i="20"/>
  <c r="J315" i="20"/>
  <c r="H327" i="20"/>
  <c r="I327" i="20"/>
  <c r="I324" i="20"/>
  <c r="H332" i="20"/>
  <c r="J335" i="20"/>
  <c r="E340" i="20"/>
  <c r="E324" i="20"/>
  <c r="E323" i="20"/>
  <c r="E299" i="20"/>
  <c r="G74" i="20"/>
  <c r="K107" i="21"/>
  <c r="K103" i="21"/>
  <c r="K105" i="21"/>
  <c r="G104" i="21"/>
  <c r="L106" i="21"/>
  <c r="G114" i="21"/>
  <c r="G107" i="21"/>
  <c r="L105" i="21"/>
  <c r="F106" i="21"/>
  <c r="H96" i="21"/>
  <c r="H95" i="21"/>
  <c r="H94" i="21"/>
  <c r="H104" i="21"/>
  <c r="E113" i="21"/>
  <c r="E115" i="21"/>
  <c r="J88" i="21"/>
  <c r="J100" i="21"/>
  <c r="L389" i="20"/>
  <c r="G268" i="21"/>
  <c r="G115" i="20"/>
  <c r="K112" i="20"/>
  <c r="E372" i="20"/>
  <c r="I393" i="20"/>
  <c r="I392" i="20"/>
  <c r="I373" i="20"/>
  <c r="I370" i="20"/>
  <c r="F386" i="20"/>
  <c r="F377" i="20"/>
  <c r="F390" i="20"/>
  <c r="F371" i="20"/>
  <c r="J380" i="20"/>
  <c r="E370" i="20"/>
  <c r="H371" i="20"/>
  <c r="K375" i="20"/>
  <c r="J385" i="20"/>
  <c r="G352" i="20"/>
  <c r="E303" i="20"/>
  <c r="E150" i="21"/>
  <c r="K152" i="21"/>
  <c r="E165" i="21"/>
  <c r="K155" i="21"/>
  <c r="G146" i="21"/>
  <c r="G157" i="21"/>
  <c r="F147" i="21"/>
  <c r="K163" i="21"/>
  <c r="L171" i="21"/>
  <c r="F165" i="21"/>
  <c r="H169" i="21"/>
  <c r="H144" i="21"/>
  <c r="H145" i="21"/>
  <c r="H170" i="21"/>
  <c r="L382" i="20"/>
  <c r="G249" i="21"/>
  <c r="G104" i="20"/>
  <c r="J172" i="20"/>
  <c r="K210" i="21"/>
  <c r="H202" i="21"/>
  <c r="K217" i="21"/>
  <c r="J223" i="21"/>
  <c r="E91" i="20"/>
  <c r="J92" i="20"/>
  <c r="I112" i="21"/>
  <c r="K259" i="20"/>
  <c r="E260" i="20"/>
  <c r="E271" i="20"/>
  <c r="G32" i="21"/>
  <c r="L54" i="21"/>
  <c r="E41" i="21"/>
  <c r="K339" i="20"/>
  <c r="F323" i="20"/>
  <c r="I323" i="20"/>
  <c r="J333" i="20"/>
  <c r="I329" i="20"/>
  <c r="I319" i="20"/>
  <c r="H318" i="20"/>
  <c r="G319" i="20"/>
  <c r="L321" i="20"/>
  <c r="L337" i="20"/>
  <c r="E331" i="20"/>
  <c r="L336" i="20"/>
  <c r="K86" i="20"/>
  <c r="K106" i="21"/>
  <c r="K96" i="21"/>
  <c r="K102" i="21"/>
  <c r="G89" i="21"/>
  <c r="L96" i="21"/>
  <c r="F92" i="21"/>
  <c r="F109" i="21"/>
  <c r="G100" i="21"/>
  <c r="L95" i="21"/>
  <c r="L101" i="21"/>
  <c r="F88" i="21"/>
  <c r="H116" i="21"/>
  <c r="H114" i="21"/>
  <c r="J108" i="21"/>
  <c r="E100" i="21"/>
  <c r="E110" i="21"/>
  <c r="J112" i="21"/>
  <c r="L383" i="20"/>
  <c r="J163" i="21"/>
  <c r="J215" i="21"/>
  <c r="K128" i="20"/>
  <c r="E392" i="20"/>
  <c r="I384" i="20"/>
  <c r="F395" i="20"/>
  <c r="F392" i="20"/>
  <c r="F389" i="20"/>
  <c r="F380" i="20"/>
  <c r="F381" i="20"/>
  <c r="F374" i="20"/>
  <c r="J383" i="20"/>
  <c r="J369" i="20"/>
  <c r="H373" i="20"/>
  <c r="G379" i="20"/>
  <c r="K387" i="20"/>
  <c r="G370" i="20"/>
  <c r="K388" i="20"/>
  <c r="L357" i="20"/>
  <c r="I72" i="20"/>
  <c r="H96" i="20"/>
  <c r="L115" i="20"/>
  <c r="I281" i="21"/>
  <c r="F278" i="20"/>
  <c r="L277" i="20"/>
  <c r="L259" i="20"/>
  <c r="F38" i="21"/>
  <c r="K56" i="21"/>
  <c r="L38" i="21"/>
  <c r="I135" i="21"/>
  <c r="G340" i="20"/>
  <c r="I334" i="20"/>
  <c r="I318" i="20"/>
  <c r="J332" i="20"/>
  <c r="I317" i="20"/>
  <c r="H335" i="20"/>
  <c r="H331" i="20"/>
  <c r="J325" i="20"/>
  <c r="L325" i="20"/>
  <c r="L318" i="20"/>
  <c r="E313" i="20"/>
  <c r="L319" i="20"/>
  <c r="E128" i="20"/>
  <c r="K111" i="21"/>
  <c r="K94" i="21"/>
  <c r="L92" i="21"/>
  <c r="G90" i="21"/>
  <c r="G112" i="21"/>
  <c r="F108" i="21"/>
  <c r="F99" i="21"/>
  <c r="G106" i="21"/>
  <c r="L91" i="21"/>
  <c r="F89" i="21"/>
  <c r="H109" i="21"/>
  <c r="E111" i="21"/>
  <c r="H105" i="21"/>
  <c r="J104" i="21"/>
  <c r="J99" i="21"/>
  <c r="J90" i="21"/>
  <c r="E107" i="21"/>
  <c r="I70" i="21"/>
  <c r="I107" i="21"/>
  <c r="J147" i="21"/>
  <c r="J226" i="21"/>
  <c r="K150" i="20"/>
  <c r="E383" i="20"/>
  <c r="I387" i="20"/>
  <c r="F393" i="20"/>
  <c r="F396" i="20"/>
  <c r="F383" i="20"/>
  <c r="F384" i="20"/>
  <c r="J384" i="20"/>
  <c r="J388" i="20"/>
  <c r="J372" i="20"/>
  <c r="E373" i="20"/>
  <c r="H386" i="20"/>
  <c r="G384" i="20"/>
  <c r="I391" i="20"/>
  <c r="G387" i="20"/>
  <c r="K392" i="20"/>
  <c r="E157" i="21"/>
  <c r="K172" i="21"/>
  <c r="E170" i="21"/>
  <c r="K168" i="21"/>
  <c r="E168" i="21"/>
  <c r="F168" i="21"/>
  <c r="F169" i="21"/>
  <c r="L145" i="21"/>
  <c r="F152" i="21"/>
  <c r="G169" i="21"/>
  <c r="L165" i="21"/>
  <c r="F145" i="21"/>
  <c r="G151" i="21"/>
  <c r="G167" i="21"/>
  <c r="H159" i="21"/>
  <c r="I71" i="21"/>
  <c r="I111" i="21"/>
  <c r="J150" i="21"/>
  <c r="J210" i="21"/>
  <c r="F376" i="20"/>
  <c r="H217" i="21"/>
  <c r="L223" i="21"/>
  <c r="I266" i="21"/>
  <c r="K317" i="20"/>
  <c r="K140" i="20"/>
  <c r="E104" i="21"/>
  <c r="F385" i="20"/>
  <c r="J375" i="20"/>
  <c r="G381" i="20"/>
  <c r="K164" i="21"/>
  <c r="L152" i="21"/>
  <c r="E159" i="21"/>
  <c r="G171" i="21"/>
  <c r="H154" i="21"/>
  <c r="J327" i="21"/>
  <c r="G101" i="20"/>
  <c r="H221" i="21"/>
  <c r="K221" i="21"/>
  <c r="K212" i="21"/>
  <c r="K206" i="21"/>
  <c r="K225" i="21"/>
  <c r="G200" i="21"/>
  <c r="L203" i="21"/>
  <c r="G206" i="21"/>
  <c r="G221" i="21"/>
  <c r="I224" i="21"/>
  <c r="I213" i="21"/>
  <c r="E227" i="21"/>
  <c r="E221" i="21"/>
  <c r="E214" i="21"/>
  <c r="E206" i="21"/>
  <c r="J161" i="21"/>
  <c r="J211" i="21"/>
  <c r="E185" i="20"/>
  <c r="J282" i="21"/>
  <c r="K266" i="21"/>
  <c r="K261" i="21"/>
  <c r="J264" i="21"/>
  <c r="L269" i="21"/>
  <c r="E268" i="21"/>
  <c r="K270" i="21"/>
  <c r="E269" i="21"/>
  <c r="H269" i="21"/>
  <c r="H277" i="21"/>
  <c r="L261" i="21"/>
  <c r="E257" i="21"/>
  <c r="H281" i="21"/>
  <c r="F272" i="21"/>
  <c r="I106" i="21"/>
  <c r="J164" i="21"/>
  <c r="J220" i="21"/>
  <c r="G148" i="20"/>
  <c r="G166" i="20"/>
  <c r="G151" i="20"/>
  <c r="H165" i="20"/>
  <c r="I169" i="20"/>
  <c r="F155" i="20"/>
  <c r="F167" i="20"/>
  <c r="H145" i="20"/>
  <c r="G162" i="20"/>
  <c r="H170" i="20"/>
  <c r="E163" i="20"/>
  <c r="L172" i="20"/>
  <c r="J156" i="20"/>
  <c r="J158" i="20"/>
  <c r="L153" i="20"/>
  <c r="L225" i="20"/>
  <c r="L217" i="20"/>
  <c r="L227" i="20"/>
  <c r="L215" i="20"/>
  <c r="J220" i="20"/>
  <c r="H207" i="20"/>
  <c r="G213" i="20"/>
  <c r="I202" i="20"/>
  <c r="H222" i="20"/>
  <c r="I213" i="20"/>
  <c r="G224" i="20"/>
  <c r="E227" i="20"/>
  <c r="K201" i="20"/>
  <c r="K209" i="20"/>
  <c r="I208" i="20"/>
  <c r="K211" i="20"/>
  <c r="K169" i="20"/>
  <c r="L321" i="21"/>
  <c r="H328" i="21"/>
  <c r="H91" i="20"/>
  <c r="H326" i="20"/>
  <c r="K98" i="21"/>
  <c r="E90" i="21"/>
  <c r="J368" i="20"/>
  <c r="E375" i="20"/>
  <c r="K382" i="20"/>
  <c r="K171" i="21"/>
  <c r="G153" i="21"/>
  <c r="L163" i="21"/>
  <c r="H160" i="21"/>
  <c r="H167" i="21"/>
  <c r="J331" i="21"/>
  <c r="G109" i="20"/>
  <c r="L220" i="21"/>
  <c r="K223" i="21"/>
  <c r="K216" i="21"/>
  <c r="K226" i="21"/>
  <c r="H205" i="21"/>
  <c r="G225" i="21"/>
  <c r="L224" i="21"/>
  <c r="I210" i="21"/>
  <c r="I221" i="21"/>
  <c r="I211" i="21"/>
  <c r="I200" i="21"/>
  <c r="E208" i="21"/>
  <c r="E211" i="21"/>
  <c r="E207" i="21"/>
  <c r="E205" i="21"/>
  <c r="K145" i="20"/>
  <c r="I160" i="21"/>
  <c r="I239" i="20"/>
  <c r="K267" i="21"/>
  <c r="J277" i="21"/>
  <c r="J271" i="21"/>
  <c r="J279" i="21"/>
  <c r="E281" i="21"/>
  <c r="J267" i="21"/>
  <c r="H265" i="21"/>
  <c r="E259" i="21"/>
  <c r="H264" i="21"/>
  <c r="H270" i="21"/>
  <c r="H279" i="21"/>
  <c r="E282" i="21"/>
  <c r="L268" i="21"/>
  <c r="F266" i="21"/>
  <c r="I274" i="21"/>
  <c r="K154" i="20"/>
  <c r="I169" i="21"/>
  <c r="G152" i="20"/>
  <c r="G159" i="20"/>
  <c r="G147" i="20"/>
  <c r="F156" i="20"/>
  <c r="H160" i="20"/>
  <c r="F160" i="20"/>
  <c r="F164" i="20"/>
  <c r="H162" i="20"/>
  <c r="H155" i="20"/>
  <c r="H161" i="20"/>
  <c r="E155" i="20"/>
  <c r="L152" i="20"/>
  <c r="J150" i="20"/>
  <c r="E164" i="20"/>
  <c r="L144" i="20"/>
  <c r="L207" i="20"/>
  <c r="L206" i="20"/>
  <c r="L226" i="20"/>
  <c r="J223" i="20"/>
  <c r="J210" i="20"/>
  <c r="H224" i="20"/>
  <c r="G205" i="20"/>
  <c r="J202" i="20"/>
  <c r="H200" i="20"/>
  <c r="I200" i="20"/>
  <c r="I204" i="20"/>
  <c r="E211" i="20"/>
  <c r="K215" i="20"/>
  <c r="E221" i="20"/>
  <c r="K227" i="20"/>
  <c r="K200" i="20"/>
  <c r="K142" i="20"/>
  <c r="J105" i="20"/>
  <c r="H333" i="20"/>
  <c r="K88" i="21"/>
  <c r="J89" i="21"/>
  <c r="F372" i="20"/>
  <c r="E382" i="20"/>
  <c r="K353" i="20"/>
  <c r="E153" i="21"/>
  <c r="K145" i="21"/>
  <c r="L157" i="21"/>
  <c r="G162" i="21"/>
  <c r="H149" i="21"/>
  <c r="L394" i="20"/>
  <c r="J228" i="21"/>
  <c r="L219" i="21"/>
  <c r="H222" i="21"/>
  <c r="H225" i="21"/>
  <c r="H207" i="21"/>
  <c r="H224" i="21"/>
  <c r="H223" i="21"/>
  <c r="K203" i="21"/>
  <c r="I205" i="21"/>
  <c r="I209" i="21"/>
  <c r="G223" i="21"/>
  <c r="G208" i="21"/>
  <c r="E225" i="21"/>
  <c r="E201" i="21"/>
  <c r="F190" i="21"/>
  <c r="F208" i="21"/>
  <c r="I263" i="21"/>
  <c r="K155" i="20"/>
  <c r="I162" i="21"/>
  <c r="L359" i="20"/>
  <c r="K284" i="21"/>
  <c r="J269" i="21"/>
  <c r="J278" i="21"/>
  <c r="K273" i="21"/>
  <c r="E279" i="21"/>
  <c r="K263" i="21"/>
  <c r="H261" i="21"/>
  <c r="H259" i="21"/>
  <c r="L279" i="21"/>
  <c r="L273" i="21"/>
  <c r="E284" i="21"/>
  <c r="E263" i="21"/>
  <c r="H276" i="21"/>
  <c r="F283" i="21"/>
  <c r="I262" i="21"/>
  <c r="K158" i="20"/>
  <c r="I171" i="21"/>
  <c r="G145" i="20"/>
  <c r="G170" i="20"/>
  <c r="H159" i="20"/>
  <c r="F149" i="20"/>
  <c r="H146" i="20"/>
  <c r="I168" i="20"/>
  <c r="I157" i="20"/>
  <c r="F153" i="20"/>
  <c r="H153" i="20"/>
  <c r="I158" i="20"/>
  <c r="E171" i="20"/>
  <c r="L169" i="20"/>
  <c r="J155" i="20"/>
  <c r="E158" i="20"/>
  <c r="J170" i="20"/>
  <c r="L201" i="20"/>
  <c r="L200" i="20"/>
  <c r="L219" i="20"/>
  <c r="J224" i="20"/>
  <c r="J204" i="20"/>
  <c r="J214" i="20"/>
  <c r="H226" i="20"/>
  <c r="J227" i="20"/>
  <c r="L372" i="20"/>
  <c r="J326" i="20"/>
  <c r="L114" i="21"/>
  <c r="J110" i="21"/>
  <c r="J391" i="20"/>
  <c r="H382" i="20"/>
  <c r="G87" i="20"/>
  <c r="K162" i="21"/>
  <c r="F162" i="21"/>
  <c r="L160" i="21"/>
  <c r="G145" i="21"/>
  <c r="H164" i="21"/>
  <c r="I116" i="21"/>
  <c r="J202" i="21"/>
  <c r="K227" i="21"/>
  <c r="L227" i="21"/>
  <c r="H201" i="21"/>
  <c r="H206" i="21"/>
  <c r="H203" i="21"/>
  <c r="L218" i="21"/>
  <c r="L228" i="21"/>
  <c r="G227" i="21"/>
  <c r="L213" i="21"/>
  <c r="G204" i="21"/>
  <c r="E226" i="21"/>
  <c r="F228" i="21"/>
  <c r="F210" i="21"/>
  <c r="I206" i="21"/>
  <c r="F203" i="21"/>
  <c r="I244" i="21"/>
  <c r="K162" i="20"/>
  <c r="K384" i="20"/>
  <c r="J258" i="21"/>
  <c r="J283" i="21"/>
  <c r="J262" i="21"/>
  <c r="J257" i="21"/>
  <c r="K265" i="21"/>
  <c r="E271" i="21"/>
  <c r="H268" i="21"/>
  <c r="L263" i="21"/>
  <c r="H273" i="21"/>
  <c r="L284" i="21"/>
  <c r="L278" i="21"/>
  <c r="E280" i="21"/>
  <c r="E276" i="21"/>
  <c r="F271" i="21"/>
  <c r="F275" i="21"/>
  <c r="I106" i="20"/>
  <c r="K165" i="20"/>
  <c r="K386" i="20"/>
  <c r="G149" i="20"/>
  <c r="G163" i="20"/>
  <c r="H157" i="20"/>
  <c r="I145" i="20"/>
  <c r="H164" i="20"/>
  <c r="I150" i="20"/>
  <c r="I153" i="20"/>
  <c r="F159" i="20"/>
  <c r="F169" i="20"/>
  <c r="I149" i="20"/>
  <c r="L146" i="20"/>
  <c r="J165" i="20"/>
  <c r="E167" i="20"/>
  <c r="L149" i="20"/>
  <c r="J154" i="20"/>
  <c r="L228" i="20"/>
  <c r="L214" i="20"/>
  <c r="L221" i="20"/>
  <c r="J218" i="20"/>
  <c r="G225" i="20"/>
  <c r="J213" i="20"/>
  <c r="H202" i="20"/>
  <c r="G215" i="20"/>
  <c r="J207" i="20"/>
  <c r="K205" i="20"/>
  <c r="K210" i="20"/>
  <c r="I228" i="20"/>
  <c r="I217" i="20"/>
  <c r="E220" i="20"/>
  <c r="K203" i="20"/>
  <c r="I78" i="20"/>
  <c r="G264" i="21"/>
  <c r="H338" i="20"/>
  <c r="F101" i="21"/>
  <c r="J98" i="21"/>
  <c r="F394" i="20"/>
  <c r="H376" i="20"/>
  <c r="E162" i="21"/>
  <c r="E163" i="21"/>
  <c r="L149" i="21"/>
  <c r="L147" i="21"/>
  <c r="G161" i="21"/>
  <c r="H146" i="21"/>
  <c r="I260" i="21"/>
  <c r="I164" i="21"/>
  <c r="K211" i="21"/>
  <c r="K218" i="21"/>
  <c r="L200" i="21"/>
  <c r="L212" i="21"/>
  <c r="L208" i="21"/>
  <c r="G214" i="21"/>
  <c r="G202" i="21"/>
  <c r="I207" i="21"/>
  <c r="G212" i="21"/>
  <c r="I222" i="21"/>
  <c r="E204" i="21"/>
  <c r="F195" i="21"/>
  <c r="F218" i="21"/>
  <c r="E212" i="21"/>
  <c r="E203" i="21"/>
  <c r="I104" i="20"/>
  <c r="I279" i="20"/>
  <c r="G386" i="20"/>
  <c r="J272" i="21"/>
  <c r="J273" i="21"/>
  <c r="K283" i="21"/>
  <c r="K279" i="21"/>
  <c r="J261" i="21"/>
  <c r="K275" i="21"/>
  <c r="H266" i="21"/>
  <c r="L265" i="21"/>
  <c r="L257" i="21"/>
  <c r="L262" i="21"/>
  <c r="L264" i="21"/>
  <c r="F263" i="21"/>
  <c r="F276" i="21"/>
  <c r="F262" i="21"/>
  <c r="F264" i="21"/>
  <c r="I92" i="20"/>
  <c r="I273" i="20"/>
  <c r="G388" i="20"/>
  <c r="G156" i="20"/>
  <c r="G144" i="20"/>
  <c r="H148" i="20"/>
  <c r="I171" i="20"/>
  <c r="F170" i="20"/>
  <c r="H171" i="20"/>
  <c r="H147" i="20"/>
  <c r="G157" i="20"/>
  <c r="F163" i="20"/>
  <c r="I172" i="20"/>
  <c r="L165" i="20"/>
  <c r="J163" i="20"/>
  <c r="E159" i="20"/>
  <c r="L158" i="20"/>
  <c r="L203" i="20"/>
  <c r="L213" i="20"/>
  <c r="J226" i="20"/>
  <c r="G200" i="20"/>
  <c r="G217" i="20"/>
  <c r="G227" i="20"/>
  <c r="F258" i="20"/>
  <c r="H321" i="20"/>
  <c r="G88" i="21"/>
  <c r="J114" i="21"/>
  <c r="J386" i="20"/>
  <c r="H389" i="20"/>
  <c r="K154" i="21"/>
  <c r="K160" i="21"/>
  <c r="F160" i="21"/>
  <c r="G170" i="21"/>
  <c r="H153" i="21"/>
  <c r="F223" i="20"/>
  <c r="K370" i="20"/>
  <c r="H210" i="21"/>
  <c r="K213" i="21"/>
  <c r="L214" i="21"/>
  <c r="L222" i="21"/>
  <c r="L205" i="21"/>
  <c r="G203" i="21"/>
  <c r="G207" i="21"/>
  <c r="I202" i="21"/>
  <c r="G201" i="21"/>
  <c r="I215" i="21"/>
  <c r="F216" i="21"/>
  <c r="F211" i="21"/>
  <c r="F217" i="21"/>
  <c r="E219" i="21"/>
  <c r="E210" i="21"/>
  <c r="I89" i="20"/>
  <c r="I270" i="20"/>
  <c r="L145" i="20"/>
  <c r="K274" i="21"/>
  <c r="J266" i="21"/>
  <c r="K264" i="21"/>
  <c r="K271" i="21"/>
  <c r="J284" i="21"/>
  <c r="H275" i="21"/>
  <c r="H283" i="21"/>
  <c r="E272" i="21"/>
  <c r="H256" i="21"/>
  <c r="E270" i="21"/>
  <c r="E277" i="21"/>
  <c r="F261" i="21"/>
  <c r="F265" i="21"/>
  <c r="F282" i="21"/>
  <c r="F280" i="21"/>
  <c r="J320" i="21"/>
  <c r="F206" i="20"/>
  <c r="I236" i="20"/>
  <c r="L160" i="20"/>
  <c r="H168" i="20"/>
  <c r="G167" i="20"/>
  <c r="F158" i="20"/>
  <c r="I155" i="20"/>
  <c r="F168" i="20"/>
  <c r="H156" i="20"/>
  <c r="H163" i="20"/>
  <c r="H166" i="20"/>
  <c r="I161" i="20"/>
  <c r="I146" i="20"/>
  <c r="L170" i="20"/>
  <c r="J151" i="20"/>
  <c r="E160" i="20"/>
  <c r="J164" i="20"/>
  <c r="L222" i="20"/>
  <c r="L211" i="20"/>
  <c r="J203" i="20"/>
  <c r="G220" i="20"/>
  <c r="H210" i="20"/>
  <c r="G219" i="20"/>
  <c r="J212" i="20"/>
  <c r="G226" i="20"/>
  <c r="G206" i="20"/>
  <c r="J219" i="20"/>
  <c r="E200" i="20"/>
  <c r="K204" i="20"/>
  <c r="K223" i="20"/>
  <c r="I225" i="20"/>
  <c r="E210" i="20"/>
  <c r="L324" i="21"/>
  <c r="H318" i="21"/>
  <c r="H338" i="21"/>
  <c r="E284" i="20"/>
  <c r="J321" i="20"/>
  <c r="L113" i="21"/>
  <c r="I124" i="21"/>
  <c r="F375" i="20"/>
  <c r="I385" i="20"/>
  <c r="K149" i="21"/>
  <c r="F167" i="21"/>
  <c r="F171" i="21"/>
  <c r="F156" i="21"/>
  <c r="G150" i="21"/>
  <c r="F227" i="20"/>
  <c r="L151" i="20"/>
  <c r="L211" i="21"/>
  <c r="H213" i="21"/>
  <c r="K209" i="21"/>
  <c r="K200" i="21"/>
  <c r="L226" i="21"/>
  <c r="G219" i="21"/>
  <c r="K207" i="21"/>
  <c r="G218" i="21"/>
  <c r="I228" i="21"/>
  <c r="I220" i="21"/>
  <c r="F205" i="21"/>
  <c r="E224" i="21"/>
  <c r="I219" i="21"/>
  <c r="F222" i="21"/>
  <c r="F202" i="20"/>
  <c r="I265" i="20"/>
  <c r="E146" i="20"/>
  <c r="K262" i="21"/>
  <c r="K258" i="21"/>
  <c r="K276" i="21"/>
  <c r="K260" i="21"/>
  <c r="K282" i="21"/>
  <c r="H282" i="21"/>
  <c r="L266" i="21"/>
  <c r="E273" i="21"/>
  <c r="H267" i="21"/>
  <c r="E260" i="21"/>
  <c r="E262" i="21"/>
  <c r="E283" i="21"/>
  <c r="F258" i="21"/>
  <c r="F284" i="21"/>
  <c r="F267" i="21"/>
  <c r="J299" i="21"/>
  <c r="F215" i="20"/>
  <c r="I268" i="20"/>
  <c r="L155" i="20"/>
  <c r="G146" i="20"/>
  <c r="G160" i="20"/>
  <c r="F145" i="20"/>
  <c r="H169" i="20"/>
  <c r="F148" i="20"/>
  <c r="F152" i="20"/>
  <c r="F162" i="20"/>
  <c r="H149" i="20"/>
  <c r="F154" i="20"/>
  <c r="J166" i="20"/>
  <c r="J148" i="20"/>
  <c r="E145" i="20"/>
  <c r="L154" i="20"/>
  <c r="J145" i="20"/>
  <c r="L223" i="20"/>
  <c r="L209" i="20"/>
  <c r="J222" i="20"/>
  <c r="H213" i="20"/>
  <c r="H228" i="20"/>
  <c r="G211" i="20"/>
  <c r="G218" i="20"/>
  <c r="H218" i="20"/>
  <c r="G228" i="20"/>
  <c r="I207" i="20"/>
  <c r="E273" i="20"/>
  <c r="I337" i="20"/>
  <c r="L107" i="21"/>
  <c r="I102" i="21"/>
  <c r="J389" i="20"/>
  <c r="I382" i="20"/>
  <c r="E169" i="21"/>
  <c r="L161" i="21"/>
  <c r="L146" i="21"/>
  <c r="L156" i="21"/>
  <c r="H168" i="21"/>
  <c r="G281" i="21"/>
  <c r="E217" i="20"/>
  <c r="L207" i="21"/>
  <c r="H228" i="21"/>
  <c r="K202" i="21"/>
  <c r="K220" i="21"/>
  <c r="G220" i="21"/>
  <c r="H219" i="21"/>
  <c r="L201" i="21"/>
  <c r="I204" i="21"/>
  <c r="I203" i="21"/>
  <c r="G205" i="21"/>
  <c r="E217" i="21"/>
  <c r="E220" i="21"/>
  <c r="E218" i="21"/>
  <c r="F212" i="21"/>
  <c r="F211" i="20"/>
  <c r="G94" i="20"/>
  <c r="E196" i="20"/>
  <c r="J260" i="21"/>
  <c r="K272" i="21"/>
  <c r="J274" i="21"/>
  <c r="J268" i="21"/>
  <c r="K280" i="21"/>
  <c r="H260" i="21"/>
  <c r="L258" i="21"/>
  <c r="E264" i="21"/>
  <c r="L282" i="21"/>
  <c r="H280" i="21"/>
  <c r="H284" i="21"/>
  <c r="F260" i="21"/>
  <c r="L281" i="21"/>
  <c r="F279" i="21"/>
  <c r="F259" i="21"/>
  <c r="J337" i="21"/>
  <c r="G269" i="21"/>
  <c r="G91" i="20"/>
  <c r="F202" i="21"/>
  <c r="G171" i="20"/>
  <c r="G150" i="20"/>
  <c r="I147" i="20"/>
  <c r="H172" i="20"/>
  <c r="I160" i="20"/>
  <c r="F157" i="20"/>
  <c r="F165" i="20"/>
  <c r="F144" i="20"/>
  <c r="I154" i="20"/>
  <c r="J159" i="20"/>
  <c r="J161" i="20"/>
  <c r="E150" i="20"/>
  <c r="L147" i="20"/>
  <c r="I170" i="20"/>
  <c r="L224" i="20"/>
  <c r="L208" i="20"/>
  <c r="G203" i="20"/>
  <c r="H203" i="20"/>
  <c r="J217" i="20"/>
  <c r="H204" i="20"/>
  <c r="G210" i="20"/>
  <c r="H209" i="20"/>
  <c r="H219" i="20"/>
  <c r="I221" i="20"/>
  <c r="G212" i="20"/>
  <c r="E225" i="20"/>
  <c r="H225" i="20"/>
  <c r="K225" i="20"/>
  <c r="J211" i="20"/>
  <c r="J50" i="21"/>
  <c r="L312" i="20"/>
  <c r="F116" i="21"/>
  <c r="J155" i="21"/>
  <c r="J387" i="20"/>
  <c r="G377" i="20"/>
  <c r="E144" i="21"/>
  <c r="G159" i="21"/>
  <c r="E146" i="21"/>
  <c r="H156" i="21"/>
  <c r="H152" i="21"/>
  <c r="J172" i="21"/>
  <c r="E224" i="20"/>
  <c r="K224" i="21"/>
  <c r="K215" i="21"/>
  <c r="H216" i="21"/>
  <c r="H214" i="21"/>
  <c r="G209" i="21"/>
  <c r="L209" i="21"/>
  <c r="L225" i="21"/>
  <c r="I218" i="21"/>
  <c r="I214" i="21"/>
  <c r="I216" i="21"/>
  <c r="E213" i="21"/>
  <c r="E222" i="21"/>
  <c r="E202" i="21"/>
  <c r="I217" i="21"/>
  <c r="F226" i="20"/>
  <c r="G111" i="20"/>
  <c r="F215" i="21"/>
  <c r="J275" i="21"/>
  <c r="J280" i="21"/>
  <c r="J256" i="21"/>
  <c r="J263" i="21"/>
  <c r="H278" i="21"/>
  <c r="L275" i="21"/>
  <c r="E275" i="21"/>
  <c r="H262" i="21"/>
  <c r="L271" i="21"/>
  <c r="H258" i="21"/>
  <c r="H272" i="21"/>
  <c r="F277" i="21"/>
  <c r="E261" i="21"/>
  <c r="F278" i="21"/>
  <c r="L376" i="20"/>
  <c r="G272" i="21"/>
  <c r="G106" i="20"/>
  <c r="L338" i="20"/>
  <c r="G172" i="20"/>
  <c r="G161" i="20"/>
  <c r="I148" i="20"/>
  <c r="H152" i="20"/>
  <c r="I163" i="20"/>
  <c r="F147" i="20"/>
  <c r="F151" i="20"/>
  <c r="F146" i="20"/>
  <c r="F150" i="20"/>
  <c r="J153" i="20"/>
  <c r="J152" i="20"/>
  <c r="E156" i="20"/>
  <c r="J147" i="20"/>
  <c r="J149" i="20"/>
  <c r="L218" i="20"/>
  <c r="L216" i="20"/>
  <c r="G223" i="20"/>
  <c r="H211" i="20"/>
  <c r="J206" i="20"/>
  <c r="H220" i="20"/>
  <c r="G202" i="20"/>
  <c r="J221" i="20"/>
  <c r="F39" i="21"/>
  <c r="L328" i="20"/>
  <c r="H111" i="21"/>
  <c r="L148" i="20"/>
  <c r="J378" i="20"/>
  <c r="J377" i="20"/>
  <c r="E171" i="21"/>
  <c r="F161" i="21"/>
  <c r="L153" i="21"/>
  <c r="H155" i="21"/>
  <c r="H161" i="21"/>
  <c r="J137" i="21"/>
  <c r="K152" i="20"/>
  <c r="K219" i="21"/>
  <c r="H208" i="21"/>
  <c r="H204" i="21"/>
  <c r="L221" i="21"/>
  <c r="H218" i="21"/>
  <c r="L217" i="21"/>
  <c r="G216" i="21"/>
  <c r="G228" i="21"/>
  <c r="I201" i="21"/>
  <c r="G222" i="21"/>
  <c r="I226" i="21"/>
  <c r="F213" i="21"/>
  <c r="F226" i="21"/>
  <c r="I212" i="21"/>
  <c r="E216" i="21"/>
  <c r="J145" i="21"/>
  <c r="J209" i="21"/>
  <c r="E312" i="21"/>
  <c r="K257" i="21"/>
  <c r="J265" i="21"/>
  <c r="K281" i="21"/>
  <c r="K268" i="21"/>
  <c r="H274" i="21"/>
  <c r="E278" i="21"/>
  <c r="E256" i="21"/>
  <c r="L260" i="21"/>
  <c r="E274" i="21"/>
  <c r="L280" i="21"/>
  <c r="L283" i="21"/>
  <c r="F257" i="21"/>
  <c r="F256" i="21"/>
  <c r="F270" i="21"/>
  <c r="I76" i="21"/>
  <c r="J151" i="21"/>
  <c r="J216" i="21"/>
  <c r="G265" i="20"/>
  <c r="G169" i="20"/>
  <c r="G165" i="20"/>
  <c r="H150" i="20"/>
  <c r="F172" i="20"/>
  <c r="H167" i="20"/>
  <c r="H154" i="20"/>
  <c r="I166" i="20"/>
  <c r="I159" i="20"/>
  <c r="I156" i="20"/>
  <c r="J146" i="20"/>
  <c r="E152" i="20"/>
  <c r="L162" i="20"/>
  <c r="J169" i="20"/>
  <c r="E166" i="20"/>
  <c r="L210" i="20"/>
  <c r="L212" i="20"/>
  <c r="H217" i="20"/>
  <c r="I220" i="20"/>
  <c r="G222" i="20"/>
  <c r="J216" i="20"/>
  <c r="H223" i="20"/>
  <c r="G209" i="20"/>
  <c r="J209" i="20"/>
  <c r="E203" i="20"/>
  <c r="K207" i="20"/>
  <c r="I223" i="20"/>
  <c r="K228" i="20"/>
  <c r="H214" i="20"/>
  <c r="I205" i="20"/>
  <c r="K126" i="20"/>
  <c r="H334" i="21"/>
  <c r="L381" i="20"/>
  <c r="E333" i="20"/>
  <c r="H107" i="21"/>
  <c r="E394" i="20"/>
  <c r="E387" i="20"/>
  <c r="G383" i="20"/>
  <c r="K147" i="21"/>
  <c r="L155" i="21"/>
  <c r="G147" i="21"/>
  <c r="H163" i="21"/>
  <c r="L151" i="21"/>
  <c r="J311" i="21"/>
  <c r="I261" i="20"/>
  <c r="H226" i="21"/>
  <c r="L202" i="21"/>
  <c r="H220" i="21"/>
  <c r="L206" i="21"/>
  <c r="K228" i="21"/>
  <c r="G217" i="21"/>
  <c r="H200" i="21"/>
  <c r="L204" i="21"/>
  <c r="I223" i="21"/>
  <c r="I225" i="21"/>
  <c r="G224" i="21"/>
  <c r="F221" i="21"/>
  <c r="F206" i="21"/>
  <c r="E215" i="21"/>
  <c r="I208" i="21"/>
  <c r="J153" i="21"/>
  <c r="J218" i="21"/>
  <c r="K131" i="20"/>
  <c r="J281" i="21"/>
  <c r="K259" i="21"/>
  <c r="K278" i="21"/>
  <c r="K256" i="21"/>
  <c r="L277" i="21"/>
  <c r="E267" i="21"/>
  <c r="J270" i="21"/>
  <c r="L256" i="21"/>
  <c r="E265" i="21"/>
  <c r="L270" i="21"/>
  <c r="L274" i="21"/>
  <c r="F274" i="21"/>
  <c r="F269" i="21"/>
  <c r="F281" i="21"/>
  <c r="I100" i="21"/>
  <c r="J156" i="21"/>
  <c r="J213" i="21"/>
  <c r="G155" i="20"/>
  <c r="G153" i="20"/>
  <c r="G158" i="20"/>
  <c r="H144" i="20"/>
  <c r="I162" i="20"/>
  <c r="F161" i="20"/>
  <c r="F171" i="20"/>
  <c r="G164" i="20"/>
  <c r="I152" i="20"/>
  <c r="I164" i="20"/>
  <c r="J144" i="20"/>
  <c r="E148" i="20"/>
  <c r="L159" i="20"/>
  <c r="J160" i="20"/>
  <c r="E149" i="20"/>
  <c r="L204" i="20"/>
  <c r="L202" i="20"/>
  <c r="H215" i="20"/>
  <c r="G60" i="21"/>
  <c r="J158" i="21"/>
  <c r="F207" i="21"/>
  <c r="H263" i="21"/>
  <c r="G266" i="21"/>
  <c r="J157" i="20"/>
  <c r="G214" i="20"/>
  <c r="H208" i="20"/>
  <c r="K221" i="20"/>
  <c r="K220" i="20"/>
  <c r="K222" i="20"/>
  <c r="F326" i="21"/>
  <c r="L315" i="21"/>
  <c r="H325" i="21"/>
  <c r="L339" i="21"/>
  <c r="F319" i="21"/>
  <c r="L319" i="21"/>
  <c r="K313" i="21"/>
  <c r="K324" i="21"/>
  <c r="K323" i="21"/>
  <c r="G326" i="21"/>
  <c r="G331" i="21"/>
  <c r="I323" i="21"/>
  <c r="I317" i="21"/>
  <c r="E317" i="21"/>
  <c r="I319" i="21"/>
  <c r="G312" i="21"/>
  <c r="J326" i="21"/>
  <c r="I95" i="20"/>
  <c r="I267" i="20"/>
  <c r="G378" i="20"/>
  <c r="E184" i="20"/>
  <c r="E295" i="20"/>
  <c r="J380" i="21"/>
  <c r="E383" i="21"/>
  <c r="E379" i="21"/>
  <c r="F386" i="21"/>
  <c r="E375" i="21"/>
  <c r="F380" i="21"/>
  <c r="J373" i="21"/>
  <c r="E392" i="21"/>
  <c r="G377" i="21"/>
  <c r="G386" i="21"/>
  <c r="L389" i="21"/>
  <c r="K378" i="21"/>
  <c r="I376" i="21"/>
  <c r="G378" i="21"/>
  <c r="L396" i="21"/>
  <c r="I377" i="21"/>
  <c r="L392" i="21"/>
  <c r="I373" i="21"/>
  <c r="I378" i="21"/>
  <c r="L353" i="20"/>
  <c r="G276" i="21"/>
  <c r="G89" i="20"/>
  <c r="L171" i="20"/>
  <c r="I98" i="21"/>
  <c r="G278" i="21"/>
  <c r="J206" i="21"/>
  <c r="F209" i="21"/>
  <c r="H36" i="20"/>
  <c r="L51" i="20"/>
  <c r="H59" i="20"/>
  <c r="L33" i="20"/>
  <c r="G44" i="20"/>
  <c r="J56" i="20"/>
  <c r="F54" i="20"/>
  <c r="I37" i="20"/>
  <c r="L40" i="20"/>
  <c r="H52" i="20"/>
  <c r="K36" i="20"/>
  <c r="F45" i="20"/>
  <c r="H44" i="20"/>
  <c r="K52" i="20"/>
  <c r="F44" i="20"/>
  <c r="J35" i="20"/>
  <c r="E45" i="20"/>
  <c r="F41" i="20"/>
  <c r="E49" i="20"/>
  <c r="J313" i="21"/>
  <c r="I109" i="20"/>
  <c r="I280" i="20"/>
  <c r="G390" i="20"/>
  <c r="I87" i="20"/>
  <c r="L294" i="20"/>
  <c r="K88" i="20"/>
  <c r="F219" i="21"/>
  <c r="L267" i="21"/>
  <c r="G110" i="20"/>
  <c r="E154" i="20"/>
  <c r="J208" i="20"/>
  <c r="H212" i="20"/>
  <c r="G216" i="20"/>
  <c r="E216" i="20"/>
  <c r="H340" i="21"/>
  <c r="L338" i="21"/>
  <c r="L337" i="21"/>
  <c r="L331" i="21"/>
  <c r="H323" i="21"/>
  <c r="L314" i="21"/>
  <c r="K326" i="21"/>
  <c r="L325" i="21"/>
  <c r="K316" i="21"/>
  <c r="G322" i="21"/>
  <c r="I340" i="21"/>
  <c r="I325" i="21"/>
  <c r="I324" i="21"/>
  <c r="E321" i="21"/>
  <c r="G333" i="21"/>
  <c r="E332" i="21"/>
  <c r="J315" i="21"/>
  <c r="F220" i="20"/>
  <c r="I245" i="20"/>
  <c r="G385" i="20"/>
  <c r="J386" i="21"/>
  <c r="E386" i="21"/>
  <c r="E385" i="21"/>
  <c r="F369" i="21"/>
  <c r="H380" i="21"/>
  <c r="F396" i="21"/>
  <c r="H371" i="21"/>
  <c r="J368" i="21"/>
  <c r="E376" i="21"/>
  <c r="G379" i="21"/>
  <c r="G392" i="21"/>
  <c r="L380" i="21"/>
  <c r="I394" i="21"/>
  <c r="G381" i="21"/>
  <c r="L384" i="21"/>
  <c r="K383" i="21"/>
  <c r="I383" i="21"/>
  <c r="K377" i="21"/>
  <c r="F387" i="21"/>
  <c r="I392" i="21"/>
  <c r="I95" i="21"/>
  <c r="G267" i="21"/>
  <c r="G84" i="20"/>
  <c r="E153" i="20"/>
  <c r="I88" i="21"/>
  <c r="G271" i="21"/>
  <c r="J189" i="21"/>
  <c r="L322" i="20"/>
  <c r="H38" i="20"/>
  <c r="L44" i="20"/>
  <c r="G57" i="20"/>
  <c r="K50" i="20"/>
  <c r="G47" i="20"/>
  <c r="J49" i="20"/>
  <c r="F33" i="20"/>
  <c r="I44" i="20"/>
  <c r="L38" i="20"/>
  <c r="H47" i="20"/>
  <c r="J47" i="20"/>
  <c r="E44" i="20"/>
  <c r="G52" i="20"/>
  <c r="K32" i="20"/>
  <c r="F38" i="20"/>
  <c r="J54" i="20"/>
  <c r="L58" i="20"/>
  <c r="K59" i="20"/>
  <c r="L55" i="20"/>
  <c r="L388" i="20"/>
  <c r="F199" i="20"/>
  <c r="G96" i="21"/>
  <c r="K205" i="21"/>
  <c r="E258" i="21"/>
  <c r="L279" i="20"/>
  <c r="L163" i="20"/>
  <c r="G221" i="20"/>
  <c r="K216" i="20"/>
  <c r="I209" i="20"/>
  <c r="H201" i="20"/>
  <c r="L313" i="21"/>
  <c r="F321" i="21"/>
  <c r="L332" i="21"/>
  <c r="L326" i="21"/>
  <c r="H313" i="21"/>
  <c r="F333" i="21"/>
  <c r="K335" i="21"/>
  <c r="F313" i="21"/>
  <c r="H320" i="21"/>
  <c r="G332" i="21"/>
  <c r="I316" i="21"/>
  <c r="G324" i="21"/>
  <c r="I332" i="21"/>
  <c r="G313" i="21"/>
  <c r="E328" i="21"/>
  <c r="E337" i="21"/>
  <c r="J340" i="21"/>
  <c r="F201" i="20"/>
  <c r="I271" i="20"/>
  <c r="L156" i="20"/>
  <c r="J372" i="21"/>
  <c r="E391" i="21"/>
  <c r="E390" i="21"/>
  <c r="F382" i="21"/>
  <c r="H382" i="21"/>
  <c r="F368" i="21"/>
  <c r="H391" i="21"/>
  <c r="E395" i="21"/>
  <c r="E378" i="21"/>
  <c r="J376" i="21"/>
  <c r="H388" i="21"/>
  <c r="K393" i="21"/>
  <c r="I386" i="21"/>
  <c r="G369" i="21"/>
  <c r="L377" i="21"/>
  <c r="K372" i="21"/>
  <c r="G391" i="21"/>
  <c r="K380" i="21"/>
  <c r="G393" i="21"/>
  <c r="K375" i="21"/>
  <c r="I108" i="21"/>
  <c r="G282" i="21"/>
  <c r="G116" i="20"/>
  <c r="E207" i="20"/>
  <c r="I101" i="21"/>
  <c r="J154" i="21"/>
  <c r="I170" i="21"/>
  <c r="E327" i="20"/>
  <c r="G60" i="20"/>
  <c r="J38" i="20"/>
  <c r="G34" i="20"/>
  <c r="K54" i="20"/>
  <c r="F49" i="20"/>
  <c r="J40" i="20"/>
  <c r="E53" i="20"/>
  <c r="H60" i="20"/>
  <c r="L34" i="20"/>
  <c r="G58" i="20"/>
  <c r="J43" i="20"/>
  <c r="E57" i="20"/>
  <c r="G45" i="20"/>
  <c r="K42" i="20"/>
  <c r="E58" i="20"/>
  <c r="I48" i="20"/>
  <c r="J197" i="21"/>
  <c r="K208" i="21"/>
  <c r="E209" i="21"/>
  <c r="H271" i="21"/>
  <c r="G168" i="20"/>
  <c r="J162" i="20"/>
  <c r="J205" i="20"/>
  <c r="K226" i="20"/>
  <c r="K218" i="20"/>
  <c r="I211" i="20"/>
  <c r="F327" i="21"/>
  <c r="F334" i="21"/>
  <c r="F315" i="21"/>
  <c r="F337" i="21"/>
  <c r="L330" i="21"/>
  <c r="F317" i="21"/>
  <c r="K336" i="21"/>
  <c r="K329" i="21"/>
  <c r="K321" i="21"/>
  <c r="I315" i="21"/>
  <c r="H316" i="21"/>
  <c r="G314" i="21"/>
  <c r="G323" i="21"/>
  <c r="E314" i="21"/>
  <c r="E318" i="21"/>
  <c r="E315" i="21"/>
  <c r="L395" i="20"/>
  <c r="G273" i="21"/>
  <c r="G114" i="20"/>
  <c r="L164" i="20"/>
  <c r="E389" i="21"/>
  <c r="E372" i="21"/>
  <c r="F372" i="21"/>
  <c r="H383" i="21"/>
  <c r="J388" i="21"/>
  <c r="F389" i="21"/>
  <c r="J379" i="21"/>
  <c r="E382" i="21"/>
  <c r="F381" i="21"/>
  <c r="F394" i="21"/>
  <c r="H384" i="21"/>
  <c r="K369" i="21"/>
  <c r="G389" i="21"/>
  <c r="L387" i="21"/>
  <c r="L368" i="21"/>
  <c r="I390" i="21"/>
  <c r="L375" i="21"/>
  <c r="I381" i="21"/>
  <c r="L391" i="21"/>
  <c r="G385" i="21"/>
  <c r="I92" i="21"/>
  <c r="J148" i="21"/>
  <c r="J219" i="21"/>
  <c r="F214" i="21"/>
  <c r="I280" i="21"/>
  <c r="J165" i="21"/>
  <c r="I172" i="21"/>
  <c r="J113" i="21"/>
  <c r="G37" i="20"/>
  <c r="I46" i="20"/>
  <c r="G50" i="20"/>
  <c r="J59" i="20"/>
  <c r="F57" i="20"/>
  <c r="I53" i="20"/>
  <c r="E43" i="20"/>
  <c r="H55" i="20"/>
  <c r="K41" i="20"/>
  <c r="G41" i="20"/>
  <c r="J37" i="20"/>
  <c r="K55" i="20"/>
  <c r="F34" i="20"/>
  <c r="J41" i="20"/>
  <c r="E38" i="20"/>
  <c r="I41" i="20"/>
  <c r="L50" i="20"/>
  <c r="G46" i="20"/>
  <c r="E35" i="20"/>
  <c r="L368" i="20"/>
  <c r="G240" i="21"/>
  <c r="J227" i="21"/>
  <c r="J392" i="20"/>
  <c r="H209" i="21"/>
  <c r="L259" i="21"/>
  <c r="G154" i="20"/>
  <c r="J168" i="20"/>
  <c r="H227" i="20"/>
  <c r="K213" i="20"/>
  <c r="E214" i="20"/>
  <c r="K217" i="20"/>
  <c r="F331" i="21"/>
  <c r="H331" i="21"/>
  <c r="F328" i="21"/>
  <c r="F323" i="21"/>
  <c r="L323" i="21"/>
  <c r="F314" i="21"/>
  <c r="K314" i="21"/>
  <c r="K312" i="21"/>
  <c r="K330" i="21"/>
  <c r="I320" i="21"/>
  <c r="K317" i="21"/>
  <c r="E335" i="21"/>
  <c r="G340" i="21"/>
  <c r="E339" i="21"/>
  <c r="I313" i="21"/>
  <c r="G334" i="21"/>
  <c r="L396" i="20"/>
  <c r="G259" i="21"/>
  <c r="G81" i="20"/>
  <c r="E170" i="20"/>
  <c r="E370" i="21"/>
  <c r="F375" i="21"/>
  <c r="F373" i="21"/>
  <c r="H390" i="21"/>
  <c r="J395" i="21"/>
  <c r="H374" i="21"/>
  <c r="J389" i="21"/>
  <c r="F395" i="21"/>
  <c r="G368" i="21"/>
  <c r="H394" i="21"/>
  <c r="K392" i="21"/>
  <c r="G383" i="21"/>
  <c r="L379" i="21"/>
  <c r="K385" i="21"/>
  <c r="I380" i="21"/>
  <c r="L394" i="21"/>
  <c r="I374" i="21"/>
  <c r="L382" i="21"/>
  <c r="K384" i="21"/>
  <c r="I264" i="21"/>
  <c r="J162" i="21"/>
  <c r="J208" i="21"/>
  <c r="L300" i="20"/>
  <c r="I268" i="21"/>
  <c r="K163" i="20"/>
  <c r="I146" i="21"/>
  <c r="I216" i="20"/>
  <c r="G53" i="20"/>
  <c r="K53" i="20"/>
  <c r="F52" i="20"/>
  <c r="J52" i="20"/>
  <c r="F42" i="20"/>
  <c r="I33" i="20"/>
  <c r="L43" i="20"/>
  <c r="H50" i="20"/>
  <c r="K45" i="20"/>
  <c r="F40" i="20"/>
  <c r="I60" i="20"/>
  <c r="K35" i="20"/>
  <c r="F36" i="20"/>
  <c r="J60" i="20"/>
  <c r="E51" i="20"/>
  <c r="K361" i="20"/>
  <c r="H211" i="21"/>
  <c r="G283" i="21"/>
  <c r="L276" i="21"/>
  <c r="I151" i="20"/>
  <c r="I210" i="20"/>
  <c r="K202" i="20"/>
  <c r="G204" i="20"/>
  <c r="K206" i="20"/>
  <c r="F322" i="21"/>
  <c r="H321" i="21"/>
  <c r="L335" i="21"/>
  <c r="H326" i="21"/>
  <c r="L316" i="21"/>
  <c r="H314" i="21"/>
  <c r="K333" i="21"/>
  <c r="L320" i="21"/>
  <c r="H330" i="21"/>
  <c r="G318" i="21"/>
  <c r="I331" i="21"/>
  <c r="I333" i="21"/>
  <c r="G335" i="21"/>
  <c r="G337" i="21"/>
  <c r="G321" i="21"/>
  <c r="G317" i="21"/>
  <c r="I113" i="21"/>
  <c r="G275" i="21"/>
  <c r="G113" i="20"/>
  <c r="E204" i="20"/>
  <c r="E381" i="21"/>
  <c r="F371" i="21"/>
  <c r="H386" i="21"/>
  <c r="H373" i="21"/>
  <c r="J374" i="21"/>
  <c r="H376" i="21"/>
  <c r="E394" i="21"/>
  <c r="F384" i="21"/>
  <c r="H395" i="21"/>
  <c r="G370" i="21"/>
  <c r="G373" i="21"/>
  <c r="I369" i="21"/>
  <c r="L390" i="21"/>
  <c r="L370" i="21"/>
  <c r="K386" i="21"/>
  <c r="I388" i="21"/>
  <c r="K379" i="21"/>
  <c r="I391" i="21"/>
  <c r="K395" i="21"/>
  <c r="I129" i="21"/>
  <c r="I256" i="21"/>
  <c r="J170" i="21"/>
  <c r="I151" i="21"/>
  <c r="E314" i="20"/>
  <c r="I270" i="21"/>
  <c r="K167" i="20"/>
  <c r="K381" i="20"/>
  <c r="F268" i="21"/>
  <c r="F55" i="20"/>
  <c r="K57" i="20"/>
  <c r="F60" i="20"/>
  <c r="J36" i="20"/>
  <c r="E56" i="20"/>
  <c r="I40" i="20"/>
  <c r="L36" i="20"/>
  <c r="G48" i="20"/>
  <c r="J50" i="20"/>
  <c r="F48" i="20"/>
  <c r="I55" i="20"/>
  <c r="K40" i="20"/>
  <c r="E41" i="20"/>
  <c r="I54" i="20"/>
  <c r="L32" i="20"/>
  <c r="H43" i="20"/>
  <c r="L47" i="20"/>
  <c r="E55" i="20"/>
  <c r="L53" i="20"/>
  <c r="I109" i="21"/>
  <c r="G262" i="21"/>
  <c r="J192" i="21"/>
  <c r="L331" i="20"/>
  <c r="E158" i="21"/>
  <c r="G210" i="21"/>
  <c r="G107" i="20"/>
  <c r="H257" i="21"/>
  <c r="F166" i="20"/>
  <c r="L220" i="20"/>
  <c r="G207" i="20"/>
  <c r="E228" i="20"/>
  <c r="I212" i="20"/>
  <c r="I222" i="20"/>
  <c r="F212" i="20"/>
  <c r="H336" i="21"/>
  <c r="L312" i="21"/>
  <c r="L328" i="21"/>
  <c r="H327" i="21"/>
  <c r="F336" i="21"/>
  <c r="H333" i="21"/>
  <c r="K328" i="21"/>
  <c r="F335" i="21"/>
  <c r="K319" i="21"/>
  <c r="G336" i="21"/>
  <c r="I337" i="21"/>
  <c r="I338" i="21"/>
  <c r="E323" i="21"/>
  <c r="E340" i="21"/>
  <c r="E322" i="21"/>
  <c r="E329" i="21"/>
  <c r="I104" i="21"/>
  <c r="J157" i="21"/>
  <c r="J222" i="21"/>
  <c r="F223" i="21"/>
  <c r="F378" i="21"/>
  <c r="H389" i="21"/>
  <c r="H369" i="21"/>
  <c r="J391" i="21"/>
  <c r="E374" i="21"/>
  <c r="J382" i="21"/>
  <c r="E369" i="21"/>
  <c r="F377" i="21"/>
  <c r="H396" i="21"/>
  <c r="J381" i="21"/>
  <c r="G376" i="21"/>
  <c r="I395" i="21"/>
  <c r="L383" i="21"/>
  <c r="K387" i="21"/>
  <c r="I393" i="21"/>
  <c r="G382" i="21"/>
  <c r="K394" i="21"/>
  <c r="G394" i="21"/>
  <c r="K371" i="21"/>
  <c r="J195" i="21"/>
  <c r="I277" i="21"/>
  <c r="K148" i="20"/>
  <c r="I163" i="21"/>
  <c r="J107" i="21"/>
  <c r="I254" i="20"/>
  <c r="I100" i="20"/>
  <c r="I276" i="20"/>
  <c r="K380" i="20"/>
  <c r="K56" i="20"/>
  <c r="F32" i="20"/>
  <c r="J55" i="20"/>
  <c r="F47" i="20"/>
  <c r="I56" i="20"/>
  <c r="E39" i="20"/>
  <c r="H58" i="20"/>
  <c r="K44" i="20"/>
  <c r="G39" i="20"/>
  <c r="J39" i="20"/>
  <c r="E47" i="20"/>
  <c r="H54" i="20"/>
  <c r="J44" i="20"/>
  <c r="E54" i="20"/>
  <c r="I49" i="20"/>
  <c r="L56" i="20"/>
  <c r="G43" i="20"/>
  <c r="I45" i="20"/>
  <c r="J51" i="20"/>
  <c r="G163" i="21"/>
  <c r="G211" i="21"/>
  <c r="L332" i="20"/>
  <c r="E266" i="21"/>
  <c r="H151" i="20"/>
  <c r="L205" i="20"/>
  <c r="J215" i="20"/>
  <c r="I203" i="20"/>
  <c r="G208" i="20"/>
  <c r="K214" i="20"/>
  <c r="J180" i="21"/>
  <c r="L318" i="21"/>
  <c r="L334" i="21"/>
  <c r="F312" i="21"/>
  <c r="H312" i="21"/>
  <c r="F325" i="21"/>
  <c r="H324" i="21"/>
  <c r="K322" i="21"/>
  <c r="K327" i="21"/>
  <c r="K340" i="21"/>
  <c r="G328" i="21"/>
  <c r="K332" i="21"/>
  <c r="I322" i="21"/>
  <c r="E319" i="21"/>
  <c r="E333" i="21"/>
  <c r="E324" i="21"/>
  <c r="E331" i="21"/>
  <c r="I115" i="21"/>
  <c r="J159" i="21"/>
  <c r="J221" i="21"/>
  <c r="L317" i="20"/>
  <c r="F379" i="21"/>
  <c r="H385" i="21"/>
  <c r="H378" i="21"/>
  <c r="J369" i="21"/>
  <c r="E384" i="21"/>
  <c r="J371" i="21"/>
  <c r="F390" i="21"/>
  <c r="F374" i="21"/>
  <c r="H379" i="21"/>
  <c r="F370" i="21"/>
  <c r="G387" i="21"/>
  <c r="G375" i="21"/>
  <c r="L374" i="21"/>
  <c r="K374" i="21"/>
  <c r="I385" i="21"/>
  <c r="L378" i="21"/>
  <c r="I384" i="21"/>
  <c r="L395" i="21"/>
  <c r="K388" i="21"/>
  <c r="I237" i="21"/>
  <c r="I99" i="20"/>
  <c r="K164" i="20"/>
  <c r="I144" i="21"/>
  <c r="I218" i="20"/>
  <c r="J333" i="21"/>
  <c r="I114" i="20"/>
  <c r="I272" i="20"/>
  <c r="G396" i="20"/>
  <c r="K60" i="20"/>
  <c r="F50" i="20"/>
  <c r="J45" i="20"/>
  <c r="E59" i="20"/>
  <c r="I36" i="20"/>
  <c r="L46" i="20"/>
  <c r="H53" i="20"/>
  <c r="K48" i="20"/>
  <c r="G33" i="20"/>
  <c r="J33" i="20"/>
  <c r="E60" i="20"/>
  <c r="H49" i="20"/>
  <c r="J34" i="20"/>
  <c r="L41" i="20"/>
  <c r="H48" i="20"/>
  <c r="K49" i="20"/>
  <c r="G59" i="20"/>
  <c r="I32" i="20"/>
  <c r="K34" i="20"/>
  <c r="E42" i="20"/>
  <c r="I81" i="20"/>
  <c r="I269" i="21"/>
  <c r="J168" i="21"/>
  <c r="F149" i="21"/>
  <c r="G215" i="21"/>
  <c r="K269" i="21"/>
  <c r="F273" i="21"/>
  <c r="H158" i="20"/>
  <c r="H216" i="20"/>
  <c r="G201" i="20"/>
  <c r="K224" i="20"/>
  <c r="I226" i="20"/>
  <c r="E215" i="20"/>
  <c r="F198" i="20"/>
  <c r="L340" i="21"/>
  <c r="F318" i="21"/>
  <c r="F332" i="21"/>
  <c r="L336" i="21"/>
  <c r="F316" i="21"/>
  <c r="K339" i="21"/>
  <c r="L333" i="21"/>
  <c r="K338" i="21"/>
  <c r="I321" i="21"/>
  <c r="I312" i="21"/>
  <c r="I339" i="21"/>
  <c r="G327" i="21"/>
  <c r="G338" i="21"/>
  <c r="I330" i="21"/>
  <c r="G330" i="21"/>
  <c r="E330" i="21"/>
  <c r="I278" i="21"/>
  <c r="J167" i="21"/>
  <c r="I157" i="21"/>
  <c r="E326" i="21"/>
  <c r="H392" i="21"/>
  <c r="H387" i="21"/>
  <c r="J394" i="21"/>
  <c r="J383" i="21"/>
  <c r="J385" i="21"/>
  <c r="E368" i="21"/>
  <c r="F383" i="21"/>
  <c r="H372" i="21"/>
  <c r="E388" i="21"/>
  <c r="G395" i="21"/>
  <c r="G380" i="21"/>
  <c r="L385" i="21"/>
  <c r="K389" i="21"/>
  <c r="K368" i="21"/>
  <c r="I389" i="21"/>
  <c r="L371" i="21"/>
  <c r="I379" i="21"/>
  <c r="L386" i="21"/>
  <c r="I372" i="21"/>
  <c r="J332" i="21"/>
  <c r="I112" i="20"/>
  <c r="K171" i="20"/>
  <c r="K373" i="20"/>
  <c r="F219" i="20"/>
  <c r="J339" i="21"/>
  <c r="I101" i="20"/>
  <c r="I277" i="20"/>
  <c r="G382" i="20"/>
  <c r="J58" i="20"/>
  <c r="E46" i="20"/>
  <c r="I59" i="20"/>
  <c r="E37" i="20"/>
  <c r="I38" i="20"/>
  <c r="L45" i="20"/>
  <c r="G51" i="20"/>
  <c r="J53" i="20"/>
  <c r="F43" i="20"/>
  <c r="I47" i="20"/>
  <c r="L37" i="20"/>
  <c r="H40" i="20"/>
  <c r="I57" i="20"/>
  <c r="L59" i="20"/>
  <c r="H41" i="20"/>
  <c r="K39" i="20"/>
  <c r="F39" i="20"/>
  <c r="G154" i="21"/>
  <c r="G226" i="21"/>
  <c r="J259" i="21"/>
  <c r="I167" i="20"/>
  <c r="I206" i="20"/>
  <c r="J201" i="20"/>
  <c r="I201" i="20"/>
  <c r="I214" i="20"/>
  <c r="H206" i="20"/>
  <c r="F330" i="21"/>
  <c r="F338" i="21"/>
  <c r="H335" i="21"/>
  <c r="H322" i="21"/>
  <c r="L322" i="21"/>
  <c r="H337" i="21"/>
  <c r="K318" i="21"/>
  <c r="K331" i="21"/>
  <c r="K334" i="21"/>
  <c r="I318" i="21"/>
  <c r="G325" i="21"/>
  <c r="I329" i="21"/>
  <c r="I327" i="21"/>
  <c r="E313" i="21"/>
  <c r="E334" i="21"/>
  <c r="E316" i="21"/>
  <c r="G248" i="21"/>
  <c r="I88" i="20"/>
  <c r="K161" i="20"/>
  <c r="I140" i="21"/>
  <c r="L138" i="20"/>
  <c r="F187" i="20"/>
  <c r="H370" i="21"/>
  <c r="J393" i="21"/>
  <c r="J384" i="21"/>
  <c r="E373" i="21"/>
  <c r="J392" i="21"/>
  <c r="F393" i="21"/>
  <c r="H368" i="21"/>
  <c r="J370" i="21"/>
  <c r="E387" i="21"/>
  <c r="H377" i="21"/>
  <c r="L393" i="21"/>
  <c r="K391" i="21"/>
  <c r="K396" i="21"/>
  <c r="I371" i="21"/>
  <c r="L381" i="21"/>
  <c r="K376" i="21"/>
  <c r="G390" i="21"/>
  <c r="K370" i="21"/>
  <c r="L369" i="21"/>
  <c r="L370" i="20"/>
  <c r="F224" i="20"/>
  <c r="I263" i="20"/>
  <c r="G362" i="20"/>
  <c r="L392" i="20"/>
  <c r="F207" i="20"/>
  <c r="G90" i="20"/>
  <c r="E151" i="20"/>
  <c r="I42" i="20"/>
  <c r="E40" i="20"/>
  <c r="I34" i="20"/>
  <c r="L48" i="20"/>
  <c r="H56" i="20"/>
  <c r="K47" i="20"/>
  <c r="G42" i="20"/>
  <c r="J42" i="20"/>
  <c r="E50" i="20"/>
  <c r="I35" i="20"/>
  <c r="K58" i="20"/>
  <c r="G32" i="20"/>
  <c r="H51" i="20"/>
  <c r="J57" i="20"/>
  <c r="G49" i="20"/>
  <c r="K43" i="20"/>
  <c r="E52" i="20"/>
  <c r="F35" i="20"/>
  <c r="G40" i="20"/>
  <c r="G239" i="21"/>
  <c r="I97" i="20"/>
  <c r="I284" i="20"/>
  <c r="I83" i="21"/>
  <c r="I227" i="21"/>
  <c r="K277" i="21"/>
  <c r="L391" i="20"/>
  <c r="I165" i="20"/>
  <c r="J200" i="20"/>
  <c r="H221" i="20"/>
  <c r="I224" i="20"/>
  <c r="I215" i="20"/>
  <c r="I219" i="20"/>
  <c r="F340" i="21"/>
  <c r="H339" i="21"/>
  <c r="H315" i="21"/>
  <c r="H319" i="21"/>
  <c r="F329" i="21"/>
  <c r="L327" i="21"/>
  <c r="K337" i="21"/>
  <c r="K320" i="21"/>
  <c r="H332" i="21"/>
  <c r="I335" i="21"/>
  <c r="G316" i="21"/>
  <c r="I336" i="21"/>
  <c r="I314" i="21"/>
  <c r="G320" i="21"/>
  <c r="E336" i="21"/>
  <c r="E327" i="21"/>
  <c r="I110" i="20"/>
  <c r="K168" i="20"/>
  <c r="K391" i="20"/>
  <c r="F221" i="20"/>
  <c r="I253" i="20"/>
  <c r="J378" i="21"/>
  <c r="J375" i="21"/>
  <c r="E380" i="21"/>
  <c r="F392" i="21"/>
  <c r="E371" i="21"/>
  <c r="F391" i="21"/>
  <c r="H381" i="21"/>
  <c r="J390" i="21"/>
  <c r="F385" i="21"/>
  <c r="G396" i="21"/>
  <c r="G384" i="21"/>
  <c r="K390" i="21"/>
  <c r="I370" i="21"/>
  <c r="G388" i="21"/>
  <c r="L373" i="21"/>
  <c r="I387" i="21"/>
  <c r="L372" i="21"/>
  <c r="I375" i="21"/>
  <c r="L388" i="21"/>
  <c r="L387" i="20"/>
  <c r="F204" i="20"/>
  <c r="I274" i="20"/>
  <c r="G367" i="20"/>
  <c r="L356" i="20"/>
  <c r="G277" i="21"/>
  <c r="J207" i="21"/>
  <c r="E213" i="20"/>
  <c r="I43" i="20"/>
  <c r="L52" i="20"/>
  <c r="H33" i="20"/>
  <c r="L35" i="20"/>
  <c r="G54" i="20"/>
  <c r="K51" i="20"/>
  <c r="F46" i="20"/>
  <c r="I50" i="20"/>
  <c r="E34" i="20"/>
  <c r="H57" i="20"/>
  <c r="K38" i="20"/>
  <c r="F37" i="20"/>
  <c r="H46" i="20"/>
  <c r="G164" i="21"/>
  <c r="F320" i="21"/>
  <c r="G315" i="21"/>
  <c r="J387" i="21"/>
  <c r="I382" i="21"/>
  <c r="J48" i="20"/>
  <c r="I52" i="20"/>
  <c r="F58" i="20"/>
  <c r="E48" i="20"/>
  <c r="I273" i="21"/>
  <c r="I147" i="21"/>
  <c r="I248" i="21"/>
  <c r="F23" i="20"/>
  <c r="K77" i="20"/>
  <c r="H197" i="20"/>
  <c r="L251" i="20"/>
  <c r="J305" i="20"/>
  <c r="J359" i="20"/>
  <c r="E31" i="21"/>
  <c r="K85" i="21"/>
  <c r="H127" i="21"/>
  <c r="K193" i="21"/>
  <c r="F235" i="21"/>
  <c r="F355" i="21"/>
  <c r="G24" i="20"/>
  <c r="L132" i="20"/>
  <c r="J294" i="20"/>
  <c r="F86" i="21"/>
  <c r="I182" i="21"/>
  <c r="J79" i="20"/>
  <c r="G295" i="20"/>
  <c r="G75" i="21"/>
  <c r="L249" i="21"/>
  <c r="H357" i="21"/>
  <c r="K14" i="20"/>
  <c r="J68" i="20"/>
  <c r="I134" i="20"/>
  <c r="H242" i="20"/>
  <c r="G296" i="20"/>
  <c r="J308" i="20"/>
  <c r="E362" i="20"/>
  <c r="K76" i="21"/>
  <c r="K142" i="21"/>
  <c r="F184" i="21"/>
  <c r="H238" i="21"/>
  <c r="E292" i="21"/>
  <c r="E358" i="21"/>
  <c r="G79" i="20"/>
  <c r="F11" i="20"/>
  <c r="K25" i="20"/>
  <c r="K253" i="20"/>
  <c r="E141" i="21"/>
  <c r="F15" i="20"/>
  <c r="E123" i="20"/>
  <c r="I189" i="20"/>
  <c r="G255" i="20"/>
  <c r="K309" i="20"/>
  <c r="H363" i="20"/>
  <c r="K11" i="21"/>
  <c r="L77" i="21"/>
  <c r="L143" i="21"/>
  <c r="G197" i="21"/>
  <c r="J251" i="21"/>
  <c r="H305" i="21"/>
  <c r="I347" i="21"/>
  <c r="I85" i="21"/>
  <c r="J143" i="20"/>
  <c r="L67" i="20"/>
  <c r="G241" i="20"/>
  <c r="F21" i="21"/>
  <c r="H87" i="21"/>
  <c r="E195" i="21"/>
  <c r="G291" i="21"/>
  <c r="J69" i="20"/>
  <c r="E28" i="20"/>
  <c r="K70" i="20"/>
  <c r="L124" i="20"/>
  <c r="K190" i="20"/>
  <c r="H298" i="20"/>
  <c r="H352" i="20"/>
  <c r="H12" i="21"/>
  <c r="K24" i="21"/>
  <c r="L132" i="21"/>
  <c r="H198" i="21"/>
  <c r="E252" i="21"/>
  <c r="K306" i="21"/>
  <c r="G213" i="21"/>
  <c r="H329" i="21"/>
  <c r="E338" i="21"/>
  <c r="E393" i="21"/>
  <c r="K373" i="21"/>
  <c r="E33" i="20"/>
  <c r="K33" i="20"/>
  <c r="H45" i="20"/>
  <c r="I108" i="20"/>
  <c r="I150" i="21"/>
  <c r="I239" i="21"/>
  <c r="E23" i="20"/>
  <c r="F77" i="20"/>
  <c r="L197" i="20"/>
  <c r="K293" i="20"/>
  <c r="H305" i="20"/>
  <c r="K19" i="21"/>
  <c r="J31" i="21"/>
  <c r="F85" i="21"/>
  <c r="E139" i="21"/>
  <c r="L193" i="21"/>
  <c r="H301" i="21"/>
  <c r="K355" i="21"/>
  <c r="L24" i="20"/>
  <c r="J132" i="20"/>
  <c r="G294" i="20"/>
  <c r="L86" i="21"/>
  <c r="H182" i="21"/>
  <c r="L79" i="20"/>
  <c r="I295" i="20"/>
  <c r="H75" i="21"/>
  <c r="H249" i="21"/>
  <c r="G357" i="21"/>
  <c r="G14" i="20"/>
  <c r="L68" i="20"/>
  <c r="J134" i="20"/>
  <c r="F242" i="20"/>
  <c r="I296" i="20"/>
  <c r="E308" i="20"/>
  <c r="K362" i="20"/>
  <c r="G76" i="21"/>
  <c r="F142" i="21"/>
  <c r="L196" i="21"/>
  <c r="F238" i="21"/>
  <c r="I292" i="21"/>
  <c r="H358" i="21"/>
  <c r="I125" i="21"/>
  <c r="E11" i="20"/>
  <c r="J25" i="20"/>
  <c r="F253" i="20"/>
  <c r="K141" i="21"/>
  <c r="G15" i="20"/>
  <c r="L123" i="20"/>
  <c r="K189" i="20"/>
  <c r="K297" i="20"/>
  <c r="H309" i="20"/>
  <c r="F363" i="20"/>
  <c r="I23" i="21"/>
  <c r="H77" i="21"/>
  <c r="E143" i="21"/>
  <c r="K197" i="21"/>
  <c r="E251" i="21"/>
  <c r="L305" i="21"/>
  <c r="I77" i="20"/>
  <c r="I236" i="21"/>
  <c r="J67" i="20"/>
  <c r="K241" i="20"/>
  <c r="G21" i="21"/>
  <c r="J87" i="21"/>
  <c r="J237" i="21"/>
  <c r="E291" i="21"/>
  <c r="L69" i="20"/>
  <c r="I28" i="20"/>
  <c r="F70" i="20"/>
  <c r="E124" i="20"/>
  <c r="H190" i="20"/>
  <c r="J298" i="20"/>
  <c r="F352" i="20"/>
  <c r="G12" i="21"/>
  <c r="L24" i="21"/>
  <c r="G132" i="21"/>
  <c r="G198" i="21"/>
  <c r="H252" i="21"/>
  <c r="J276" i="21"/>
  <c r="L329" i="21"/>
  <c r="I74" i="21"/>
  <c r="F388" i="21"/>
  <c r="I368" i="21"/>
  <c r="I39" i="20"/>
  <c r="I51" i="20"/>
  <c r="H39" i="20"/>
  <c r="F210" i="20"/>
  <c r="K376" i="20"/>
  <c r="I245" i="21"/>
  <c r="L23" i="20"/>
  <c r="H131" i="20"/>
  <c r="J197" i="20"/>
  <c r="G293" i="20"/>
  <c r="K305" i="20"/>
  <c r="L19" i="21"/>
  <c r="I31" i="21"/>
  <c r="G85" i="21"/>
  <c r="K139" i="21"/>
  <c r="H193" i="21"/>
  <c r="L301" i="21"/>
  <c r="I355" i="21"/>
  <c r="K24" i="20"/>
  <c r="F240" i="20"/>
  <c r="H294" i="20"/>
  <c r="H86" i="21"/>
  <c r="G182" i="21"/>
  <c r="F79" i="20"/>
  <c r="J295" i="20"/>
  <c r="E75" i="21"/>
  <c r="E249" i="21"/>
  <c r="L357" i="21"/>
  <c r="F26" i="20"/>
  <c r="K68" i="20"/>
  <c r="E134" i="20"/>
  <c r="L242" i="20"/>
  <c r="F296" i="20"/>
  <c r="L308" i="20"/>
  <c r="H362" i="20"/>
  <c r="F76" i="21"/>
  <c r="E142" i="21"/>
  <c r="K196" i="21"/>
  <c r="J250" i="21"/>
  <c r="G292" i="21"/>
  <c r="G358" i="21"/>
  <c r="L129" i="20"/>
  <c r="G11" i="20"/>
  <c r="E25" i="20"/>
  <c r="E253" i="20"/>
  <c r="H141" i="21"/>
  <c r="E81" i="20"/>
  <c r="J123" i="20"/>
  <c r="K243" i="20"/>
  <c r="I297" i="20"/>
  <c r="J309" i="20"/>
  <c r="E363" i="20"/>
  <c r="J23" i="21"/>
  <c r="E77" i="21"/>
  <c r="H143" i="21"/>
  <c r="I197" i="21"/>
  <c r="L251" i="21"/>
  <c r="F305" i="21"/>
  <c r="L347" i="21"/>
  <c r="F185" i="20"/>
  <c r="H13" i="20"/>
  <c r="K67" i="20"/>
  <c r="F241" i="20"/>
  <c r="H21" i="21"/>
  <c r="E129" i="21"/>
  <c r="K237" i="21"/>
  <c r="F27" i="20"/>
  <c r="F69" i="20"/>
  <c r="G28" i="20"/>
  <c r="H82" i="20"/>
  <c r="G136" i="20"/>
  <c r="F244" i="20"/>
  <c r="K298" i="20"/>
  <c r="E352" i="20"/>
  <c r="I12" i="21"/>
  <c r="K78" i="21"/>
  <c r="L272" i="21"/>
  <c r="H317" i="21"/>
  <c r="I272" i="21"/>
  <c r="H375" i="21"/>
  <c r="J323" i="21"/>
  <c r="L49" i="20"/>
  <c r="H35" i="20"/>
  <c r="H32" i="20"/>
  <c r="G263" i="21"/>
  <c r="K383" i="20"/>
  <c r="J23" i="20"/>
  <c r="I131" i="20"/>
  <c r="I197" i="20"/>
  <c r="F293" i="20"/>
  <c r="E305" i="20"/>
  <c r="I19" i="21"/>
  <c r="H31" i="21"/>
  <c r="L85" i="21"/>
  <c r="F139" i="21"/>
  <c r="G193" i="21"/>
  <c r="I301" i="21"/>
  <c r="J367" i="21"/>
  <c r="I24" i="20"/>
  <c r="K240" i="20"/>
  <c r="E294" i="20"/>
  <c r="E86" i="21"/>
  <c r="E182" i="21"/>
  <c r="K79" i="20"/>
  <c r="H295" i="20"/>
  <c r="J75" i="21"/>
  <c r="F249" i="21"/>
  <c r="I357" i="21"/>
  <c r="E26" i="20"/>
  <c r="H80" i="20"/>
  <c r="L188" i="20"/>
  <c r="E242" i="20"/>
  <c r="J296" i="20"/>
  <c r="E350" i="20"/>
  <c r="I362" i="20"/>
  <c r="L76" i="21"/>
  <c r="G142" i="21"/>
  <c r="H196" i="21"/>
  <c r="K250" i="21"/>
  <c r="L304" i="21"/>
  <c r="L358" i="21"/>
  <c r="L128" i="20"/>
  <c r="F239" i="20"/>
  <c r="I25" i="20"/>
  <c r="J253" i="20"/>
  <c r="F141" i="21"/>
  <c r="H81" i="20"/>
  <c r="G135" i="20"/>
  <c r="F243" i="20"/>
  <c r="G297" i="20"/>
  <c r="E309" i="20"/>
  <c r="I363" i="20"/>
  <c r="F23" i="21"/>
  <c r="E131" i="21"/>
  <c r="L185" i="21"/>
  <c r="E197" i="21"/>
  <c r="H251" i="21"/>
  <c r="K305" i="21"/>
  <c r="J359" i="21"/>
  <c r="J124" i="21"/>
  <c r="L13" i="20"/>
  <c r="F67" i="20"/>
  <c r="H241" i="20"/>
  <c r="I21" i="21"/>
  <c r="K129" i="21"/>
  <c r="H237" i="21"/>
  <c r="I27" i="20"/>
  <c r="K69" i="20"/>
  <c r="F28" i="20"/>
  <c r="E82" i="20"/>
  <c r="H136" i="20"/>
  <c r="K244" i="20"/>
  <c r="E298" i="20"/>
  <c r="I352" i="20"/>
  <c r="J12" i="21"/>
  <c r="G78" i="21"/>
  <c r="K186" i="21"/>
  <c r="I198" i="21"/>
  <c r="F252" i="21"/>
  <c r="I144" i="20"/>
  <c r="K315" i="21"/>
  <c r="K160" i="20"/>
  <c r="F376" i="21"/>
  <c r="I98" i="20"/>
  <c r="H37" i="20"/>
  <c r="G36" i="20"/>
  <c r="F59" i="20"/>
  <c r="I69" i="20"/>
  <c r="J160" i="21"/>
  <c r="G371" i="20"/>
  <c r="J129" i="21"/>
  <c r="I23" i="20"/>
  <c r="G131" i="20"/>
  <c r="E197" i="20"/>
  <c r="I293" i="20"/>
  <c r="L305" i="20"/>
  <c r="J19" i="21"/>
  <c r="G31" i="21"/>
  <c r="H85" i="21"/>
  <c r="L139" i="21"/>
  <c r="E193" i="21"/>
  <c r="K301" i="21"/>
  <c r="H24" i="20"/>
  <c r="H240" i="20"/>
  <c r="E348" i="20"/>
  <c r="J86" i="21"/>
  <c r="J236" i="21"/>
  <c r="H187" i="20"/>
  <c r="J349" i="20"/>
  <c r="H183" i="21"/>
  <c r="F303" i="21"/>
  <c r="J357" i="21"/>
  <c r="J26" i="20"/>
  <c r="E80" i="20"/>
  <c r="G188" i="20"/>
  <c r="F254" i="20"/>
  <c r="H296" i="20"/>
  <c r="H350" i="20"/>
  <c r="H22" i="21"/>
  <c r="H76" i="21"/>
  <c r="L142" i="21"/>
  <c r="G196" i="21"/>
  <c r="H250" i="21"/>
  <c r="F304" i="21"/>
  <c r="I358" i="21"/>
  <c r="E129" i="20"/>
  <c r="K239" i="20"/>
  <c r="H25" i="20"/>
  <c r="G253" i="20"/>
  <c r="G141" i="21"/>
  <c r="L81" i="20"/>
  <c r="H135" i="20"/>
  <c r="H243" i="20"/>
  <c r="F297" i="20"/>
  <c r="L309" i="20"/>
  <c r="J363" i="20"/>
  <c r="L23" i="21"/>
  <c r="K131" i="21"/>
  <c r="K185" i="21"/>
  <c r="F197" i="21"/>
  <c r="F251" i="21"/>
  <c r="E305" i="21"/>
  <c r="F359" i="21"/>
  <c r="J135" i="21"/>
  <c r="J13" i="20"/>
  <c r="G133" i="20"/>
  <c r="L241" i="20"/>
  <c r="L21" i="21"/>
  <c r="F129" i="21"/>
  <c r="L237" i="21"/>
  <c r="K27" i="20"/>
  <c r="J16" i="20"/>
  <c r="L28" i="20"/>
  <c r="L82" i="20"/>
  <c r="F136" i="20"/>
  <c r="H244" i="20"/>
  <c r="L298" i="20"/>
  <c r="J352" i="20"/>
  <c r="F12" i="21"/>
  <c r="L78" i="21"/>
  <c r="H186" i="21"/>
  <c r="I227" i="20"/>
  <c r="F339" i="21"/>
  <c r="I165" i="21"/>
  <c r="G374" i="21"/>
  <c r="I282" i="20"/>
  <c r="L39" i="20"/>
  <c r="K46" i="20"/>
  <c r="J32" i="20"/>
  <c r="J135" i="20"/>
  <c r="K172" i="20"/>
  <c r="L167" i="20"/>
  <c r="G71" i="20"/>
  <c r="G23" i="20"/>
  <c r="E131" i="20"/>
  <c r="K197" i="20"/>
  <c r="H293" i="20"/>
  <c r="E347" i="20"/>
  <c r="H19" i="21"/>
  <c r="K73" i="21"/>
  <c r="E85" i="21"/>
  <c r="G139" i="21"/>
  <c r="F193" i="21"/>
  <c r="F301" i="21"/>
  <c r="J24" i="20"/>
  <c r="J240" i="20"/>
  <c r="I348" i="20"/>
  <c r="E128" i="21"/>
  <c r="K236" i="21"/>
  <c r="L187" i="20"/>
  <c r="E349" i="20"/>
  <c r="L183" i="21"/>
  <c r="L303" i="21"/>
  <c r="K357" i="21"/>
  <c r="L26" i="20"/>
  <c r="L80" i="20"/>
  <c r="H188" i="20"/>
  <c r="K254" i="20"/>
  <c r="L296" i="20"/>
  <c r="I350" i="20"/>
  <c r="I22" i="21"/>
  <c r="E76" i="21"/>
  <c r="H142" i="21"/>
  <c r="I196" i="21"/>
  <c r="E250" i="21"/>
  <c r="H304" i="21"/>
  <c r="K358" i="21"/>
  <c r="G239" i="20"/>
  <c r="L25" i="20"/>
  <c r="H253" i="20"/>
  <c r="L141" i="21"/>
  <c r="J81" i="20"/>
  <c r="I135" i="20"/>
  <c r="J243" i="20"/>
  <c r="J297" i="20"/>
  <c r="H351" i="20"/>
  <c r="E11" i="21"/>
  <c r="H23" i="21"/>
  <c r="F131" i="21"/>
  <c r="H185" i="21"/>
  <c r="K239" i="21"/>
  <c r="L293" i="21"/>
  <c r="I305" i="21"/>
  <c r="H359" i="21"/>
  <c r="K123" i="20"/>
  <c r="E13" i="20"/>
  <c r="H133" i="20"/>
  <c r="F307" i="20"/>
  <c r="J21" i="21"/>
  <c r="G129" i="21"/>
  <c r="E237" i="21"/>
  <c r="J27" i="20"/>
  <c r="L16" i="20"/>
  <c r="J28" i="20"/>
  <c r="J82" i="20"/>
  <c r="I136" i="20"/>
  <c r="J244" i="20"/>
  <c r="F310" i="20"/>
  <c r="H364" i="20"/>
  <c r="L12" i="21"/>
  <c r="F78" i="21"/>
  <c r="L186" i="21"/>
  <c r="J240" i="21"/>
  <c r="F294" i="21"/>
  <c r="J228" i="20"/>
  <c r="K325" i="21"/>
  <c r="G168" i="21"/>
  <c r="G371" i="21"/>
  <c r="K377" i="20"/>
  <c r="G35" i="20"/>
  <c r="K37" i="20"/>
  <c r="H34" i="20"/>
  <c r="G363" i="20"/>
  <c r="K170" i="20"/>
  <c r="E169" i="20"/>
  <c r="G358" i="20"/>
  <c r="K23" i="20"/>
  <c r="F131" i="20"/>
  <c r="F251" i="20"/>
  <c r="J293" i="20"/>
  <c r="F347" i="20"/>
  <c r="G19" i="21"/>
  <c r="F73" i="21"/>
  <c r="J85" i="21"/>
  <c r="H139" i="21"/>
  <c r="I193" i="21"/>
  <c r="G301" i="21"/>
  <c r="H367" i="21"/>
  <c r="F24" i="20"/>
  <c r="G240" i="20"/>
  <c r="J348" i="20"/>
  <c r="F128" i="21"/>
  <c r="E236" i="21"/>
  <c r="E187" i="20"/>
  <c r="I349" i="20"/>
  <c r="K183" i="21"/>
  <c r="H303" i="21"/>
  <c r="H14" i="20"/>
  <c r="H26" i="20"/>
  <c r="J80" i="20"/>
  <c r="E188" i="20"/>
  <c r="H254" i="20"/>
  <c r="E296" i="20"/>
  <c r="F350" i="20"/>
  <c r="E22" i="21"/>
  <c r="J76" i="21"/>
  <c r="H184" i="21"/>
  <c r="F196" i="21"/>
  <c r="L250" i="21"/>
  <c r="K304" i="21"/>
  <c r="L362" i="20"/>
  <c r="I140" i="20"/>
  <c r="J239" i="20"/>
  <c r="L199" i="20"/>
  <c r="L253" i="20"/>
  <c r="E15" i="20"/>
  <c r="K81" i="20"/>
  <c r="F135" i="20"/>
  <c r="G243" i="20"/>
  <c r="H297" i="20"/>
  <c r="I351" i="20"/>
  <c r="J11" i="21"/>
  <c r="E23" i="21"/>
  <c r="L131" i="21"/>
  <c r="J239" i="21"/>
  <c r="F293" i="21"/>
  <c r="G305" i="21"/>
  <c r="E359" i="21"/>
  <c r="I240" i="20"/>
  <c r="K13" i="20"/>
  <c r="F133" i="20"/>
  <c r="G307" i="20"/>
  <c r="E21" i="21"/>
  <c r="L129" i="21"/>
  <c r="F237" i="21"/>
  <c r="H27" i="20"/>
  <c r="H16" i="20"/>
  <c r="H28" i="20"/>
  <c r="F82" i="20"/>
  <c r="E136" i="20"/>
  <c r="G244" i="20"/>
  <c r="G310" i="20"/>
  <c r="E226" i="20"/>
  <c r="I328" i="21"/>
  <c r="G67" i="20"/>
  <c r="L376" i="21"/>
  <c r="K130" i="20"/>
  <c r="J46" i="20"/>
  <c r="H42" i="20"/>
  <c r="F53" i="20"/>
  <c r="J336" i="21"/>
  <c r="I260" i="20"/>
  <c r="E219" i="20"/>
  <c r="L140" i="20"/>
  <c r="H23" i="20"/>
  <c r="G143" i="20"/>
  <c r="K251" i="20"/>
  <c r="E293" i="20"/>
  <c r="H347" i="20"/>
  <c r="F19" i="21"/>
  <c r="L73" i="21"/>
  <c r="K127" i="21"/>
  <c r="L181" i="21"/>
  <c r="J235" i="21"/>
  <c r="J355" i="21"/>
  <c r="K367" i="21"/>
  <c r="E24" i="20"/>
  <c r="E240" i="20"/>
  <c r="F348" i="20"/>
  <c r="K128" i="21"/>
  <c r="H236" i="21"/>
  <c r="J187" i="20"/>
  <c r="F349" i="20"/>
  <c r="G183" i="21"/>
  <c r="K303" i="21"/>
  <c r="F14" i="20"/>
  <c r="K26" i="20"/>
  <c r="F80" i="20"/>
  <c r="I188" i="20"/>
  <c r="J254" i="20"/>
  <c r="I308" i="20"/>
  <c r="K350" i="20"/>
  <c r="J22" i="21"/>
  <c r="F130" i="21"/>
  <c r="K184" i="21"/>
  <c r="E196" i="21"/>
  <c r="F250" i="21"/>
  <c r="E304" i="21"/>
  <c r="I255" i="21"/>
  <c r="K11" i="20"/>
  <c r="H239" i="20"/>
  <c r="G199" i="20"/>
  <c r="I361" i="20"/>
  <c r="K15" i="20"/>
  <c r="F81" i="20"/>
  <c r="L135" i="20"/>
  <c r="F255" i="20"/>
  <c r="L297" i="20"/>
  <c r="J351" i="20"/>
  <c r="H11" i="21"/>
  <c r="K23" i="21"/>
  <c r="G131" i="21"/>
  <c r="I185" i="21"/>
  <c r="E239" i="21"/>
  <c r="H293" i="21"/>
  <c r="L359" i="21"/>
  <c r="K363" i="20"/>
  <c r="G13" i="20"/>
  <c r="I133" i="20"/>
  <c r="I307" i="20"/>
  <c r="K21" i="21"/>
  <c r="L195" i="21"/>
  <c r="F291" i="21"/>
  <c r="L27" i="20"/>
  <c r="K16" i="20"/>
  <c r="K28" i="20"/>
  <c r="K82" i="20"/>
  <c r="J136" i="20"/>
  <c r="L244" i="20"/>
  <c r="I310" i="20"/>
  <c r="F364" i="20"/>
  <c r="H24" i="21"/>
  <c r="J78" i="21"/>
  <c r="I186" i="21"/>
  <c r="H240" i="21"/>
  <c r="I294" i="21"/>
  <c r="K212" i="20"/>
  <c r="I334" i="21"/>
  <c r="H393" i="21"/>
  <c r="K382" i="21"/>
  <c r="L379" i="20"/>
  <c r="F51" i="20"/>
  <c r="F56" i="20"/>
  <c r="G38" i="20"/>
  <c r="L369" i="20"/>
  <c r="G86" i="20"/>
  <c r="F220" i="21"/>
  <c r="E135" i="20"/>
  <c r="E77" i="20"/>
  <c r="H143" i="20"/>
  <c r="G251" i="20"/>
  <c r="L293" i="20"/>
  <c r="H359" i="20"/>
  <c r="E19" i="21"/>
  <c r="G73" i="21"/>
  <c r="F127" i="21"/>
  <c r="H181" i="21"/>
  <c r="K235" i="21"/>
  <c r="E355" i="21"/>
  <c r="G132" i="20"/>
  <c r="L240" i="20"/>
  <c r="H348" i="20"/>
  <c r="G128" i="21"/>
  <c r="L236" i="21"/>
  <c r="I187" i="20"/>
  <c r="H349" i="20"/>
  <c r="E183" i="21"/>
  <c r="I303" i="21"/>
  <c r="E14" i="20"/>
  <c r="I26" i="20"/>
  <c r="K80" i="20"/>
  <c r="J188" i="20"/>
  <c r="L254" i="20"/>
  <c r="K308" i="20"/>
  <c r="G350" i="20"/>
  <c r="G22" i="21"/>
  <c r="E130" i="21"/>
  <c r="L184" i="21"/>
  <c r="J238" i="21"/>
  <c r="H292" i="21"/>
  <c r="I304" i="21"/>
  <c r="I74" i="20"/>
  <c r="J11" i="20"/>
  <c r="E239" i="20"/>
  <c r="H199" i="20"/>
  <c r="H361" i="20"/>
  <c r="J15" i="20"/>
  <c r="G123" i="20"/>
  <c r="G189" i="20"/>
  <c r="K255" i="20"/>
  <c r="E297" i="20"/>
  <c r="E351" i="20"/>
  <c r="G11" i="21"/>
  <c r="G23" i="21"/>
  <c r="H131" i="21"/>
  <c r="L239" i="21"/>
  <c r="K293" i="21"/>
  <c r="E347" i="21"/>
  <c r="G359" i="21"/>
  <c r="E182" i="20"/>
  <c r="F13" i="20"/>
  <c r="J133" i="20"/>
  <c r="K307" i="20"/>
  <c r="K87" i="21"/>
  <c r="K195" i="21"/>
  <c r="H291" i="21"/>
  <c r="G27" i="20"/>
  <c r="I16" i="20"/>
  <c r="H70" i="20"/>
  <c r="H124" i="20"/>
  <c r="L190" i="20"/>
  <c r="E244" i="20"/>
  <c r="K310" i="20"/>
  <c r="I364" i="20"/>
  <c r="I24" i="21"/>
  <c r="E78" i="21"/>
  <c r="L317" i="21"/>
  <c r="G319" i="21"/>
  <c r="J377" i="21"/>
  <c r="G372" i="21"/>
  <c r="G98" i="20"/>
  <c r="L42" i="20"/>
  <c r="L57" i="20"/>
  <c r="G56" i="20"/>
  <c r="I110" i="21"/>
  <c r="J225" i="21"/>
  <c r="J111" i="21"/>
  <c r="H181" i="20"/>
  <c r="J77" i="20"/>
  <c r="F143" i="20"/>
  <c r="H251" i="20"/>
  <c r="I305" i="20"/>
  <c r="E359" i="20"/>
  <c r="L31" i="21"/>
  <c r="J73" i="21"/>
  <c r="G127" i="21"/>
  <c r="G181" i="21"/>
  <c r="H235" i="21"/>
  <c r="G355" i="21"/>
  <c r="L367" i="21"/>
  <c r="F132" i="20"/>
  <c r="F294" i="20"/>
  <c r="K86" i="21"/>
  <c r="K182" i="21"/>
  <c r="E79" i="20"/>
  <c r="K295" i="20"/>
  <c r="L75" i="21"/>
  <c r="K249" i="21"/>
  <c r="F357" i="21"/>
  <c r="L14" i="20"/>
  <c r="E68" i="20"/>
  <c r="G134" i="20"/>
  <c r="J242" i="20"/>
  <c r="E254" i="20"/>
  <c r="G308" i="20"/>
  <c r="F362" i="20"/>
  <c r="L22" i="21"/>
  <c r="L130" i="21"/>
  <c r="E184" i="21"/>
  <c r="L238" i="21"/>
  <c r="F292" i="21"/>
  <c r="J358" i="21"/>
  <c r="F195" i="20"/>
  <c r="H11" i="20"/>
  <c r="G25" i="20"/>
  <c r="J199" i="20"/>
  <c r="E361" i="20"/>
  <c r="I15" i="20"/>
  <c r="F123" i="20"/>
  <c r="J189" i="20"/>
  <c r="H255" i="20"/>
  <c r="F309" i="20"/>
  <c r="F351" i="20"/>
  <c r="L11" i="21"/>
  <c r="G77" i="21"/>
  <c r="K143" i="21"/>
  <c r="H197" i="21"/>
  <c r="F239" i="21"/>
  <c r="H347" i="21"/>
  <c r="I359" i="21"/>
  <c r="F68" i="20"/>
  <c r="H67" i="20"/>
  <c r="J241" i="20"/>
  <c r="J307" i="20"/>
  <c r="F87" i="21"/>
  <c r="G195" i="21"/>
  <c r="K291" i="21"/>
  <c r="E69" i="20"/>
  <c r="F16" i="20"/>
  <c r="L70" i="20"/>
  <c r="I124" i="20"/>
  <c r="G190" i="20"/>
  <c r="G298" i="20"/>
  <c r="J310" i="20"/>
  <c r="E12" i="21"/>
  <c r="E24" i="21"/>
  <c r="E132" i="21"/>
  <c r="K198" i="21"/>
  <c r="J252" i="21"/>
  <c r="F324" i="21"/>
  <c r="E320" i="21"/>
  <c r="E377" i="21"/>
  <c r="K381" i="21"/>
  <c r="L157" i="20"/>
  <c r="G55" i="20"/>
  <c r="E36" i="20"/>
  <c r="L54" i="20"/>
  <c r="I271" i="21"/>
  <c r="I166" i="21"/>
  <c r="G329" i="21"/>
  <c r="G236" i="20"/>
  <c r="L77" i="20"/>
  <c r="G197" i="20"/>
  <c r="E251" i="20"/>
  <c r="F305" i="20"/>
  <c r="F359" i="20"/>
  <c r="F31" i="21"/>
  <c r="E73" i="21"/>
  <c r="L127" i="21"/>
  <c r="I181" i="21"/>
  <c r="E235" i="21"/>
  <c r="L355" i="21"/>
  <c r="J347" i="20"/>
  <c r="I132" i="20"/>
  <c r="I294" i="20"/>
  <c r="G86" i="21"/>
  <c r="L182" i="21"/>
  <c r="H79" i="20"/>
  <c r="F295" i="20"/>
  <c r="F75" i="21"/>
  <c r="E223" i="20"/>
  <c r="H77" i="20"/>
  <c r="H132" i="20"/>
  <c r="I14" i="20"/>
  <c r="J362" i="20"/>
  <c r="F358" i="21"/>
  <c r="H15" i="20"/>
  <c r="I11" i="21"/>
  <c r="K347" i="21"/>
  <c r="G87" i="21"/>
  <c r="F124" i="20"/>
  <c r="J24" i="21"/>
  <c r="L240" i="21"/>
  <c r="G306" i="21"/>
  <c r="F360" i="21"/>
  <c r="I68" i="20"/>
  <c r="L142" i="20"/>
  <c r="H12" i="20"/>
  <c r="I360" i="20"/>
  <c r="I191" i="20"/>
  <c r="J365" i="20"/>
  <c r="E25" i="21"/>
  <c r="K79" i="21"/>
  <c r="H133" i="21"/>
  <c r="G199" i="21"/>
  <c r="E253" i="21"/>
  <c r="K307" i="21"/>
  <c r="J361" i="21"/>
  <c r="J128" i="21"/>
  <c r="F17" i="20"/>
  <c r="F71" i="20"/>
  <c r="F245" i="20"/>
  <c r="F30" i="20"/>
  <c r="K84" i="20"/>
  <c r="I180" i="20"/>
  <c r="E246" i="20"/>
  <c r="H354" i="20"/>
  <c r="I14" i="21"/>
  <c r="K68" i="21"/>
  <c r="E80" i="21"/>
  <c r="E188" i="21"/>
  <c r="L296" i="21"/>
  <c r="E308" i="21"/>
  <c r="G236" i="21"/>
  <c r="G365" i="20"/>
  <c r="J78" i="20"/>
  <c r="G252" i="20"/>
  <c r="L306" i="20"/>
  <c r="F74" i="21"/>
  <c r="H194" i="21"/>
  <c r="J356" i="21"/>
  <c r="F29" i="20"/>
  <c r="J137" i="20"/>
  <c r="I18" i="20"/>
  <c r="F138" i="20"/>
  <c r="F31" i="20"/>
  <c r="E85" i="20"/>
  <c r="G139" i="20"/>
  <c r="L193" i="20"/>
  <c r="K247" i="20"/>
  <c r="H301" i="20"/>
  <c r="K27" i="21"/>
  <c r="G81" i="21"/>
  <c r="F135" i="21"/>
  <c r="L243" i="21"/>
  <c r="H297" i="21"/>
  <c r="F351" i="21"/>
  <c r="L363" i="21"/>
  <c r="J196" i="21"/>
  <c r="G195" i="20"/>
  <c r="F180" i="20"/>
  <c r="I143" i="21"/>
  <c r="J302" i="21"/>
  <c r="L86" i="20"/>
  <c r="L194" i="20"/>
  <c r="J356" i="20"/>
  <c r="K70" i="21"/>
  <c r="E82" i="21"/>
  <c r="I298" i="21"/>
  <c r="H195" i="20"/>
  <c r="K303" i="20"/>
  <c r="L17" i="21"/>
  <c r="G29" i="21"/>
  <c r="I326" i="21"/>
  <c r="I143" i="20"/>
  <c r="K294" i="20"/>
  <c r="G26" i="20"/>
  <c r="F22" i="21"/>
  <c r="F179" i="20"/>
  <c r="H123" i="20"/>
  <c r="K77" i="21"/>
  <c r="K359" i="21"/>
  <c r="H195" i="21"/>
  <c r="J190" i="20"/>
  <c r="H78" i="21"/>
  <c r="F240" i="21"/>
  <c r="E306" i="21"/>
  <c r="E360" i="21"/>
  <c r="I80" i="20"/>
  <c r="L141" i="20"/>
  <c r="E12" i="20"/>
  <c r="L302" i="21"/>
  <c r="F299" i="20"/>
  <c r="E13" i="21"/>
  <c r="K25" i="21"/>
  <c r="F79" i="21"/>
  <c r="L187" i="21"/>
  <c r="E199" i="21"/>
  <c r="F253" i="21"/>
  <c r="I307" i="21"/>
  <c r="K143" i="20"/>
  <c r="E17" i="20"/>
  <c r="G125" i="20"/>
  <c r="K245" i="20"/>
  <c r="I30" i="20"/>
  <c r="H126" i="20"/>
  <c r="L192" i="20"/>
  <c r="H246" i="20"/>
  <c r="F354" i="20"/>
  <c r="F68" i="21"/>
  <c r="E134" i="21"/>
  <c r="K242" i="21"/>
  <c r="H296" i="21"/>
  <c r="K362" i="21"/>
  <c r="G250" i="21"/>
  <c r="L134" i="20"/>
  <c r="K78" i="20"/>
  <c r="H252" i="20"/>
  <c r="F20" i="21"/>
  <c r="H74" i="21"/>
  <c r="G194" i="21"/>
  <c r="E83" i="20"/>
  <c r="L137" i="20"/>
  <c r="H18" i="20"/>
  <c r="I138" i="20"/>
  <c r="I31" i="20"/>
  <c r="H85" i="20"/>
  <c r="H139" i="20"/>
  <c r="K193" i="20"/>
  <c r="F247" i="20"/>
  <c r="H355" i="20"/>
  <c r="L15" i="21"/>
  <c r="J27" i="21"/>
  <c r="L81" i="21"/>
  <c r="L135" i="21"/>
  <c r="H243" i="21"/>
  <c r="I297" i="21"/>
  <c r="E351" i="21"/>
  <c r="I363" i="21"/>
  <c r="J182" i="21"/>
  <c r="L185" i="20"/>
  <c r="J139" i="21"/>
  <c r="F186" i="20"/>
  <c r="I132" i="21"/>
  <c r="I20" i="20"/>
  <c r="F86" i="20"/>
  <c r="I194" i="20"/>
  <c r="E356" i="20"/>
  <c r="L70" i="21"/>
  <c r="J82" i="21"/>
  <c r="E298" i="21"/>
  <c r="K195" i="20"/>
  <c r="I303" i="20"/>
  <c r="I17" i="21"/>
  <c r="J396" i="21"/>
  <c r="J251" i="20"/>
  <c r="G348" i="20"/>
  <c r="H68" i="20"/>
  <c r="K22" i="21"/>
  <c r="K134" i="20"/>
  <c r="I123" i="20"/>
  <c r="F77" i="21"/>
  <c r="J292" i="21"/>
  <c r="I195" i="21"/>
  <c r="I190" i="20"/>
  <c r="F132" i="21"/>
  <c r="K252" i="21"/>
  <c r="H348" i="21"/>
  <c r="G360" i="21"/>
  <c r="F184" i="20"/>
  <c r="E143" i="20"/>
  <c r="J186" i="20"/>
  <c r="H302" i="21"/>
  <c r="K299" i="20"/>
  <c r="H13" i="21"/>
  <c r="J25" i="21"/>
  <c r="L79" i="21"/>
  <c r="H187" i="21"/>
  <c r="K241" i="21"/>
  <c r="H295" i="21"/>
  <c r="G307" i="21"/>
  <c r="F361" i="21"/>
  <c r="I251" i="20"/>
  <c r="J17" i="20"/>
  <c r="H125" i="20"/>
  <c r="G245" i="20"/>
  <c r="K30" i="20"/>
  <c r="G126" i="20"/>
  <c r="H192" i="20"/>
  <c r="L246" i="20"/>
  <c r="E354" i="20"/>
  <c r="J14" i="21"/>
  <c r="L68" i="21"/>
  <c r="F134" i="21"/>
  <c r="J242" i="21"/>
  <c r="F296" i="21"/>
  <c r="E350" i="21"/>
  <c r="I362" i="21"/>
  <c r="J142" i="21"/>
  <c r="E126" i="20"/>
  <c r="F78" i="20"/>
  <c r="J252" i="20"/>
  <c r="K20" i="21"/>
  <c r="E74" i="21"/>
  <c r="E194" i="21"/>
  <c r="L356" i="21"/>
  <c r="H83" i="20"/>
  <c r="F311" i="20"/>
  <c r="L18" i="20"/>
  <c r="J138" i="20"/>
  <c r="K31" i="20"/>
  <c r="J85" i="20"/>
  <c r="I139" i="20"/>
  <c r="I193" i="20"/>
  <c r="H247" i="20"/>
  <c r="J355" i="20"/>
  <c r="K15" i="21"/>
  <c r="I27" i="21"/>
  <c r="H81" i="21"/>
  <c r="G135" i="21"/>
  <c r="G297" i="21"/>
  <c r="J351" i="21"/>
  <c r="I141" i="21"/>
  <c r="H185" i="20"/>
  <c r="G359" i="20"/>
  <c r="F190" i="20"/>
  <c r="K359" i="20"/>
  <c r="G20" i="20"/>
  <c r="G128" i="20"/>
  <c r="H194" i="20"/>
  <c r="H356" i="20"/>
  <c r="G70" i="21"/>
  <c r="E136" i="21"/>
  <c r="G298" i="21"/>
  <c r="L364" i="21"/>
  <c r="I396" i="21"/>
  <c r="G305" i="20"/>
  <c r="H128" i="21"/>
  <c r="H134" i="20"/>
  <c r="K130" i="21"/>
  <c r="I11" i="20"/>
  <c r="L189" i="20"/>
  <c r="F143" i="21"/>
  <c r="J77" i="21"/>
  <c r="L291" i="21"/>
  <c r="F298" i="20"/>
  <c r="K132" i="21"/>
  <c r="L252" i="21"/>
  <c r="J348" i="21"/>
  <c r="K360" i="21"/>
  <c r="F196" i="20"/>
  <c r="J131" i="20"/>
  <c r="G186" i="20"/>
  <c r="F302" i="21"/>
  <c r="G299" i="20"/>
  <c r="G13" i="21"/>
  <c r="G25" i="21"/>
  <c r="G79" i="21"/>
  <c r="G187" i="21"/>
  <c r="J241" i="21"/>
  <c r="K295" i="21"/>
  <c r="E307" i="21"/>
  <c r="H361" i="21"/>
  <c r="G80" i="20"/>
  <c r="K17" i="20"/>
  <c r="F125" i="20"/>
  <c r="H245" i="20"/>
  <c r="H30" i="20"/>
  <c r="I126" i="20"/>
  <c r="G192" i="20"/>
  <c r="G300" i="20"/>
  <c r="H366" i="20"/>
  <c r="H14" i="21"/>
  <c r="G68" i="21"/>
  <c r="K134" i="21"/>
  <c r="L242" i="21"/>
  <c r="I296" i="21"/>
  <c r="J350" i="21"/>
  <c r="L362" i="21"/>
  <c r="J131" i="21"/>
  <c r="F198" i="21"/>
  <c r="L198" i="20"/>
  <c r="E252" i="20"/>
  <c r="I20" i="21"/>
  <c r="J74" i="21"/>
  <c r="I194" i="21"/>
  <c r="I356" i="21"/>
  <c r="L83" i="20"/>
  <c r="K311" i="20"/>
  <c r="G18" i="20"/>
  <c r="K19" i="20"/>
  <c r="E31" i="20"/>
  <c r="L85" i="20"/>
  <c r="F139" i="20"/>
  <c r="H193" i="20"/>
  <c r="J247" i="20"/>
  <c r="E355" i="20"/>
  <c r="J15" i="21"/>
  <c r="K69" i="21"/>
  <c r="E81" i="21"/>
  <c r="H135" i="21"/>
  <c r="E297" i="21"/>
  <c r="G351" i="21"/>
  <c r="J294" i="21"/>
  <c r="I128" i="21"/>
  <c r="J185" i="20"/>
  <c r="I139" i="21"/>
  <c r="G252" i="21"/>
  <c r="K364" i="20"/>
  <c r="L20" i="20"/>
  <c r="H128" i="20"/>
  <c r="G194" i="20"/>
  <c r="F228" i="20"/>
  <c r="I359" i="20"/>
  <c r="F236" i="21"/>
  <c r="F134" i="20"/>
  <c r="G130" i="21"/>
  <c r="L11" i="20"/>
  <c r="H189" i="20"/>
  <c r="G143" i="21"/>
  <c r="E243" i="20"/>
  <c r="I291" i="21"/>
  <c r="I298" i="20"/>
  <c r="H132" i="21"/>
  <c r="H294" i="21"/>
  <c r="F348" i="21"/>
  <c r="L360" i="21"/>
  <c r="G251" i="21"/>
  <c r="H130" i="21"/>
  <c r="L186" i="20"/>
  <c r="K302" i="21"/>
  <c r="I299" i="20"/>
  <c r="K13" i="21"/>
  <c r="H25" i="21"/>
  <c r="H79" i="21"/>
  <c r="K187" i="21"/>
  <c r="L241" i="21"/>
  <c r="I295" i="21"/>
  <c r="J349" i="21"/>
  <c r="J184" i="21"/>
  <c r="I17" i="20"/>
  <c r="I125" i="20"/>
  <c r="E245" i="20"/>
  <c r="G30" i="20"/>
  <c r="F126" i="20"/>
  <c r="I192" i="20"/>
  <c r="F300" i="20"/>
  <c r="F366" i="20"/>
  <c r="H26" i="21"/>
  <c r="H68" i="21"/>
  <c r="L134" i="21"/>
  <c r="E242" i="21"/>
  <c r="K296" i="21"/>
  <c r="F350" i="21"/>
  <c r="K132" i="20"/>
  <c r="L295" i="20"/>
  <c r="I198" i="20"/>
  <c r="L252" i="20"/>
  <c r="E20" i="21"/>
  <c r="F140" i="21"/>
  <c r="J248" i="21"/>
  <c r="K356" i="21"/>
  <c r="J83" i="20"/>
  <c r="G311" i="20"/>
  <c r="E18" i="20"/>
  <c r="H19" i="20"/>
  <c r="J31" i="20"/>
  <c r="K85" i="20"/>
  <c r="L139" i="20"/>
  <c r="G193" i="20"/>
  <c r="G247" i="20"/>
  <c r="I355" i="20"/>
  <c r="I15" i="21"/>
  <c r="L69" i="21"/>
  <c r="K123" i="21"/>
  <c r="H189" i="21"/>
  <c r="K255" i="21"/>
  <c r="L309" i="21"/>
  <c r="L351" i="21"/>
  <c r="J293" i="21"/>
  <c r="K366" i="20"/>
  <c r="G185" i="20"/>
  <c r="J307" i="21"/>
  <c r="G237" i="21"/>
  <c r="G347" i="20"/>
  <c r="K20" i="20"/>
  <c r="I128" i="20"/>
  <c r="K248" i="20"/>
  <c r="J16" i="21"/>
  <c r="H70" i="21"/>
  <c r="L136" i="21"/>
  <c r="K310" i="21"/>
  <c r="G364" i="21"/>
  <c r="K249" i="20"/>
  <c r="F357" i="20"/>
  <c r="I58" i="20"/>
  <c r="K31" i="21"/>
  <c r="K187" i="20"/>
  <c r="K242" i="20"/>
  <c r="I184" i="21"/>
  <c r="L239" i="20"/>
  <c r="J255" i="20"/>
  <c r="I13" i="20"/>
  <c r="E27" i="20"/>
  <c r="H310" i="20"/>
  <c r="L294" i="21"/>
  <c r="E348" i="21"/>
  <c r="I360" i="21"/>
  <c r="G242" i="21"/>
  <c r="J183" i="20"/>
  <c r="E186" i="20"/>
  <c r="I302" i="21"/>
  <c r="H299" i="20"/>
  <c r="L13" i="21"/>
  <c r="K67" i="21"/>
  <c r="J79" i="21"/>
  <c r="I187" i="21"/>
  <c r="H241" i="21"/>
  <c r="L295" i="21"/>
  <c r="E349" i="21"/>
  <c r="K361" i="21"/>
  <c r="E142" i="20"/>
  <c r="H17" i="20"/>
  <c r="E125" i="20"/>
  <c r="J245" i="20"/>
  <c r="L30" i="20"/>
  <c r="J126" i="20"/>
  <c r="J192" i="20"/>
  <c r="I300" i="20"/>
  <c r="E366" i="20"/>
  <c r="J26" i="21"/>
  <c r="J68" i="21"/>
  <c r="G134" i="21"/>
  <c r="H242" i="21"/>
  <c r="G296" i="21"/>
  <c r="H350" i="21"/>
  <c r="F362" i="21"/>
  <c r="G82" i="20"/>
  <c r="E307" i="20"/>
  <c r="J198" i="20"/>
  <c r="G306" i="20"/>
  <c r="J20" i="21"/>
  <c r="K140" i="21"/>
  <c r="H248" i="21"/>
  <c r="L29" i="20"/>
  <c r="K83" i="20"/>
  <c r="I311" i="20"/>
  <c r="H72" i="20"/>
  <c r="G19" i="20"/>
  <c r="H31" i="20"/>
  <c r="F85" i="20"/>
  <c r="J139" i="20"/>
  <c r="K235" i="20"/>
  <c r="E247" i="20"/>
  <c r="F355" i="20"/>
  <c r="H15" i="21"/>
  <c r="G69" i="21"/>
  <c r="E123" i="21"/>
  <c r="K189" i="21"/>
  <c r="J255" i="21"/>
  <c r="H309" i="21"/>
  <c r="K351" i="21"/>
  <c r="J304" i="21"/>
  <c r="L143" i="20"/>
  <c r="K185" i="20"/>
  <c r="L367" i="20"/>
  <c r="K138" i="20"/>
  <c r="E199" i="20"/>
  <c r="H20" i="20"/>
  <c r="J128" i="20"/>
  <c r="J248" i="20"/>
  <c r="F16" i="21"/>
  <c r="J70" i="21"/>
  <c r="H136" i="21"/>
  <c r="F310" i="21"/>
  <c r="K364" i="21"/>
  <c r="J249" i="20"/>
  <c r="E357" i="20"/>
  <c r="K17" i="21"/>
  <c r="G71" i="21"/>
  <c r="E32" i="20"/>
  <c r="H73" i="21"/>
  <c r="K75" i="21"/>
  <c r="G242" i="20"/>
  <c r="G184" i="21"/>
  <c r="F25" i="20"/>
  <c r="E255" i="20"/>
  <c r="L197" i="21"/>
  <c r="E67" i="20"/>
  <c r="H69" i="20"/>
  <c r="E310" i="20"/>
  <c r="E186" i="21"/>
  <c r="K294" i="21"/>
  <c r="G348" i="21"/>
  <c r="L348" i="20"/>
  <c r="J130" i="21"/>
  <c r="F12" i="20"/>
  <c r="H186" i="20"/>
  <c r="E302" i="21"/>
  <c r="J299" i="20"/>
  <c r="F13" i="21"/>
  <c r="G67" i="21"/>
  <c r="E79" i="21"/>
  <c r="F187" i="21"/>
  <c r="E241" i="21"/>
  <c r="F295" i="21"/>
  <c r="F349" i="21"/>
  <c r="I361" i="21"/>
  <c r="L299" i="20"/>
  <c r="L17" i="20"/>
  <c r="L179" i="20"/>
  <c r="L245" i="20"/>
  <c r="J30" i="20"/>
  <c r="L180" i="20"/>
  <c r="K192" i="20"/>
  <c r="K300" i="20"/>
  <c r="I366" i="20"/>
  <c r="G26" i="21"/>
  <c r="K80" i="21"/>
  <c r="H134" i="21"/>
  <c r="K254" i="21"/>
  <c r="E296" i="21"/>
  <c r="I350" i="21"/>
  <c r="J303" i="21"/>
  <c r="J187" i="21"/>
  <c r="K186" i="20"/>
  <c r="H198" i="20"/>
  <c r="F306" i="20"/>
  <c r="H20" i="21"/>
  <c r="E140" i="21"/>
  <c r="K248" i="21"/>
  <c r="E29" i="20"/>
  <c r="F83" i="20"/>
  <c r="H311" i="20"/>
  <c r="J72" i="20"/>
  <c r="F19" i="20"/>
  <c r="L31" i="20"/>
  <c r="H127" i="20"/>
  <c r="G181" i="20"/>
  <c r="F235" i="20"/>
  <c r="L247" i="20"/>
  <c r="F367" i="20"/>
  <c r="F69" i="21"/>
  <c r="F123" i="21"/>
  <c r="L189" i="21"/>
  <c r="E255" i="21"/>
  <c r="K309" i="21"/>
  <c r="I351" i="21"/>
  <c r="I68" i="21"/>
  <c r="E139" i="20"/>
  <c r="I185" i="20"/>
  <c r="L360" i="20"/>
  <c r="I252" i="20"/>
  <c r="E191" i="20"/>
  <c r="E20" i="20"/>
  <c r="F128" i="20"/>
  <c r="G248" i="20"/>
  <c r="L16" i="21"/>
  <c r="L60" i="20"/>
  <c r="E127" i="21"/>
  <c r="I183" i="21"/>
  <c r="G254" i="20"/>
  <c r="K238" i="21"/>
  <c r="I199" i="20"/>
  <c r="G309" i="20"/>
  <c r="H239" i="21"/>
  <c r="L133" i="20"/>
  <c r="G16" i="20"/>
  <c r="J364" i="20"/>
  <c r="E294" i="21"/>
  <c r="K348" i="21"/>
  <c r="I86" i="21"/>
  <c r="K124" i="20"/>
  <c r="J12" i="20"/>
  <c r="I186" i="20"/>
  <c r="G302" i="21"/>
  <c r="H365" i="20"/>
  <c r="I13" i="21"/>
  <c r="F67" i="21"/>
  <c r="F133" i="21"/>
  <c r="E187" i="21"/>
  <c r="F241" i="21"/>
  <c r="G295" i="21"/>
  <c r="H349" i="21"/>
  <c r="L352" i="20"/>
  <c r="E87" i="21"/>
  <c r="E71" i="20"/>
  <c r="J179" i="20"/>
  <c r="H353" i="20"/>
  <c r="E30" i="20"/>
  <c r="J180" i="20"/>
  <c r="E192" i="20"/>
  <c r="H300" i="20"/>
  <c r="J366" i="20"/>
  <c r="F26" i="21"/>
  <c r="G80" i="21"/>
  <c r="K188" i="21"/>
  <c r="J254" i="21"/>
  <c r="L308" i="21"/>
  <c r="G350" i="21"/>
  <c r="J301" i="21"/>
  <c r="J193" i="21"/>
  <c r="E301" i="21"/>
  <c r="K198" i="20"/>
  <c r="K306" i="20"/>
  <c r="G20" i="21"/>
  <c r="L140" i="21"/>
  <c r="L248" i="21"/>
  <c r="J29" i="20"/>
  <c r="H137" i="20"/>
  <c r="J311" i="20"/>
  <c r="E72" i="20"/>
  <c r="L19" i="20"/>
  <c r="H73" i="20"/>
  <c r="G127" i="20"/>
  <c r="L181" i="20"/>
  <c r="G235" i="20"/>
  <c r="F301" i="20"/>
  <c r="E367" i="20"/>
  <c r="F27" i="21"/>
  <c r="H69" i="21"/>
  <c r="G123" i="21"/>
  <c r="G189" i="21"/>
  <c r="H255" i="21"/>
  <c r="F309" i="21"/>
  <c r="E363" i="21"/>
  <c r="G235" i="21"/>
  <c r="E189" i="20"/>
  <c r="J247" i="21"/>
  <c r="I79" i="21"/>
  <c r="G83" i="20"/>
  <c r="F182" i="21"/>
  <c r="J20" i="20"/>
  <c r="H140" i="20"/>
  <c r="H248" i="20"/>
  <c r="H16" i="21"/>
  <c r="K82" i="21"/>
  <c r="F136" i="21"/>
  <c r="L310" i="21"/>
  <c r="H129" i="20"/>
  <c r="L249" i="20"/>
  <c r="G357" i="20"/>
  <c r="I82" i="21"/>
  <c r="K181" i="21"/>
  <c r="J249" i="21"/>
  <c r="K296" i="20"/>
  <c r="E238" i="21"/>
  <c r="K199" i="20"/>
  <c r="I309" i="20"/>
  <c r="K251" i="21"/>
  <c r="E241" i="20"/>
  <c r="E16" i="20"/>
  <c r="E364" i="20"/>
  <c r="L198" i="21"/>
  <c r="L306" i="21"/>
  <c r="L348" i="21"/>
  <c r="I77" i="21"/>
  <c r="I242" i="20"/>
  <c r="K12" i="20"/>
  <c r="E360" i="20"/>
  <c r="L191" i="20"/>
  <c r="I365" i="20"/>
  <c r="J13" i="21"/>
  <c r="L67" i="21"/>
  <c r="E133" i="21"/>
  <c r="K199" i="21"/>
  <c r="J253" i="21"/>
  <c r="E295" i="21"/>
  <c r="L349" i="21"/>
  <c r="L351" i="20"/>
  <c r="G303" i="21"/>
  <c r="H71" i="20"/>
  <c r="G179" i="20"/>
  <c r="I353" i="20"/>
  <c r="E84" i="20"/>
  <c r="G180" i="20"/>
  <c r="F246" i="20"/>
  <c r="J300" i="20"/>
  <c r="I26" i="21"/>
  <c r="F80" i="21"/>
  <c r="H188" i="21"/>
  <c r="L254" i="21"/>
  <c r="F308" i="21"/>
  <c r="K350" i="21"/>
  <c r="L354" i="20"/>
  <c r="I137" i="21"/>
  <c r="I347" i="20"/>
  <c r="E198" i="20"/>
  <c r="H306" i="20"/>
  <c r="L20" i="21"/>
  <c r="G140" i="21"/>
  <c r="G29" i="20"/>
  <c r="G137" i="20"/>
  <c r="E311" i="20"/>
  <c r="L72" i="20"/>
  <c r="E19" i="20"/>
  <c r="E73" i="20"/>
  <c r="F127" i="20"/>
  <c r="I181" i="20"/>
  <c r="E235" i="20"/>
  <c r="G301" i="20"/>
  <c r="I367" i="20"/>
  <c r="L27" i="21"/>
  <c r="J69" i="21"/>
  <c r="L123" i="21"/>
  <c r="F189" i="21"/>
  <c r="L255" i="21"/>
  <c r="I309" i="21"/>
  <c r="F363" i="21"/>
  <c r="J134" i="21"/>
  <c r="F183" i="21"/>
  <c r="K247" i="21"/>
  <c r="I249" i="21"/>
  <c r="G69" i="20"/>
  <c r="L310" i="20"/>
  <c r="F20" i="20"/>
  <c r="G140" i="20"/>
  <c r="F248" i="20"/>
  <c r="I16" i="21"/>
  <c r="L82" i="21"/>
  <c r="F298" i="21"/>
  <c r="E310" i="21"/>
  <c r="F129" i="20"/>
  <c r="G93" i="20"/>
  <c r="L235" i="21"/>
  <c r="E303" i="21"/>
  <c r="F308" i="20"/>
  <c r="L292" i="21"/>
  <c r="F361" i="20"/>
  <c r="G351" i="20"/>
  <c r="I293" i="21"/>
  <c r="H307" i="20"/>
  <c r="E70" i="20"/>
  <c r="K12" i="21"/>
  <c r="E198" i="21"/>
  <c r="H306" i="21"/>
  <c r="I348" i="21"/>
  <c r="I73" i="21"/>
  <c r="I127" i="21"/>
  <c r="L12" i="20"/>
  <c r="F360" i="20"/>
  <c r="J191" i="20"/>
  <c r="E365" i="20"/>
  <c r="F25" i="21"/>
  <c r="H67" i="21"/>
  <c r="K133" i="21"/>
  <c r="L199" i="21"/>
  <c r="K253" i="21"/>
  <c r="F307" i="21"/>
  <c r="I349" i="21"/>
  <c r="I79" i="20"/>
  <c r="G191" i="20"/>
  <c r="J71" i="20"/>
  <c r="I179" i="20"/>
  <c r="F353" i="20"/>
  <c r="J84" i="20"/>
  <c r="H180" i="20"/>
  <c r="K246" i="20"/>
  <c r="E300" i="20"/>
  <c r="K14" i="21"/>
  <c r="K26" i="21"/>
  <c r="L80" i="21"/>
  <c r="L188" i="21"/>
  <c r="H254" i="21"/>
  <c r="H308" i="21"/>
  <c r="L350" i="21"/>
  <c r="I241" i="21"/>
  <c r="K352" i="20"/>
  <c r="H78" i="20"/>
  <c r="G198" i="20"/>
  <c r="J306" i="20"/>
  <c r="K74" i="21"/>
  <c r="H140" i="21"/>
  <c r="F248" i="21"/>
  <c r="K29" i="20"/>
  <c r="I137" i="20"/>
  <c r="K18" i="20"/>
  <c r="K72" i="20"/>
  <c r="I19" i="20"/>
  <c r="L73" i="20"/>
  <c r="I127" i="20"/>
  <c r="K181" i="20"/>
  <c r="J235" i="20"/>
  <c r="I301" i="20"/>
  <c r="J367" i="20"/>
  <c r="H27" i="21"/>
  <c r="E69" i="21"/>
  <c r="H123" i="21"/>
  <c r="E189" i="21"/>
  <c r="F255" i="21"/>
  <c r="G309" i="21"/>
  <c r="H363" i="21"/>
  <c r="K133" i="20"/>
  <c r="L301" i="20"/>
  <c r="I250" i="21"/>
  <c r="J181" i="21"/>
  <c r="G294" i="21"/>
  <c r="H86" i="20"/>
  <c r="F140" i="20"/>
  <c r="E248" i="20"/>
  <c r="K194" i="20"/>
  <c r="H355" i="21"/>
  <c r="E357" i="21"/>
  <c r="H308" i="20"/>
  <c r="K292" i="21"/>
  <c r="J361" i="20"/>
  <c r="K351" i="20"/>
  <c r="E293" i="21"/>
  <c r="L307" i="20"/>
  <c r="J70" i="20"/>
  <c r="G24" i="21"/>
  <c r="K240" i="21"/>
  <c r="F306" i="21"/>
  <c r="J360" i="21"/>
  <c r="I238" i="21"/>
  <c r="I131" i="21"/>
  <c r="I12" i="20"/>
  <c r="H360" i="20"/>
  <c r="K191" i="20"/>
  <c r="F365" i="20"/>
  <c r="L25" i="21"/>
  <c r="E67" i="21"/>
  <c r="L133" i="21"/>
  <c r="H199" i="21"/>
  <c r="H253" i="21"/>
  <c r="H307" i="21"/>
  <c r="G349" i="21"/>
  <c r="J136" i="21"/>
  <c r="K297" i="21"/>
  <c r="L71" i="20"/>
  <c r="K179" i="20"/>
  <c r="J353" i="20"/>
  <c r="L84" i="20"/>
  <c r="K180" i="20"/>
  <c r="J246" i="20"/>
  <c r="I354" i="20"/>
  <c r="L26" i="21"/>
  <c r="H80" i="21"/>
  <c r="I188" i="21"/>
  <c r="E254" i="21"/>
  <c r="I308" i="21"/>
  <c r="H362" i="21"/>
  <c r="I252" i="21"/>
  <c r="K360" i="20"/>
  <c r="E78" i="20"/>
  <c r="K252" i="20"/>
  <c r="I306" i="20"/>
  <c r="L74" i="21"/>
  <c r="L194" i="21"/>
  <c r="I29" i="20"/>
  <c r="F137" i="20"/>
  <c r="F18" i="20"/>
  <c r="H138" i="20"/>
  <c r="J19" i="20"/>
  <c r="J73" i="20"/>
  <c r="L127" i="20"/>
  <c r="J181" i="20"/>
  <c r="L235" i="20"/>
  <c r="K301" i="20"/>
  <c r="H367" i="20"/>
  <c r="G27" i="21"/>
  <c r="K81" i="21"/>
  <c r="K135" i="21"/>
  <c r="K243" i="21"/>
  <c r="F297" i="21"/>
  <c r="E309" i="21"/>
  <c r="J363" i="21"/>
  <c r="K135" i="20"/>
  <c r="J124" i="20"/>
  <c r="H247" i="21"/>
  <c r="I67" i="20"/>
  <c r="J185" i="21"/>
  <c r="I247" i="21"/>
  <c r="E86" i="20"/>
  <c r="J140" i="20"/>
  <c r="L248" i="20"/>
  <c r="G16" i="21"/>
  <c r="F82" i="21"/>
  <c r="H298" i="21"/>
  <c r="H364" i="21"/>
  <c r="L195" i="20"/>
  <c r="G303" i="20"/>
  <c r="J129" i="20"/>
  <c r="I306" i="21"/>
  <c r="L253" i="21"/>
  <c r="L14" i="21"/>
  <c r="G74" i="21"/>
  <c r="J301" i="20"/>
  <c r="I85" i="20"/>
  <c r="H82" i="21"/>
  <c r="I195" i="20"/>
  <c r="I357" i="20"/>
  <c r="E29" i="21"/>
  <c r="J83" i="21"/>
  <c r="G137" i="21"/>
  <c r="I191" i="21"/>
  <c r="L299" i="21"/>
  <c r="E353" i="21"/>
  <c r="K365" i="21"/>
  <c r="I78" i="21"/>
  <c r="J183" i="21"/>
  <c r="J125" i="20"/>
  <c r="K182" i="20"/>
  <c r="K302" i="20"/>
  <c r="H28" i="21"/>
  <c r="E190" i="21"/>
  <c r="K352" i="21"/>
  <c r="H75" i="20"/>
  <c r="H141" i="20"/>
  <c r="E237" i="20"/>
  <c r="E291" i="20"/>
  <c r="L76" i="20"/>
  <c r="F142" i="20"/>
  <c r="I196" i="20"/>
  <c r="H250" i="20"/>
  <c r="G304" i="20"/>
  <c r="J358" i="20"/>
  <c r="J30" i="21"/>
  <c r="K84" i="21"/>
  <c r="H126" i="21"/>
  <c r="F180" i="21"/>
  <c r="E246" i="21"/>
  <c r="E354" i="21"/>
  <c r="F192" i="20"/>
  <c r="J186" i="21"/>
  <c r="F194" i="21"/>
  <c r="G82" i="21"/>
  <c r="G72" i="20"/>
  <c r="H291" i="20"/>
  <c r="H354" i="21"/>
  <c r="I367" i="21"/>
  <c r="H360" i="21"/>
  <c r="L307" i="21"/>
  <c r="E26" i="21"/>
  <c r="K194" i="21"/>
  <c r="I133" i="21"/>
  <c r="K136" i="21"/>
  <c r="J195" i="20"/>
  <c r="H17" i="21"/>
  <c r="K71" i="21"/>
  <c r="E83" i="21"/>
  <c r="H137" i="21"/>
  <c r="G191" i="21"/>
  <c r="I299" i="21"/>
  <c r="J353" i="21"/>
  <c r="I235" i="21"/>
  <c r="J188" i="21"/>
  <c r="L255" i="20"/>
  <c r="L182" i="20"/>
  <c r="J302" i="20"/>
  <c r="K124" i="21"/>
  <c r="K244" i="21"/>
  <c r="F352" i="21"/>
  <c r="L75" i="20"/>
  <c r="I141" i="20"/>
  <c r="J237" i="20"/>
  <c r="J22" i="20"/>
  <c r="F76" i="20"/>
  <c r="J142" i="20"/>
  <c r="G196" i="20"/>
  <c r="L250" i="20"/>
  <c r="I304" i="20"/>
  <c r="K358" i="20"/>
  <c r="I30" i="21"/>
  <c r="F84" i="21"/>
  <c r="K138" i="21"/>
  <c r="E180" i="21"/>
  <c r="H246" i="21"/>
  <c r="J354" i="21"/>
  <c r="I366" i="21"/>
  <c r="F197" i="20"/>
  <c r="J191" i="21"/>
  <c r="E301" i="20"/>
  <c r="E306" i="20"/>
  <c r="G311" i="21"/>
  <c r="F237" i="20"/>
  <c r="G180" i="21"/>
  <c r="J14" i="20"/>
  <c r="I75" i="20"/>
  <c r="K349" i="21"/>
  <c r="J80" i="21"/>
  <c r="H356" i="21"/>
  <c r="E27" i="21"/>
  <c r="F181" i="21"/>
  <c r="G136" i="21"/>
  <c r="F249" i="20"/>
  <c r="G17" i="21"/>
  <c r="L71" i="21"/>
  <c r="E125" i="21"/>
  <c r="K179" i="21"/>
  <c r="E191" i="21"/>
  <c r="K299" i="21"/>
  <c r="F353" i="21"/>
  <c r="L365" i="21"/>
  <c r="I242" i="21"/>
  <c r="I142" i="21"/>
  <c r="G187" i="20"/>
  <c r="H182" i="20"/>
  <c r="H302" i="20"/>
  <c r="E124" i="21"/>
  <c r="J244" i="21"/>
  <c r="L352" i="21"/>
  <c r="J75" i="20"/>
  <c r="F141" i="20"/>
  <c r="H237" i="20"/>
  <c r="H22" i="20"/>
  <c r="K76" i="20"/>
  <c r="I142" i="20"/>
  <c r="K238" i="20"/>
  <c r="J250" i="20"/>
  <c r="F304" i="20"/>
  <c r="G18" i="21"/>
  <c r="L30" i="21"/>
  <c r="L84" i="21"/>
  <c r="G138" i="21"/>
  <c r="K192" i="21"/>
  <c r="K354" i="21"/>
  <c r="J291" i="21"/>
  <c r="G238" i="21"/>
  <c r="I138" i="21"/>
  <c r="K188" i="20"/>
  <c r="E181" i="21"/>
  <c r="I199" i="21"/>
  <c r="G190" i="21"/>
  <c r="I358" i="20"/>
  <c r="G78" i="20"/>
  <c r="J350" i="20"/>
  <c r="K348" i="20"/>
  <c r="J141" i="21"/>
  <c r="G188" i="21"/>
  <c r="H29" i="20"/>
  <c r="F81" i="21"/>
  <c r="J86" i="20"/>
  <c r="L298" i="21"/>
  <c r="G249" i="20"/>
  <c r="E17" i="21"/>
  <c r="H71" i="21"/>
  <c r="F125" i="21"/>
  <c r="H179" i="21"/>
  <c r="F191" i="21"/>
  <c r="G299" i="21"/>
  <c r="H353" i="21"/>
  <c r="I365" i="21"/>
  <c r="I70" i="20"/>
  <c r="I134" i="21"/>
  <c r="L361" i="21"/>
  <c r="I182" i="20"/>
  <c r="E302" i="20"/>
  <c r="L244" i="21"/>
  <c r="E21" i="20"/>
  <c r="F75" i="20"/>
  <c r="J141" i="20"/>
  <c r="G237" i="20"/>
  <c r="G22" i="20"/>
  <c r="G130" i="20"/>
  <c r="H184" i="20"/>
  <c r="F238" i="20"/>
  <c r="E250" i="20"/>
  <c r="K304" i="20"/>
  <c r="K18" i="21"/>
  <c r="H30" i="21"/>
  <c r="G84" i="21"/>
  <c r="L138" i="21"/>
  <c r="L192" i="21"/>
  <c r="F300" i="21"/>
  <c r="L354" i="21"/>
  <c r="L366" i="20"/>
  <c r="G253" i="21"/>
  <c r="K349" i="20"/>
  <c r="H83" i="21"/>
  <c r="I302" i="20"/>
  <c r="L292" i="20"/>
  <c r="E181" i="20"/>
  <c r="G304" i="21"/>
  <c r="G12" i="20"/>
  <c r="G17" i="20"/>
  <c r="F254" i="21"/>
  <c r="E137" i="20"/>
  <c r="E135" i="21"/>
  <c r="J194" i="20"/>
  <c r="K298" i="21"/>
  <c r="H249" i="20"/>
  <c r="F17" i="21"/>
  <c r="F71" i="21"/>
  <c r="K125" i="21"/>
  <c r="L179" i="21"/>
  <c r="J245" i="21"/>
  <c r="E299" i="21"/>
  <c r="L353" i="21"/>
  <c r="J305" i="21"/>
  <c r="F189" i="20"/>
  <c r="G353" i="20"/>
  <c r="E74" i="20"/>
  <c r="F236" i="20"/>
  <c r="L302" i="20"/>
  <c r="E244" i="21"/>
  <c r="L21" i="20"/>
  <c r="K75" i="20"/>
  <c r="E141" i="20"/>
  <c r="K237" i="20"/>
  <c r="F22" i="20"/>
  <c r="H130" i="20"/>
  <c r="G184" i="20"/>
  <c r="J238" i="20"/>
  <c r="G292" i="20"/>
  <c r="J304" i="20"/>
  <c r="L18" i="21"/>
  <c r="G30" i="21"/>
  <c r="H84" i="21"/>
  <c r="E138" i="21"/>
  <c r="H192" i="21"/>
  <c r="L300" i="21"/>
  <c r="I354" i="21"/>
  <c r="L350" i="20"/>
  <c r="J133" i="21"/>
  <c r="K347" i="20"/>
  <c r="F72" i="20"/>
  <c r="J354" i="20"/>
  <c r="H299" i="21"/>
  <c r="E75" i="20"/>
  <c r="E30" i="21"/>
  <c r="L15" i="20"/>
  <c r="J360" i="20"/>
  <c r="K71" i="20"/>
  <c r="K308" i="21"/>
  <c r="J18" i="20"/>
  <c r="J243" i="21"/>
  <c r="F356" i="20"/>
  <c r="H310" i="21"/>
  <c r="E249" i="20"/>
  <c r="J17" i="21"/>
  <c r="J71" i="21"/>
  <c r="L125" i="21"/>
  <c r="G179" i="21"/>
  <c r="H245" i="21"/>
  <c r="F311" i="21"/>
  <c r="G353" i="21"/>
  <c r="J310" i="21"/>
  <c r="F193" i="20"/>
  <c r="G361" i="20"/>
  <c r="H74" i="20"/>
  <c r="K236" i="20"/>
  <c r="F28" i="21"/>
  <c r="H124" i="21"/>
  <c r="H244" i="21"/>
  <c r="K21" i="20"/>
  <c r="H87" i="20"/>
  <c r="L183" i="20"/>
  <c r="L237" i="20"/>
  <c r="K22" i="20"/>
  <c r="F130" i="20"/>
  <c r="I184" i="20"/>
  <c r="G238" i="20"/>
  <c r="K292" i="20"/>
  <c r="H304" i="20"/>
  <c r="I18" i="21"/>
  <c r="K30" i="21"/>
  <c r="E84" i="21"/>
  <c r="F138" i="21"/>
  <c r="G192" i="21"/>
  <c r="H300" i="21"/>
  <c r="G354" i="21"/>
  <c r="I75" i="21"/>
  <c r="J143" i="21"/>
  <c r="G354" i="20"/>
  <c r="H129" i="21"/>
  <c r="J357" i="20"/>
  <c r="I67" i="21"/>
  <c r="J76" i="20"/>
  <c r="L246" i="21"/>
  <c r="F11" i="21"/>
  <c r="H191" i="20"/>
  <c r="E179" i="20"/>
  <c r="J362" i="21"/>
  <c r="G138" i="20"/>
  <c r="L297" i="21"/>
  <c r="I356" i="20"/>
  <c r="I310" i="21"/>
  <c r="F303" i="20"/>
  <c r="I29" i="21"/>
  <c r="E71" i="21"/>
  <c r="G125" i="21"/>
  <c r="F179" i="21"/>
  <c r="L245" i="21"/>
  <c r="H311" i="21"/>
  <c r="I353" i="21"/>
  <c r="L361" i="20"/>
  <c r="J127" i="21"/>
  <c r="L126" i="20"/>
  <c r="L74" i="20"/>
  <c r="J236" i="20"/>
  <c r="I28" i="21"/>
  <c r="L124" i="21"/>
  <c r="F244" i="21"/>
  <c r="J21" i="20"/>
  <c r="E87" i="20"/>
  <c r="K183" i="20"/>
  <c r="F291" i="20"/>
  <c r="E22" i="20"/>
  <c r="I130" i="20"/>
  <c r="J184" i="20"/>
  <c r="E238" i="20"/>
  <c r="I292" i="20"/>
  <c r="L304" i="20"/>
  <c r="J18" i="21"/>
  <c r="K72" i="21"/>
  <c r="J84" i="21"/>
  <c r="H138" i="21"/>
  <c r="E192" i="21"/>
  <c r="K300" i="21"/>
  <c r="I87" i="21"/>
  <c r="K136" i="20"/>
  <c r="G349" i="20"/>
  <c r="L128" i="21"/>
  <c r="L247" i="21"/>
  <c r="F188" i="21"/>
  <c r="H142" i="20"/>
  <c r="F188" i="20"/>
  <c r="J347" i="21"/>
  <c r="K365" i="20"/>
  <c r="E353" i="20"/>
  <c r="I86" i="20"/>
  <c r="G31" i="20"/>
  <c r="H351" i="21"/>
  <c r="K16" i="21"/>
  <c r="G310" i="21"/>
  <c r="J303" i="20"/>
  <c r="F29" i="21"/>
  <c r="K83" i="21"/>
  <c r="H125" i="21"/>
  <c r="I179" i="21"/>
  <c r="K245" i="21"/>
  <c r="K311" i="21"/>
  <c r="K353" i="21"/>
  <c r="L364" i="20"/>
  <c r="J140" i="21"/>
  <c r="L136" i="20"/>
  <c r="J74" i="20"/>
  <c r="E236" i="20"/>
  <c r="E28" i="21"/>
  <c r="K190" i="21"/>
  <c r="H352" i="21"/>
  <c r="I21" i="20"/>
  <c r="L87" i="20"/>
  <c r="G183" i="20"/>
  <c r="K291" i="20"/>
  <c r="I22" i="20"/>
  <c r="J130" i="20"/>
  <c r="K184" i="20"/>
  <c r="L238" i="20"/>
  <c r="F292" i="20"/>
  <c r="E304" i="20"/>
  <c r="H18" i="21"/>
  <c r="L72" i="21"/>
  <c r="F126" i="21"/>
  <c r="K180" i="21"/>
  <c r="F192" i="21"/>
  <c r="E300" i="21"/>
  <c r="J366" i="21"/>
  <c r="I254" i="21"/>
  <c r="I237" i="20"/>
  <c r="G356" i="20"/>
  <c r="I129" i="20"/>
  <c r="J365" i="21"/>
  <c r="G141" i="20"/>
  <c r="G126" i="21"/>
  <c r="L87" i="21"/>
  <c r="I25" i="21"/>
  <c r="H84" i="20"/>
  <c r="G360" i="20"/>
  <c r="F73" i="20"/>
  <c r="K363" i="21"/>
  <c r="E16" i="21"/>
  <c r="J364" i="21"/>
  <c r="H303" i="20"/>
  <c r="L29" i="21"/>
  <c r="G83" i="21"/>
  <c r="E137" i="21"/>
  <c r="E179" i="21"/>
  <c r="E245" i="21"/>
  <c r="L311" i="21"/>
  <c r="L363" i="20"/>
  <c r="K139" i="20"/>
  <c r="E132" i="20"/>
  <c r="K74" i="20"/>
  <c r="L236" i="20"/>
  <c r="L28" i="21"/>
  <c r="L190" i="21"/>
  <c r="J352" i="21"/>
  <c r="F21" i="20"/>
  <c r="J87" i="20"/>
  <c r="E183" i="20"/>
  <c r="I291" i="20"/>
  <c r="L22" i="20"/>
  <c r="E130" i="20"/>
  <c r="L184" i="20"/>
  <c r="H238" i="20"/>
  <c r="J292" i="20"/>
  <c r="H358" i="20"/>
  <c r="E18" i="21"/>
  <c r="E126" i="21"/>
  <c r="H180" i="21"/>
  <c r="I192" i="21"/>
  <c r="G300" i="21"/>
  <c r="H366" i="21"/>
  <c r="I246" i="21"/>
  <c r="I244" i="20"/>
  <c r="G364" i="20"/>
  <c r="K29" i="21"/>
  <c r="G182" i="20"/>
  <c r="L196" i="20"/>
  <c r="L366" i="21"/>
  <c r="G124" i="20"/>
  <c r="J67" i="21"/>
  <c r="E180" i="20"/>
  <c r="L78" i="20"/>
  <c r="E127" i="20"/>
  <c r="I243" i="20"/>
  <c r="F70" i="21"/>
  <c r="I364" i="21"/>
  <c r="H357" i="20"/>
  <c r="H29" i="21"/>
  <c r="F83" i="21"/>
  <c r="F137" i="21"/>
  <c r="K191" i="21"/>
  <c r="F245" i="21"/>
  <c r="I311" i="21"/>
  <c r="H365" i="21"/>
  <c r="L347" i="20"/>
  <c r="I255" i="20"/>
  <c r="E138" i="20"/>
  <c r="F74" i="20"/>
  <c r="G302" i="20"/>
  <c r="K28" i="21"/>
  <c r="H190" i="21"/>
  <c r="E352" i="21"/>
  <c r="H21" i="20"/>
  <c r="F87" i="20"/>
  <c r="I183" i="20"/>
  <c r="G291" i="20"/>
  <c r="E76" i="20"/>
  <c r="L130" i="20"/>
  <c r="J196" i="20"/>
  <c r="F250" i="20"/>
  <c r="H292" i="20"/>
  <c r="F358" i="20"/>
  <c r="F18" i="21"/>
  <c r="F72" i="21"/>
  <c r="K126" i="21"/>
  <c r="L180" i="21"/>
  <c r="J246" i="21"/>
  <c r="I300" i="21"/>
  <c r="I251" i="21"/>
  <c r="G76" i="20"/>
  <c r="L131" i="20"/>
  <c r="L137" i="21"/>
  <c r="G28" i="21"/>
  <c r="G250" i="20"/>
  <c r="F24" i="21"/>
  <c r="G133" i="21"/>
  <c r="G246" i="20"/>
  <c r="F252" i="20"/>
  <c r="J193" i="20"/>
  <c r="F84" i="20"/>
  <c r="E70" i="21"/>
  <c r="G129" i="20"/>
  <c r="K357" i="20"/>
  <c r="J29" i="21"/>
  <c r="L83" i="21"/>
  <c r="K137" i="21"/>
  <c r="L191" i="21"/>
  <c r="F299" i="21"/>
  <c r="E311" i="21"/>
  <c r="I69" i="21"/>
  <c r="I241" i="20"/>
  <c r="E194" i="20"/>
  <c r="J182" i="20"/>
  <c r="F302" i="20"/>
  <c r="J28" i="21"/>
  <c r="I190" i="21"/>
  <c r="G352" i="21"/>
  <c r="G21" i="20"/>
  <c r="K87" i="20"/>
  <c r="H183" i="20"/>
  <c r="J291" i="20"/>
  <c r="H76" i="20"/>
  <c r="G142" i="20"/>
  <c r="H196" i="20"/>
  <c r="K250" i="20"/>
  <c r="E292" i="20"/>
  <c r="E358" i="20"/>
  <c r="F30" i="21"/>
  <c r="J72" i="21"/>
  <c r="L126" i="21"/>
  <c r="I180" i="21"/>
  <c r="K246" i="21"/>
  <c r="F354" i="21"/>
  <c r="K366" i="21"/>
  <c r="I73" i="20"/>
  <c r="G77" i="20"/>
  <c r="E140" i="20"/>
  <c r="E240" i="21"/>
  <c r="H235" i="20"/>
  <c r="H191" i="21"/>
  <c r="I352" i="21"/>
  <c r="H72" i="21"/>
  <c r="G166" i="15"/>
  <c r="G148" i="15"/>
  <c r="L157" i="15"/>
  <c r="J158" i="15"/>
  <c r="L167" i="15"/>
  <c r="L153" i="15"/>
  <c r="K153" i="15"/>
  <c r="L163" i="15"/>
  <c r="E164" i="15"/>
  <c r="E150" i="15"/>
  <c r="E158" i="15"/>
  <c r="I163" i="15"/>
  <c r="F169" i="15"/>
  <c r="F148" i="15"/>
  <c r="E157" i="15"/>
  <c r="I159" i="15"/>
  <c r="I220" i="15"/>
  <c r="I217" i="15"/>
  <c r="I214" i="15"/>
  <c r="H224" i="15"/>
  <c r="H208" i="15"/>
  <c r="H205" i="15"/>
  <c r="K204" i="15"/>
  <c r="K227" i="15"/>
  <c r="K218" i="15"/>
  <c r="K209" i="15"/>
  <c r="F222" i="15"/>
  <c r="H220" i="15"/>
  <c r="H228" i="15"/>
  <c r="E223" i="15"/>
  <c r="J208" i="15"/>
  <c r="G228" i="15"/>
  <c r="I203" i="15"/>
  <c r="G221" i="15"/>
  <c r="H41" i="15"/>
  <c r="F55" i="15"/>
  <c r="E43" i="15"/>
  <c r="E40" i="15"/>
  <c r="H52" i="15"/>
  <c r="G49" i="15"/>
  <c r="E44" i="15"/>
  <c r="F41" i="15"/>
  <c r="L40" i="15"/>
  <c r="K60" i="15"/>
  <c r="K52" i="15"/>
  <c r="K49" i="15"/>
  <c r="J45" i="15"/>
  <c r="J42" i="15"/>
  <c r="K45" i="15"/>
  <c r="J44" i="15"/>
  <c r="L50" i="15"/>
  <c r="I273" i="15"/>
  <c r="E275" i="15"/>
  <c r="G273" i="15"/>
  <c r="H283" i="15"/>
  <c r="F270" i="15"/>
  <c r="I280" i="15"/>
  <c r="E279" i="15"/>
  <c r="I272" i="15"/>
  <c r="J265" i="15"/>
  <c r="G280" i="15"/>
  <c r="L270" i="15"/>
  <c r="I262" i="15"/>
  <c r="K279" i="15"/>
  <c r="K273" i="15"/>
  <c r="L278" i="15"/>
  <c r="K264" i="15"/>
  <c r="K260" i="15"/>
  <c r="L113" i="15"/>
  <c r="K104" i="15"/>
  <c r="L101" i="15"/>
  <c r="J93" i="15"/>
  <c r="K111" i="15"/>
  <c r="L97" i="15"/>
  <c r="H95" i="15"/>
  <c r="H102" i="15"/>
  <c r="H109" i="15"/>
  <c r="H106" i="15"/>
  <c r="I110" i="15"/>
  <c r="G103" i="15"/>
  <c r="E97" i="15"/>
  <c r="E114" i="15"/>
  <c r="F101" i="15"/>
  <c r="G155" i="15"/>
  <c r="G162" i="15"/>
  <c r="L168" i="15"/>
  <c r="J163" i="15"/>
  <c r="L150" i="15"/>
  <c r="K167" i="15"/>
  <c r="I162" i="15"/>
  <c r="L149" i="15"/>
  <c r="E153" i="15"/>
  <c r="F170" i="15"/>
  <c r="E147" i="15"/>
  <c r="K170" i="15"/>
  <c r="H150" i="15"/>
  <c r="F149" i="15"/>
  <c r="E168" i="15"/>
  <c r="F150" i="15"/>
  <c r="I170" i="15"/>
  <c r="I222" i="15"/>
  <c r="I213" i="15"/>
  <c r="I204" i="15"/>
  <c r="I211" i="15"/>
  <c r="H215" i="15"/>
  <c r="H206" i="15"/>
  <c r="K221" i="15"/>
  <c r="K212" i="15"/>
  <c r="K203" i="15"/>
  <c r="K223" i="15"/>
  <c r="K225" i="15"/>
  <c r="E207" i="15"/>
  <c r="G206" i="15"/>
  <c r="E217" i="15"/>
  <c r="L215" i="15"/>
  <c r="E219" i="15"/>
  <c r="I209" i="15"/>
  <c r="G207" i="15"/>
  <c r="H56" i="15"/>
  <c r="F36" i="15"/>
  <c r="H58" i="15"/>
  <c r="H55" i="15"/>
  <c r="H48" i="15"/>
  <c r="G41" i="15"/>
  <c r="E36" i="15"/>
  <c r="F57" i="15"/>
  <c r="L42" i="15"/>
  <c r="K55" i="15"/>
  <c r="J51" i="15"/>
  <c r="J48" i="15"/>
  <c r="J40" i="15"/>
  <c r="J47" i="15"/>
  <c r="J39" i="15"/>
  <c r="I37" i="15"/>
  <c r="L45" i="15"/>
  <c r="I260" i="15"/>
  <c r="E280" i="15"/>
  <c r="J260" i="15"/>
  <c r="H273" i="15"/>
  <c r="L260" i="15"/>
  <c r="I278" i="15"/>
  <c r="E268" i="15"/>
  <c r="F269" i="15"/>
  <c r="E273" i="15"/>
  <c r="G263" i="15"/>
  <c r="L265" i="15"/>
  <c r="I263" i="15"/>
  <c r="K280" i="15"/>
  <c r="K274" i="15"/>
  <c r="H260" i="15"/>
  <c r="K265" i="15"/>
  <c r="L264" i="15"/>
  <c r="L102" i="15"/>
  <c r="K93" i="15"/>
  <c r="L115" i="15"/>
  <c r="J109" i="15"/>
  <c r="K100" i="15"/>
  <c r="K116" i="15"/>
  <c r="G100" i="15"/>
  <c r="H92" i="15"/>
  <c r="H99" i="15"/>
  <c r="G163" i="15"/>
  <c r="G171" i="15"/>
  <c r="K149" i="15"/>
  <c r="L151" i="15"/>
  <c r="K166" i="15"/>
  <c r="K156" i="15"/>
  <c r="J169" i="15"/>
  <c r="K155" i="15"/>
  <c r="J150" i="15"/>
  <c r="E160" i="15"/>
  <c r="L171" i="15"/>
  <c r="K147" i="15"/>
  <c r="H164" i="15"/>
  <c r="E171" i="15"/>
  <c r="E154" i="15"/>
  <c r="I168" i="15"/>
  <c r="H171" i="15"/>
  <c r="J218" i="15"/>
  <c r="J209" i="15"/>
  <c r="J228" i="15"/>
  <c r="I224" i="15"/>
  <c r="I208" i="15"/>
  <c r="I205" i="15"/>
  <c r="I225" i="15"/>
  <c r="H216" i="15"/>
  <c r="H207" i="15"/>
  <c r="H227" i="15"/>
  <c r="K211" i="15"/>
  <c r="H218" i="15"/>
  <c r="G204" i="15"/>
  <c r="G218" i="15"/>
  <c r="K220" i="15"/>
  <c r="E227" i="15"/>
  <c r="L219" i="15"/>
  <c r="E210" i="15"/>
  <c r="G56" i="15"/>
  <c r="E54" i="15"/>
  <c r="H54" i="15"/>
  <c r="H51" i="15"/>
  <c r="H35" i="15"/>
  <c r="F50" i="15"/>
  <c r="H45" i="15"/>
  <c r="E38" i="15"/>
  <c r="K58" i="15"/>
  <c r="J54" i="15"/>
  <c r="J53" i="15"/>
  <c r="J50" i="15"/>
  <c r="I57" i="15"/>
  <c r="I54" i="15"/>
  <c r="J35" i="15"/>
  <c r="G37" i="15"/>
  <c r="L39" i="15"/>
  <c r="F279" i="15"/>
  <c r="I270" i="15"/>
  <c r="J280" i="15"/>
  <c r="H261" i="15"/>
  <c r="L280" i="15"/>
  <c r="F275" i="15"/>
  <c r="I277" i="15"/>
  <c r="F264" i="15"/>
  <c r="E265" i="15"/>
  <c r="G261" i="15"/>
  <c r="H265" i="15"/>
  <c r="F265" i="15"/>
  <c r="J267" i="15"/>
  <c r="K282" i="15"/>
  <c r="G269" i="15"/>
  <c r="I261" i="15"/>
  <c r="K272" i="15"/>
  <c r="L110" i="15"/>
  <c r="J105" i="15"/>
  <c r="K98" i="15"/>
  <c r="I99" i="15"/>
  <c r="J113" i="15"/>
  <c r="K105" i="15"/>
  <c r="G92" i="15"/>
  <c r="G97" i="15"/>
  <c r="G94" i="15"/>
  <c r="G91" i="15"/>
  <c r="H93" i="15"/>
  <c r="I102" i="15"/>
  <c r="K113" i="15"/>
  <c r="G152" i="15"/>
  <c r="G170" i="15"/>
  <c r="K157" i="15"/>
  <c r="L159" i="15"/>
  <c r="K162" i="15"/>
  <c r="I165" i="15"/>
  <c r="J159" i="15"/>
  <c r="J156" i="15"/>
  <c r="L160" i="15"/>
  <c r="L152" i="15"/>
  <c r="K159" i="15"/>
  <c r="I166" i="15"/>
  <c r="F172" i="15"/>
  <c r="E163" i="15"/>
  <c r="I158" i="15"/>
  <c r="I148" i="15"/>
  <c r="H160" i="15"/>
  <c r="J203" i="15"/>
  <c r="J223" i="15"/>
  <c r="J220" i="15"/>
  <c r="J225" i="15"/>
  <c r="I215" i="15"/>
  <c r="I206" i="15"/>
  <c r="I228" i="15"/>
  <c r="H219" i="15"/>
  <c r="H210" i="15"/>
  <c r="H221" i="15"/>
  <c r="K205" i="15"/>
  <c r="G212" i="15"/>
  <c r="J227" i="15"/>
  <c r="G214" i="15"/>
  <c r="I227" i="15"/>
  <c r="F209" i="15"/>
  <c r="E220" i="15"/>
  <c r="G36" i="15"/>
  <c r="E46" i="15"/>
  <c r="H42" i="15"/>
  <c r="H47" i="15"/>
  <c r="G52" i="15"/>
  <c r="F39" i="15"/>
  <c r="G43" i="15"/>
  <c r="E55" i="15"/>
  <c r="J57" i="15"/>
  <c r="J56" i="15"/>
  <c r="I52" i="15"/>
  <c r="I60" i="15"/>
  <c r="I46" i="15"/>
  <c r="I43" i="15"/>
  <c r="I51" i="15"/>
  <c r="L53" i="15"/>
  <c r="K35" i="15"/>
  <c r="F271" i="15"/>
  <c r="I264" i="15"/>
  <c r="E272" i="15"/>
  <c r="G278" i="15"/>
  <c r="H280" i="15"/>
  <c r="F267" i="15"/>
  <c r="I275" i="15"/>
  <c r="L276" i="15"/>
  <c r="I271" i="15"/>
  <c r="J276" i="15"/>
  <c r="H281" i="15"/>
  <c r="F277" i="15"/>
  <c r="E259" i="15"/>
  <c r="J259" i="15"/>
  <c r="K284" i="15"/>
  <c r="L279" i="15"/>
  <c r="K262" i="15"/>
  <c r="L99" i="15"/>
  <c r="J95" i="15"/>
  <c r="K112" i="15"/>
  <c r="L92" i="15"/>
  <c r="J103" i="15"/>
  <c r="K94" i="15"/>
  <c r="F112" i="15"/>
  <c r="G114" i="15"/>
  <c r="G111" i="15"/>
  <c r="G108" i="15"/>
  <c r="G116" i="15"/>
  <c r="I107" i="15"/>
  <c r="J94" i="15"/>
  <c r="G160" i="15"/>
  <c r="G153" i="15"/>
  <c r="I147" i="15"/>
  <c r="K172" i="15"/>
  <c r="I171" i="15"/>
  <c r="I157" i="15"/>
  <c r="J148" i="15"/>
  <c r="L166" i="15"/>
  <c r="K152" i="15"/>
  <c r="K165" i="15"/>
  <c r="I169" i="15"/>
  <c r="I155" i="15"/>
  <c r="F152" i="15"/>
  <c r="J167" i="15"/>
  <c r="E156" i="15"/>
  <c r="H163" i="15"/>
  <c r="H149" i="15"/>
  <c r="L206" i="15"/>
  <c r="L203" i="15"/>
  <c r="J214" i="15"/>
  <c r="J211" i="15"/>
  <c r="J222" i="15"/>
  <c r="J219" i="15"/>
  <c r="J216" i="15"/>
  <c r="I216" i="15"/>
  <c r="I207" i="15"/>
  <c r="I226" i="15"/>
  <c r="H223" i="15"/>
  <c r="G222" i="15"/>
  <c r="E226" i="15"/>
  <c r="K222" i="15"/>
  <c r="G208" i="15"/>
  <c r="L208" i="15"/>
  <c r="G224" i="15"/>
  <c r="H46" i="15"/>
  <c r="F58" i="15"/>
  <c r="H57" i="15"/>
  <c r="G58" i="15"/>
  <c r="G55" i="15"/>
  <c r="G39" i="15"/>
  <c r="E47" i="15"/>
  <c r="G57" i="15"/>
  <c r="L47" i="15"/>
  <c r="J59" i="15"/>
  <c r="I55" i="15"/>
  <c r="I56" i="15"/>
  <c r="I49" i="15"/>
  <c r="I50" i="15"/>
  <c r="I47" i="15"/>
  <c r="I40" i="15"/>
  <c r="L38" i="15"/>
  <c r="K40" i="15"/>
  <c r="L269" i="15"/>
  <c r="F284" i="15"/>
  <c r="E277" i="15"/>
  <c r="G270" i="15"/>
  <c r="H270" i="15"/>
  <c r="L282" i="15"/>
  <c r="F272" i="15"/>
  <c r="L271" i="15"/>
  <c r="I269" i="15"/>
  <c r="J272" i="15"/>
  <c r="G277" i="15"/>
  <c r="L275" i="15"/>
  <c r="H274" i="15"/>
  <c r="I276" i="15"/>
  <c r="K267" i="15"/>
  <c r="H272" i="15"/>
  <c r="E281" i="15"/>
  <c r="K107" i="15"/>
  <c r="I111" i="15"/>
  <c r="J99" i="15"/>
  <c r="L106" i="15"/>
  <c r="L111" i="15"/>
  <c r="J107" i="15"/>
  <c r="F102" i="15"/>
  <c r="F109" i="15"/>
  <c r="F116" i="15"/>
  <c r="F113" i="15"/>
  <c r="G105" i="15"/>
  <c r="G149" i="15"/>
  <c r="G168" i="15"/>
  <c r="I161" i="15"/>
  <c r="K168" i="15"/>
  <c r="J168" i="15"/>
  <c r="J172" i="15"/>
  <c r="L169" i="15"/>
  <c r="K158" i="15"/>
  <c r="I150" i="15"/>
  <c r="I172" i="15"/>
  <c r="I164" i="15"/>
  <c r="H153" i="15"/>
  <c r="E149" i="15"/>
  <c r="I156" i="15"/>
  <c r="K151" i="15"/>
  <c r="H161" i="15"/>
  <c r="F157" i="15"/>
  <c r="L210" i="15"/>
  <c r="L223" i="15"/>
  <c r="L220" i="15"/>
  <c r="J205" i="15"/>
  <c r="J224" i="15"/>
  <c r="J215" i="15"/>
  <c r="J206" i="15"/>
  <c r="I219" i="15"/>
  <c r="I210" i="15"/>
  <c r="I218" i="15"/>
  <c r="H209" i="15"/>
  <c r="E221" i="15"/>
  <c r="G220" i="15"/>
  <c r="G223" i="15"/>
  <c r="E222" i="15"/>
  <c r="F215" i="15"/>
  <c r="G216" i="15"/>
  <c r="H59" i="15"/>
  <c r="F48" i="15"/>
  <c r="H50" i="15"/>
  <c r="G47" i="15"/>
  <c r="G44" i="15"/>
  <c r="F53" i="15"/>
  <c r="E39" i="15"/>
  <c r="F44" i="15"/>
  <c r="K37" i="15"/>
  <c r="J49" i="15"/>
  <c r="I59" i="15"/>
  <c r="I44" i="15"/>
  <c r="I53" i="15"/>
  <c r="K42" i="15"/>
  <c r="J55" i="15"/>
  <c r="I35" i="15"/>
  <c r="L46" i="15"/>
  <c r="J41" i="15"/>
  <c r="L259" i="15"/>
  <c r="F276" i="15"/>
  <c r="I267" i="15"/>
  <c r="J262" i="15"/>
  <c r="H263" i="15"/>
  <c r="L277" i="15"/>
  <c r="F262" i="15"/>
  <c r="H271" i="15"/>
  <c r="F266" i="15"/>
  <c r="E270" i="15"/>
  <c r="G260" i="15"/>
  <c r="L262" i="15"/>
  <c r="K276" i="15"/>
  <c r="F282" i="15"/>
  <c r="K268" i="15"/>
  <c r="G279" i="15"/>
  <c r="L274" i="15"/>
  <c r="K96" i="15"/>
  <c r="L104" i="15"/>
  <c r="J115" i="15"/>
  <c r="K114" i="15"/>
  <c r="L100" i="15"/>
  <c r="J97" i="15"/>
  <c r="E107" i="15"/>
  <c r="F99" i="15"/>
  <c r="F106" i="15"/>
  <c r="F103" i="15"/>
  <c r="F110" i="15"/>
  <c r="H116" i="15"/>
  <c r="I104" i="15"/>
  <c r="I112" i="15"/>
  <c r="I109" i="15"/>
  <c r="G157" i="15"/>
  <c r="G167" i="15"/>
  <c r="J161" i="15"/>
  <c r="J155" i="15"/>
  <c r="J149" i="15"/>
  <c r="J162" i="15"/>
  <c r="L155" i="15"/>
  <c r="I153" i="15"/>
  <c r="I167" i="15"/>
  <c r="I152" i="15"/>
  <c r="H156" i="15"/>
  <c r="H167" i="15"/>
  <c r="E151" i="15"/>
  <c r="H168" i="15"/>
  <c r="I151" i="15"/>
  <c r="F160" i="15"/>
  <c r="F154" i="15"/>
  <c r="F206" i="15"/>
  <c r="F203" i="15"/>
  <c r="L214" i="15"/>
  <c r="L211" i="15"/>
  <c r="L222" i="15"/>
  <c r="L227" i="15"/>
  <c r="L224" i="15"/>
  <c r="J213" i="15"/>
  <c r="J210" i="15"/>
  <c r="I212" i="15"/>
  <c r="H203" i="15"/>
  <c r="E215" i="15"/>
  <c r="J207" i="15"/>
  <c r="G217" i="15"/>
  <c r="E205" i="15"/>
  <c r="K214" i="15"/>
  <c r="G210" i="15"/>
  <c r="G59" i="15"/>
  <c r="E57" i="15"/>
  <c r="G50" i="15"/>
  <c r="G42" i="15"/>
  <c r="G35" i="15"/>
  <c r="F46" i="15"/>
  <c r="H36" i="15"/>
  <c r="F60" i="15"/>
  <c r="J60" i="15"/>
  <c r="I58" i="15"/>
  <c r="H39" i="15"/>
  <c r="L41" i="15"/>
  <c r="J43" i="15"/>
  <c r="F38" i="15"/>
  <c r="I39" i="15"/>
  <c r="L56" i="15"/>
  <c r="K38" i="15"/>
  <c r="J58" i="15"/>
  <c r="H279" i="15"/>
  <c r="F268" i="15"/>
  <c r="I284" i="15"/>
  <c r="J277" i="15"/>
  <c r="G275" i="15"/>
  <c r="H277" i="15"/>
  <c r="J282" i="15"/>
  <c r="H264" i="15"/>
  <c r="F259" i="15"/>
  <c r="E260" i="15"/>
  <c r="J270" i="15"/>
  <c r="H259" i="15"/>
  <c r="K277" i="15"/>
  <c r="H282" i="15"/>
  <c r="I259" i="15"/>
  <c r="K278" i="15"/>
  <c r="K269" i="15"/>
  <c r="J108" i="15"/>
  <c r="L93" i="15"/>
  <c r="I105" i="15"/>
  <c r="K103" i="15"/>
  <c r="K108" i="15"/>
  <c r="L112" i="15"/>
  <c r="G159" i="15"/>
  <c r="G156" i="15"/>
  <c r="J151" i="15"/>
  <c r="J154" i="15"/>
  <c r="L164" i="15"/>
  <c r="J160" i="15"/>
  <c r="L148" i="15"/>
  <c r="I149" i="15"/>
  <c r="H162" i="15"/>
  <c r="H159" i="15"/>
  <c r="H170" i="15"/>
  <c r="F165" i="15"/>
  <c r="H152" i="15"/>
  <c r="K148" i="15"/>
  <c r="H166" i="15"/>
  <c r="F159" i="15"/>
  <c r="E170" i="15"/>
  <c r="F204" i="15"/>
  <c r="F226" i="15"/>
  <c r="F223" i="15"/>
  <c r="L205" i="15"/>
  <c r="L225" i="15"/>
  <c r="L213" i="15"/>
  <c r="L204" i="15"/>
  <c r="J226" i="15"/>
  <c r="J217" i="15"/>
  <c r="J204" i="15"/>
  <c r="H225" i="15"/>
  <c r="H222" i="15"/>
  <c r="K228" i="15"/>
  <c r="E225" i="15"/>
  <c r="I223" i="15"/>
  <c r="G227" i="15"/>
  <c r="E213" i="15"/>
  <c r="G48" i="15"/>
  <c r="E37" i="15"/>
  <c r="G38" i="15"/>
  <c r="F59" i="15"/>
  <c r="F56" i="15"/>
  <c r="E50" i="15"/>
  <c r="H37" i="15"/>
  <c r="E41" i="15"/>
  <c r="J38" i="15"/>
  <c r="I38" i="15"/>
  <c r="E52" i="15"/>
  <c r="H40" i="15"/>
  <c r="L54" i="15"/>
  <c r="L51" i="15"/>
  <c r="F54" i="15"/>
  <c r="L36" i="15"/>
  <c r="K36" i="15"/>
  <c r="I42" i="15"/>
  <c r="H269" i="15"/>
  <c r="L266" i="15"/>
  <c r="F281" i="15"/>
  <c r="E269" i="15"/>
  <c r="G267" i="15"/>
  <c r="H267" i="15"/>
  <c r="J278" i="15"/>
  <c r="G283" i="15"/>
  <c r="L284" i="15"/>
  <c r="I268" i="15"/>
  <c r="J266" i="15"/>
  <c r="H275" i="15"/>
  <c r="J269" i="15"/>
  <c r="G268" i="15"/>
  <c r="F274" i="15"/>
  <c r="K261" i="15"/>
  <c r="K259" i="15"/>
  <c r="J98" i="15"/>
  <c r="K101" i="15"/>
  <c r="L98" i="15"/>
  <c r="J116" i="15"/>
  <c r="K97" i="15"/>
  <c r="K91" i="15"/>
  <c r="F115" i="15"/>
  <c r="E93" i="15"/>
  <c r="E101" i="15"/>
  <c r="E98" i="15"/>
  <c r="E95" i="15"/>
  <c r="G102" i="15"/>
  <c r="G172" i="15"/>
  <c r="G154" i="15"/>
  <c r="G165" i="15"/>
  <c r="L154" i="15"/>
  <c r="L170" i="15"/>
  <c r="L162" i="15"/>
  <c r="L172" i="15"/>
  <c r="K161" i="15"/>
  <c r="H165" i="15"/>
  <c r="H151" i="15"/>
  <c r="H148" i="15"/>
  <c r="F168" i="15"/>
  <c r="F155" i="15"/>
  <c r="K154" i="15"/>
  <c r="I154" i="15"/>
  <c r="H158" i="15"/>
  <c r="E162" i="15"/>
  <c r="E159" i="15"/>
  <c r="K219" i="15"/>
  <c r="K216" i="15"/>
  <c r="F217" i="15"/>
  <c r="F214" i="15"/>
  <c r="F205" i="15"/>
  <c r="L216" i="15"/>
  <c r="L207" i="15"/>
  <c r="L221" i="15"/>
  <c r="L218" i="15"/>
  <c r="J221" i="15"/>
  <c r="G215" i="15"/>
  <c r="G209" i="15"/>
  <c r="H212" i="15"/>
  <c r="E214" i="15"/>
  <c r="J212" i="15"/>
  <c r="G225" i="15"/>
  <c r="E209" i="15"/>
  <c r="F35" i="15"/>
  <c r="H60" i="15"/>
  <c r="F52" i="15"/>
  <c r="F49" i="15"/>
  <c r="F37" i="15"/>
  <c r="E42" i="15"/>
  <c r="G46" i="15"/>
  <c r="E58" i="15"/>
  <c r="J52" i="15"/>
  <c r="E35" i="15"/>
  <c r="L60" i="15"/>
  <c r="L57" i="15"/>
  <c r="L58" i="15"/>
  <c r="L55" i="15"/>
  <c r="L59" i="15"/>
  <c r="L49" i="15"/>
  <c r="J46" i="15"/>
  <c r="J264" i="15"/>
  <c r="G284" i="15"/>
  <c r="L261" i="15"/>
  <c r="F273" i="15"/>
  <c r="E274" i="15"/>
  <c r="J284" i="15"/>
  <c r="G272" i="15"/>
  <c r="J268" i="15"/>
  <c r="G266" i="15"/>
  <c r="L273" i="15"/>
  <c r="I266" i="15"/>
  <c r="E284" i="15"/>
  <c r="G271" i="15"/>
  <c r="I282" i="15"/>
  <c r="K270" i="15"/>
  <c r="L272" i="15"/>
  <c r="K283" i="15"/>
  <c r="E261" i="15"/>
  <c r="I114" i="15"/>
  <c r="K115" i="15"/>
  <c r="L95" i="15"/>
  <c r="J106" i="15"/>
  <c r="J110" i="15"/>
  <c r="J114" i="15"/>
  <c r="L94" i="15"/>
  <c r="E108" i="15"/>
  <c r="E115" i="15"/>
  <c r="G161" i="15"/>
  <c r="G150" i="15"/>
  <c r="G164" i="15"/>
  <c r="L165" i="15"/>
  <c r="L147" i="15"/>
  <c r="J165" i="15"/>
  <c r="L158" i="15"/>
  <c r="K150" i="15"/>
  <c r="H154" i="15"/>
  <c r="F164" i="15"/>
  <c r="F171" i="15"/>
  <c r="F158" i="15"/>
  <c r="E152" i="15"/>
  <c r="I160" i="15"/>
  <c r="H169" i="15"/>
  <c r="F163" i="15"/>
  <c r="E169" i="15"/>
  <c r="E166" i="15"/>
  <c r="K215" i="15"/>
  <c r="K206" i="15"/>
  <c r="K213" i="15"/>
  <c r="F208" i="15"/>
  <c r="F228" i="15"/>
  <c r="F227" i="15"/>
  <c r="F224" i="15"/>
  <c r="L226" i="15"/>
  <c r="L217" i="15"/>
  <c r="L212" i="15"/>
  <c r="G211" i="15"/>
  <c r="G213" i="15"/>
  <c r="G203" i="15"/>
  <c r="E208" i="15"/>
  <c r="L209" i="15"/>
  <c r="G219" i="15"/>
  <c r="I221" i="15"/>
  <c r="F51" i="15"/>
  <c r="H53" i="15"/>
  <c r="F45" i="15"/>
  <c r="F40" i="15"/>
  <c r="F42" i="15"/>
  <c r="H49" i="15"/>
  <c r="G60" i="15"/>
  <c r="H38" i="15"/>
  <c r="I36" i="15"/>
  <c r="L43" i="15"/>
  <c r="L44" i="15"/>
  <c r="L37" i="15"/>
  <c r="K50" i="15"/>
  <c r="K47" i="15"/>
  <c r="L48" i="15"/>
  <c r="K41" i="15"/>
  <c r="J37" i="15"/>
  <c r="J263" i="15"/>
  <c r="G276" i="15"/>
  <c r="H276" i="15"/>
  <c r="F261" i="15"/>
  <c r="I283" i="15"/>
  <c r="J274" i="15"/>
  <c r="G262" i="15"/>
  <c r="E276" i="15"/>
  <c r="G259" i="15"/>
  <c r="L268" i="15"/>
  <c r="F263" i="15"/>
  <c r="E264" i="15"/>
  <c r="G282" i="15"/>
  <c r="F260" i="15"/>
  <c r="K271" i="15"/>
  <c r="H278" i="15"/>
  <c r="L267" i="15"/>
  <c r="E267" i="15"/>
  <c r="I103" i="15"/>
  <c r="J102" i="15"/>
  <c r="L109" i="15"/>
  <c r="I96" i="15"/>
  <c r="J100" i="15"/>
  <c r="I94" i="15"/>
  <c r="J111" i="15"/>
  <c r="L91" i="15"/>
  <c r="K109" i="15"/>
  <c r="F105" i="15"/>
  <c r="L105" i="15"/>
  <c r="F97" i="15"/>
  <c r="G99" i="15"/>
  <c r="G169" i="15"/>
  <c r="G151" i="15"/>
  <c r="J164" i="15"/>
  <c r="K171" i="15"/>
  <c r="J171" i="15"/>
  <c r="J152" i="15"/>
  <c r="L156" i="15"/>
  <c r="J170" i="15"/>
  <c r="F167" i="15"/>
  <c r="F162" i="15"/>
  <c r="F161" i="15"/>
  <c r="F156" i="15"/>
  <c r="E148" i="15"/>
  <c r="H172" i="15"/>
  <c r="H147" i="15"/>
  <c r="F151" i="15"/>
  <c r="J166" i="15"/>
  <c r="H157" i="15"/>
  <c r="H217" i="15"/>
  <c r="H214" i="15"/>
  <c r="K226" i="15"/>
  <c r="K210" i="15"/>
  <c r="K207" i="15"/>
  <c r="F225" i="15"/>
  <c r="F216" i="15"/>
  <c r="F221" i="15"/>
  <c r="F218" i="15"/>
  <c r="L228" i="15"/>
  <c r="E204" i="15"/>
  <c r="E212" i="15"/>
  <c r="G226" i="15"/>
  <c r="F213" i="15"/>
  <c r="K224" i="15"/>
  <c r="E216" i="15"/>
  <c r="F211" i="15"/>
  <c r="G53" i="15"/>
  <c r="E59" i="15"/>
  <c r="E56" i="15"/>
  <c r="E53" i="15"/>
  <c r="H43" i="15"/>
  <c r="F47" i="15"/>
  <c r="G40" i="15"/>
  <c r="I41" i="15"/>
  <c r="L35" i="15"/>
  <c r="K56" i="15"/>
  <c r="K53" i="15"/>
  <c r="K51" i="15"/>
  <c r="K48" i="15"/>
  <c r="L52" i="15"/>
  <c r="K43" i="15"/>
  <c r="I45" i="15"/>
  <c r="E278" i="15"/>
  <c r="J261" i="15"/>
  <c r="H266" i="15"/>
  <c r="L263" i="15"/>
  <c r="I281" i="15"/>
  <c r="E282" i="15"/>
  <c r="J281" i="15"/>
  <c r="E263" i="15"/>
  <c r="J279" i="15"/>
  <c r="H268" i="15"/>
  <c r="F283" i="15"/>
  <c r="E266" i="15"/>
  <c r="J273" i="15"/>
  <c r="H262" i="15"/>
  <c r="I265" i="15"/>
  <c r="G265" i="15"/>
  <c r="G264" i="15"/>
  <c r="K266" i="15"/>
  <c r="L107" i="15"/>
  <c r="J92" i="15"/>
  <c r="K92" i="15"/>
  <c r="L114" i="15"/>
  <c r="I115" i="15"/>
  <c r="H115" i="15"/>
  <c r="I91" i="15"/>
  <c r="J96" i="15"/>
  <c r="J104" i="15"/>
  <c r="E110" i="15"/>
  <c r="I97" i="15"/>
  <c r="G158" i="15"/>
  <c r="K163" i="15"/>
  <c r="K208" i="15"/>
  <c r="H226" i="15"/>
  <c r="K54" i="15"/>
  <c r="J271" i="15"/>
  <c r="L96" i="15"/>
  <c r="H96" i="15"/>
  <c r="E92" i="15"/>
  <c r="J91" i="15"/>
  <c r="H91" i="15"/>
  <c r="G109" i="15"/>
  <c r="H111" i="15"/>
  <c r="G147" i="15"/>
  <c r="H155" i="15"/>
  <c r="F219" i="15"/>
  <c r="E49" i="15"/>
  <c r="K46" i="15"/>
  <c r="I274" i="15"/>
  <c r="I108" i="15"/>
  <c r="F93" i="15"/>
  <c r="E106" i="15"/>
  <c r="I101" i="15"/>
  <c r="H107" i="15"/>
  <c r="G101" i="15"/>
  <c r="H101" i="15"/>
  <c r="J147" i="15"/>
  <c r="F166" i="15"/>
  <c r="F210" i="15"/>
  <c r="G45" i="15"/>
  <c r="K39" i="15"/>
  <c r="J275" i="15"/>
  <c r="K106" i="15"/>
  <c r="E112" i="15"/>
  <c r="H108" i="15"/>
  <c r="H94" i="15"/>
  <c r="G112" i="15"/>
  <c r="F95" i="15"/>
  <c r="G106" i="15"/>
  <c r="K160" i="15"/>
  <c r="E165" i="15"/>
  <c r="F207" i="15"/>
  <c r="E51" i="15"/>
  <c r="K44" i="15"/>
  <c r="H284" i="15"/>
  <c r="L103" i="15"/>
  <c r="J101" i="15"/>
  <c r="I93" i="15"/>
  <c r="H110" i="15"/>
  <c r="G104" i="15"/>
  <c r="F111" i="15"/>
  <c r="G98" i="15"/>
  <c r="J157" i="15"/>
  <c r="K169" i="15"/>
  <c r="F220" i="15"/>
  <c r="E48" i="15"/>
  <c r="J36" i="15"/>
  <c r="L281" i="15"/>
  <c r="L108" i="15"/>
  <c r="H103" i="15"/>
  <c r="H97" i="15"/>
  <c r="G115" i="15"/>
  <c r="G93" i="15"/>
  <c r="F92" i="15"/>
  <c r="L161" i="15"/>
  <c r="E167" i="15"/>
  <c r="F212" i="15"/>
  <c r="E45" i="15"/>
  <c r="G51" i="15"/>
  <c r="I279" i="15"/>
  <c r="H105" i="15"/>
  <c r="F100" i="15"/>
  <c r="H113" i="15"/>
  <c r="G107" i="15"/>
  <c r="F98" i="15"/>
  <c r="E105" i="15"/>
  <c r="F108" i="15"/>
  <c r="K164" i="15"/>
  <c r="E224" i="15"/>
  <c r="H44" i="15"/>
  <c r="E283" i="15"/>
  <c r="E262" i="15"/>
  <c r="E96" i="15"/>
  <c r="E109" i="15"/>
  <c r="G110" i="15"/>
  <c r="G96" i="15"/>
  <c r="F114" i="15"/>
  <c r="E94" i="15"/>
  <c r="E113" i="15"/>
  <c r="J153" i="15"/>
  <c r="E206" i="15"/>
  <c r="F43" i="15"/>
  <c r="J283" i="15"/>
  <c r="G274" i="15"/>
  <c r="H112" i="15"/>
  <c r="H98" i="15"/>
  <c r="F104" i="15"/>
  <c r="F91" i="15"/>
  <c r="K102" i="15"/>
  <c r="E99" i="15"/>
  <c r="E102" i="15"/>
  <c r="F147" i="15"/>
  <c r="H213" i="15"/>
  <c r="G54" i="15"/>
  <c r="G281" i="15"/>
  <c r="F280" i="15"/>
  <c r="E104" i="15"/>
  <c r="J112" i="15"/>
  <c r="F94" i="15"/>
  <c r="E111" i="15"/>
  <c r="I106" i="15"/>
  <c r="L116" i="15"/>
  <c r="E91" i="15"/>
  <c r="E161" i="15"/>
  <c r="H204" i="15"/>
  <c r="E211" i="15"/>
  <c r="I48" i="15"/>
  <c r="L283" i="15"/>
  <c r="K281" i="15"/>
  <c r="I116" i="15"/>
  <c r="H100" i="15"/>
  <c r="E103" i="15"/>
  <c r="E100" i="15"/>
  <c r="I95" i="15"/>
  <c r="K99" i="15"/>
  <c r="F153" i="15"/>
  <c r="H211" i="15"/>
  <c r="G205" i="15"/>
  <c r="K59" i="15"/>
  <c r="F278" i="15"/>
  <c r="K275" i="15"/>
  <c r="F96" i="15"/>
  <c r="G113" i="15"/>
  <c r="G95" i="15"/>
  <c r="K95" i="15"/>
  <c r="H114" i="15"/>
  <c r="I100" i="15"/>
  <c r="E155" i="15"/>
  <c r="G30" i="15"/>
  <c r="G71" i="15"/>
  <c r="L124" i="15"/>
  <c r="F136" i="15"/>
  <c r="J254" i="15"/>
  <c r="G19" i="15"/>
  <c r="J72" i="15"/>
  <c r="E84" i="15"/>
  <c r="K137" i="15"/>
  <c r="K217" i="15"/>
  <c r="K30" i="15"/>
  <c r="H71" i="15"/>
  <c r="J124" i="15"/>
  <c r="H254" i="15"/>
  <c r="L19" i="15"/>
  <c r="H72" i="15"/>
  <c r="E218" i="15"/>
  <c r="L30" i="15"/>
  <c r="K57" i="15"/>
  <c r="E271" i="15"/>
  <c r="J30" i="15"/>
  <c r="J83" i="15"/>
  <c r="I124" i="15"/>
  <c r="F242" i="15"/>
  <c r="K254" i="15"/>
  <c r="G31" i="15"/>
  <c r="F72" i="15"/>
  <c r="L125" i="15"/>
  <c r="K263" i="15"/>
  <c r="I113" i="15"/>
  <c r="K71" i="15"/>
  <c r="H83" i="15"/>
  <c r="F107" i="15"/>
  <c r="L71" i="15"/>
  <c r="E83" i="15"/>
  <c r="L136" i="15"/>
  <c r="L242" i="15"/>
  <c r="E19" i="15"/>
  <c r="L31" i="15"/>
  <c r="I84" i="15"/>
  <c r="H125" i="15"/>
  <c r="K110" i="15"/>
  <c r="F71" i="15"/>
  <c r="G83" i="15"/>
  <c r="J136" i="15"/>
  <c r="H242" i="15"/>
  <c r="H19" i="15"/>
  <c r="J31" i="15"/>
  <c r="K84" i="15"/>
  <c r="I98" i="15"/>
  <c r="I71" i="15"/>
  <c r="H104" i="15"/>
  <c r="H30" i="15"/>
  <c r="J71" i="15"/>
  <c r="G124" i="15"/>
  <c r="K136" i="15"/>
  <c r="E254" i="15"/>
  <c r="I19" i="15"/>
  <c r="E72" i="15"/>
  <c r="F84" i="15"/>
  <c r="I92" i="15"/>
  <c r="K83" i="15"/>
  <c r="I242" i="15"/>
  <c r="H31" i="15"/>
  <c r="G125" i="15"/>
  <c r="H190" i="15"/>
  <c r="J202" i="15"/>
  <c r="J255" i="15"/>
  <c r="L20" i="15"/>
  <c r="J189" i="15"/>
  <c r="J32" i="15"/>
  <c r="F192" i="15"/>
  <c r="I179" i="15"/>
  <c r="E257" i="15"/>
  <c r="L22" i="15"/>
  <c r="I75" i="15"/>
  <c r="F87" i="15"/>
  <c r="G140" i="15"/>
  <c r="H181" i="15"/>
  <c r="L246" i="15"/>
  <c r="K258" i="15"/>
  <c r="G126" i="15"/>
  <c r="E33" i="15"/>
  <c r="K180" i="15"/>
  <c r="K11" i="15"/>
  <c r="K76" i="15"/>
  <c r="G141" i="15"/>
  <c r="I182" i="15"/>
  <c r="J235" i="15"/>
  <c r="F247" i="15"/>
  <c r="H21" i="15"/>
  <c r="K139" i="15"/>
  <c r="E24" i="15"/>
  <c r="H77" i="15"/>
  <c r="G130" i="15"/>
  <c r="H142" i="15"/>
  <c r="K195" i="15"/>
  <c r="F236" i="15"/>
  <c r="I85" i="15"/>
  <c r="K138" i="15"/>
  <c r="K86" i="15"/>
  <c r="L245" i="15"/>
  <c r="F25" i="15"/>
  <c r="H78" i="15"/>
  <c r="G131" i="15"/>
  <c r="I143" i="15"/>
  <c r="L196" i="15"/>
  <c r="J237" i="15"/>
  <c r="H14" i="15"/>
  <c r="I185" i="15"/>
  <c r="E26" i="15"/>
  <c r="H238" i="15"/>
  <c r="G133" i="15"/>
  <c r="L198" i="15"/>
  <c r="K79" i="15"/>
  <c r="K132" i="15"/>
  <c r="G15" i="15"/>
  <c r="H16" i="15"/>
  <c r="I28" i="15"/>
  <c r="J81" i="15"/>
  <c r="H134" i="15"/>
  <c r="J187" i="15"/>
  <c r="I199" i="15"/>
  <c r="J252" i="15"/>
  <c r="J67" i="15"/>
  <c r="J250" i="15"/>
  <c r="G68" i="15"/>
  <c r="G239" i="15"/>
  <c r="I17" i="15"/>
  <c r="I70" i="15"/>
  <c r="F82" i="15"/>
  <c r="G135" i="15"/>
  <c r="K188" i="15"/>
  <c r="J241" i="15"/>
  <c r="K253" i="15"/>
  <c r="L83" i="15"/>
  <c r="J242" i="15"/>
  <c r="E31" i="15"/>
  <c r="J125" i="15"/>
  <c r="F190" i="15"/>
  <c r="K202" i="15"/>
  <c r="F255" i="15"/>
  <c r="I20" i="15"/>
  <c r="K189" i="15"/>
  <c r="L32" i="15"/>
  <c r="K192" i="15"/>
  <c r="H179" i="15"/>
  <c r="I257" i="15"/>
  <c r="I22" i="15"/>
  <c r="K75" i="15"/>
  <c r="E87" i="15"/>
  <c r="L140" i="15"/>
  <c r="H246" i="15"/>
  <c r="I258" i="15"/>
  <c r="K126" i="15"/>
  <c r="J33" i="15"/>
  <c r="I180" i="15"/>
  <c r="L11" i="15"/>
  <c r="L76" i="15"/>
  <c r="J88" i="15"/>
  <c r="I141" i="15"/>
  <c r="H182" i="15"/>
  <c r="E235" i="15"/>
  <c r="K247" i="15"/>
  <c r="F21" i="15"/>
  <c r="H139" i="15"/>
  <c r="H24" i="15"/>
  <c r="E77" i="15"/>
  <c r="K130" i="15"/>
  <c r="F142" i="15"/>
  <c r="J195" i="15"/>
  <c r="H236" i="15"/>
  <c r="E85" i="15"/>
  <c r="H138" i="15"/>
  <c r="I86" i="15"/>
  <c r="K245" i="15"/>
  <c r="E25" i="15"/>
  <c r="G78" i="15"/>
  <c r="L131" i="15"/>
  <c r="H143" i="15"/>
  <c r="I237" i="15"/>
  <c r="F14" i="15"/>
  <c r="H185" i="15"/>
  <c r="F26" i="15"/>
  <c r="I238" i="15"/>
  <c r="L133" i="15"/>
  <c r="L79" i="15"/>
  <c r="H132" i="15"/>
  <c r="F15" i="15"/>
  <c r="H80" i="15"/>
  <c r="F16" i="15"/>
  <c r="J28" i="15"/>
  <c r="K81" i="15"/>
  <c r="E134" i="15"/>
  <c r="K187" i="15"/>
  <c r="H199" i="15"/>
  <c r="H252" i="15"/>
  <c r="E67" i="15"/>
  <c r="G250" i="15"/>
  <c r="F68" i="15"/>
  <c r="E239" i="15"/>
  <c r="F17" i="15"/>
  <c r="K70" i="15"/>
  <c r="G82" i="15"/>
  <c r="I135" i="15"/>
  <c r="F188" i="15"/>
  <c r="G241" i="15"/>
  <c r="G253" i="15"/>
  <c r="I83" i="15"/>
  <c r="E242" i="15"/>
  <c r="I31" i="15"/>
  <c r="K125" i="15"/>
  <c r="K190" i="15"/>
  <c r="E202" i="15"/>
  <c r="I255" i="15"/>
  <c r="K20" i="15"/>
  <c r="I189" i="15"/>
  <c r="K32" i="15"/>
  <c r="J192" i="15"/>
  <c r="E179" i="15"/>
  <c r="L257" i="15"/>
  <c r="J22" i="15"/>
  <c r="H87" i="15"/>
  <c r="K140" i="15"/>
  <c r="G181" i="15"/>
  <c r="E246" i="15"/>
  <c r="J258" i="15"/>
  <c r="L126" i="15"/>
  <c r="L33" i="15"/>
  <c r="J180" i="15"/>
  <c r="J11" i="15"/>
  <c r="I76" i="15"/>
  <c r="H88" i="15"/>
  <c r="L141" i="15"/>
  <c r="G235" i="15"/>
  <c r="H247" i="15"/>
  <c r="E21" i="15"/>
  <c r="F139" i="15"/>
  <c r="G24" i="15"/>
  <c r="G77" i="15"/>
  <c r="L130" i="15"/>
  <c r="E142" i="15"/>
  <c r="I195" i="15"/>
  <c r="K236" i="15"/>
  <c r="G85" i="15"/>
  <c r="F138" i="15"/>
  <c r="L86" i="15"/>
  <c r="H245" i="15"/>
  <c r="H25" i="15"/>
  <c r="F78" i="15"/>
  <c r="K131" i="15"/>
  <c r="E143" i="15"/>
  <c r="J196" i="15"/>
  <c r="G237" i="15"/>
  <c r="G14" i="15"/>
  <c r="E185" i="15"/>
  <c r="H26" i="15"/>
  <c r="F238" i="15"/>
  <c r="J133" i="15"/>
  <c r="K198" i="15"/>
  <c r="J79" i="15"/>
  <c r="F132" i="15"/>
  <c r="H15" i="15"/>
  <c r="G80" i="15"/>
  <c r="E16" i="15"/>
  <c r="L28" i="15"/>
  <c r="L81" i="15"/>
  <c r="K134" i="15"/>
  <c r="I187" i="15"/>
  <c r="G199" i="15"/>
  <c r="F252" i="15"/>
  <c r="G67" i="15"/>
  <c r="L250" i="15"/>
  <c r="H68" i="15"/>
  <c r="F239" i="15"/>
  <c r="E17" i="15"/>
  <c r="L70" i="15"/>
  <c r="K82" i="15"/>
  <c r="F83" i="15"/>
  <c r="K242" i="15"/>
  <c r="K31" i="15"/>
  <c r="I125" i="15"/>
  <c r="J190" i="15"/>
  <c r="G202" i="15"/>
  <c r="G255" i="15"/>
  <c r="J20" i="15"/>
  <c r="H189" i="15"/>
  <c r="I32" i="15"/>
  <c r="I192" i="15"/>
  <c r="G179" i="15"/>
  <c r="G257" i="15"/>
  <c r="K22" i="15"/>
  <c r="J75" i="15"/>
  <c r="G87" i="15"/>
  <c r="I140" i="15"/>
  <c r="F181" i="15"/>
  <c r="F246" i="15"/>
  <c r="F258" i="15"/>
  <c r="J126" i="15"/>
  <c r="I33" i="15"/>
  <c r="L180" i="15"/>
  <c r="I11" i="15"/>
  <c r="E76" i="15"/>
  <c r="L88" i="15"/>
  <c r="J141" i="15"/>
  <c r="G182" i="15"/>
  <c r="L235" i="15"/>
  <c r="G247" i="15"/>
  <c r="K21" i="15"/>
  <c r="E139" i="15"/>
  <c r="F24" i="15"/>
  <c r="F77" i="15"/>
  <c r="J130" i="15"/>
  <c r="I142" i="15"/>
  <c r="L236" i="15"/>
  <c r="F85" i="15"/>
  <c r="E138" i="15"/>
  <c r="J86" i="15"/>
  <c r="G245" i="15"/>
  <c r="G25" i="15"/>
  <c r="E78" i="15"/>
  <c r="I131" i="15"/>
  <c r="F143" i="15"/>
  <c r="K196" i="15"/>
  <c r="K237" i="15"/>
  <c r="K14" i="15"/>
  <c r="G185" i="15"/>
  <c r="I26" i="15"/>
  <c r="K238" i="15"/>
  <c r="H133" i="15"/>
  <c r="G198" i="15"/>
  <c r="I79" i="15"/>
  <c r="E132" i="15"/>
  <c r="E15" i="15"/>
  <c r="F80" i="15"/>
  <c r="L16" i="15"/>
  <c r="K28" i="15"/>
  <c r="I81" i="15"/>
  <c r="F134" i="15"/>
  <c r="L187" i="15"/>
  <c r="G252" i="15"/>
  <c r="F67" i="15"/>
  <c r="H250" i="15"/>
  <c r="E68" i="15"/>
  <c r="I239" i="15"/>
  <c r="J17" i="15"/>
  <c r="J70" i="15"/>
  <c r="H82" i="15"/>
  <c r="J135" i="15"/>
  <c r="F241" i="15"/>
  <c r="J253" i="15"/>
  <c r="K124" i="15"/>
  <c r="F254" i="15"/>
  <c r="I72" i="15"/>
  <c r="E125" i="15"/>
  <c r="I190" i="15"/>
  <c r="E243" i="15"/>
  <c r="E255" i="15"/>
  <c r="I191" i="15"/>
  <c r="L189" i="15"/>
  <c r="J244" i="15"/>
  <c r="H192" i="15"/>
  <c r="K74" i="15"/>
  <c r="J257" i="15"/>
  <c r="F34" i="15"/>
  <c r="H75" i="15"/>
  <c r="G128" i="15"/>
  <c r="J140" i="15"/>
  <c r="I193" i="15"/>
  <c r="J246" i="15"/>
  <c r="E18" i="15"/>
  <c r="E126" i="15"/>
  <c r="G127" i="15"/>
  <c r="H180" i="15"/>
  <c r="H23" i="15"/>
  <c r="F76" i="15"/>
  <c r="G129" i="15"/>
  <c r="K141" i="15"/>
  <c r="I194" i="15"/>
  <c r="H235" i="15"/>
  <c r="I73" i="15"/>
  <c r="J21" i="15"/>
  <c r="E12" i="15"/>
  <c r="I24" i="15"/>
  <c r="K89" i="15"/>
  <c r="I130" i="15"/>
  <c r="K183" i="15"/>
  <c r="H195" i="15"/>
  <c r="F248" i="15"/>
  <c r="K85" i="15"/>
  <c r="J256" i="15"/>
  <c r="H86" i="15"/>
  <c r="G13" i="15"/>
  <c r="L25" i="15"/>
  <c r="J90" i="15"/>
  <c r="J131" i="15"/>
  <c r="J184" i="15"/>
  <c r="I196" i="15"/>
  <c r="E249" i="15"/>
  <c r="I14" i="15"/>
  <c r="J201" i="15"/>
  <c r="L26" i="15"/>
  <c r="E27" i="15"/>
  <c r="F133" i="15"/>
  <c r="F251" i="15"/>
  <c r="E79" i="15"/>
  <c r="I197" i="15"/>
  <c r="I15" i="15"/>
  <c r="K186" i="15"/>
  <c r="J16" i="15"/>
  <c r="L69" i="15"/>
  <c r="H81" i="15"/>
  <c r="H124" i="15"/>
  <c r="L254" i="15"/>
  <c r="G72" i="15"/>
  <c r="F125" i="15"/>
  <c r="G190" i="15"/>
  <c r="H243" i="15"/>
  <c r="H255" i="15"/>
  <c r="J191" i="15"/>
  <c r="F189" i="15"/>
  <c r="E244" i="15"/>
  <c r="L192" i="15"/>
  <c r="L74" i="15"/>
  <c r="H257" i="15"/>
  <c r="E34" i="15"/>
  <c r="G75" i="15"/>
  <c r="L128" i="15"/>
  <c r="H140" i="15"/>
  <c r="L193" i="15"/>
  <c r="I246" i="15"/>
  <c r="H18" i="15"/>
  <c r="H126" i="15"/>
  <c r="K127" i="15"/>
  <c r="F180" i="15"/>
  <c r="G23" i="15"/>
  <c r="J76" i="15"/>
  <c r="I129" i="15"/>
  <c r="H141" i="15"/>
  <c r="F194" i="15"/>
  <c r="I235" i="15"/>
  <c r="K73" i="15"/>
  <c r="I21" i="15"/>
  <c r="H12" i="15"/>
  <c r="K24" i="15"/>
  <c r="I89" i="15"/>
  <c r="H130" i="15"/>
  <c r="I183" i="15"/>
  <c r="L195" i="15"/>
  <c r="E248" i="15"/>
  <c r="J85" i="15"/>
  <c r="H256" i="15"/>
  <c r="E86" i="15"/>
  <c r="F13" i="15"/>
  <c r="K25" i="15"/>
  <c r="K90" i="15"/>
  <c r="H131" i="15"/>
  <c r="K184" i="15"/>
  <c r="H196" i="15"/>
  <c r="I249" i="15"/>
  <c r="J14" i="15"/>
  <c r="I201" i="15"/>
  <c r="G26" i="15"/>
  <c r="G27" i="15"/>
  <c r="I133" i="15"/>
  <c r="I251" i="15"/>
  <c r="G79" i="15"/>
  <c r="H197" i="15"/>
  <c r="K15" i="15"/>
  <c r="I186" i="15"/>
  <c r="K16" i="15"/>
  <c r="J69" i="15"/>
  <c r="G81" i="15"/>
  <c r="L146" i="15"/>
  <c r="F187" i="15"/>
  <c r="I240" i="15"/>
  <c r="I252" i="15"/>
  <c r="L144" i="15"/>
  <c r="F250" i="15"/>
  <c r="L145" i="15"/>
  <c r="J239" i="15"/>
  <c r="H29" i="15"/>
  <c r="G70" i="15"/>
  <c r="K123" i="15"/>
  <c r="H135" i="15"/>
  <c r="F124" i="15"/>
  <c r="G254" i="15"/>
  <c r="K72" i="15"/>
  <c r="G137" i="15"/>
  <c r="L190" i="15"/>
  <c r="F243" i="15"/>
  <c r="K255" i="15"/>
  <c r="F191" i="15"/>
  <c r="H244" i="15"/>
  <c r="E192" i="15"/>
  <c r="F74" i="15"/>
  <c r="F257" i="15"/>
  <c r="G34" i="15"/>
  <c r="K128" i="15"/>
  <c r="E140" i="15"/>
  <c r="F193" i="15"/>
  <c r="G246" i="15"/>
  <c r="G18" i="15"/>
  <c r="F126" i="15"/>
  <c r="L127" i="15"/>
  <c r="E23" i="15"/>
  <c r="G76" i="15"/>
  <c r="L129" i="15"/>
  <c r="F141" i="15"/>
  <c r="H194" i="15"/>
  <c r="L73" i="15"/>
  <c r="L21" i="15"/>
  <c r="J12" i="15"/>
  <c r="J24" i="15"/>
  <c r="L89" i="15"/>
  <c r="F130" i="15"/>
  <c r="J183" i="15"/>
  <c r="I248" i="15"/>
  <c r="H85" i="15"/>
  <c r="I256" i="15"/>
  <c r="G86" i="15"/>
  <c r="H13" i="15"/>
  <c r="I25" i="15"/>
  <c r="L90" i="15"/>
  <c r="I184" i="15"/>
  <c r="G196" i="15"/>
  <c r="F249" i="15"/>
  <c r="E14" i="15"/>
  <c r="H201" i="15"/>
  <c r="J26" i="15"/>
  <c r="F27" i="15"/>
  <c r="E133" i="15"/>
  <c r="L251" i="15"/>
  <c r="F79" i="15"/>
  <c r="F197" i="15"/>
  <c r="L15" i="15"/>
  <c r="J186" i="15"/>
  <c r="I16" i="15"/>
  <c r="I69" i="15"/>
  <c r="F81" i="15"/>
  <c r="K146" i="15"/>
  <c r="E187" i="15"/>
  <c r="F240" i="15"/>
  <c r="K252" i="15"/>
  <c r="J144" i="15"/>
  <c r="E250" i="15"/>
  <c r="J145" i="15"/>
  <c r="K239" i="15"/>
  <c r="E29" i="15"/>
  <c r="F70" i="15"/>
  <c r="I123" i="15"/>
  <c r="F135" i="15"/>
  <c r="L200" i="15"/>
  <c r="I241" i="15"/>
  <c r="E124" i="15"/>
  <c r="I254" i="15"/>
  <c r="L72" i="15"/>
  <c r="L137" i="15"/>
  <c r="E190" i="15"/>
  <c r="J243" i="15"/>
  <c r="L255" i="15"/>
  <c r="H191" i="15"/>
  <c r="G189" i="15"/>
  <c r="G244" i="15"/>
  <c r="G192" i="15"/>
  <c r="I74" i="15"/>
  <c r="K257" i="15"/>
  <c r="H34" i="15"/>
  <c r="L75" i="15"/>
  <c r="I128" i="15"/>
  <c r="F140" i="15"/>
  <c r="K193" i="15"/>
  <c r="K246" i="15"/>
  <c r="J18" i="15"/>
  <c r="I126" i="15"/>
  <c r="J127" i="15"/>
  <c r="G180" i="15"/>
  <c r="F23" i="15"/>
  <c r="H76" i="15"/>
  <c r="J129" i="15"/>
  <c r="E141" i="15"/>
  <c r="L194" i="15"/>
  <c r="K235" i="15"/>
  <c r="J73" i="15"/>
  <c r="G21" i="15"/>
  <c r="K12" i="15"/>
  <c r="L24" i="15"/>
  <c r="J89" i="15"/>
  <c r="L183" i="15"/>
  <c r="G195" i="15"/>
  <c r="L248" i="15"/>
  <c r="L85" i="15"/>
  <c r="L256" i="15"/>
  <c r="F86" i="15"/>
  <c r="E13" i="15"/>
  <c r="J25" i="15"/>
  <c r="F90" i="15"/>
  <c r="F131" i="15"/>
  <c r="L184" i="15"/>
  <c r="E196" i="15"/>
  <c r="J249" i="15"/>
  <c r="L14" i="15"/>
  <c r="L201" i="15"/>
  <c r="K26" i="15"/>
  <c r="I27" i="15"/>
  <c r="K133" i="15"/>
  <c r="J251" i="15"/>
  <c r="H79" i="15"/>
  <c r="L197" i="15"/>
  <c r="J15" i="15"/>
  <c r="L186" i="15"/>
  <c r="G16" i="15"/>
  <c r="F69" i="15"/>
  <c r="I146" i="15"/>
  <c r="G187" i="15"/>
  <c r="E240" i="15"/>
  <c r="E252" i="15"/>
  <c r="K144" i="15"/>
  <c r="K250" i="15"/>
  <c r="I145" i="15"/>
  <c r="H239" i="15"/>
  <c r="F29" i="15"/>
  <c r="H70" i="15"/>
  <c r="L123" i="15"/>
  <c r="E135" i="15"/>
  <c r="K200" i="15"/>
  <c r="K241" i="15"/>
  <c r="F30" i="15"/>
  <c r="G136" i="15"/>
  <c r="F19" i="15"/>
  <c r="J84" i="15"/>
  <c r="I137" i="15"/>
  <c r="F202" i="15"/>
  <c r="L243" i="15"/>
  <c r="H20" i="15"/>
  <c r="L191" i="15"/>
  <c r="G32" i="15"/>
  <c r="I244" i="15"/>
  <c r="F179" i="15"/>
  <c r="J74" i="15"/>
  <c r="F22" i="15"/>
  <c r="I34" i="15"/>
  <c r="J87" i="15"/>
  <c r="H128" i="15"/>
  <c r="J181" i="15"/>
  <c r="J193" i="15"/>
  <c r="L258" i="15"/>
  <c r="I18" i="15"/>
  <c r="H33" i="15"/>
  <c r="I127" i="15"/>
  <c r="E11" i="15"/>
  <c r="J23" i="15"/>
  <c r="I88" i="15"/>
  <c r="K129" i="15"/>
  <c r="F182" i="15"/>
  <c r="K194" i="15"/>
  <c r="J247" i="15"/>
  <c r="G139" i="15"/>
  <c r="L12" i="15"/>
  <c r="K77" i="15"/>
  <c r="H89" i="15"/>
  <c r="G142" i="15"/>
  <c r="H183" i="15"/>
  <c r="I236" i="15"/>
  <c r="J248" i="15"/>
  <c r="G138" i="15"/>
  <c r="E256" i="15"/>
  <c r="I245" i="15"/>
  <c r="L13" i="15"/>
  <c r="J78" i="15"/>
  <c r="E90" i="15"/>
  <c r="G143" i="15"/>
  <c r="H184" i="15"/>
  <c r="L237" i="15"/>
  <c r="L249" i="15"/>
  <c r="F185" i="15"/>
  <c r="J238" i="15"/>
  <c r="K27" i="15"/>
  <c r="H198" i="15"/>
  <c r="E251" i="15"/>
  <c r="G132" i="15"/>
  <c r="K197" i="15"/>
  <c r="K80" i="15"/>
  <c r="H186" i="15"/>
  <c r="H28" i="15"/>
  <c r="E69" i="15"/>
  <c r="G134" i="15"/>
  <c r="J146" i="15"/>
  <c r="K199" i="15"/>
  <c r="J240" i="15"/>
  <c r="K67" i="15"/>
  <c r="H144" i="15"/>
  <c r="J68" i="15"/>
  <c r="K145" i="15"/>
  <c r="H17" i="15"/>
  <c r="I29" i="15"/>
  <c r="L82" i="15"/>
  <c r="E123" i="15"/>
  <c r="E30" i="15"/>
  <c r="I136" i="15"/>
  <c r="K19" i="15"/>
  <c r="L84" i="15"/>
  <c r="J137" i="15"/>
  <c r="L202" i="15"/>
  <c r="I243" i="15"/>
  <c r="G20" i="15"/>
  <c r="K191" i="15"/>
  <c r="E32" i="15"/>
  <c r="L244" i="15"/>
  <c r="K179" i="15"/>
  <c r="H74" i="15"/>
  <c r="H22" i="15"/>
  <c r="L34" i="15"/>
  <c r="I87" i="15"/>
  <c r="E128" i="15"/>
  <c r="K181" i="15"/>
  <c r="G193" i="15"/>
  <c r="G258" i="15"/>
  <c r="K18" i="15"/>
  <c r="G33" i="15"/>
  <c r="H127" i="15"/>
  <c r="H11" i="15"/>
  <c r="L23" i="15"/>
  <c r="K88" i="15"/>
  <c r="H129" i="15"/>
  <c r="K182" i="15"/>
  <c r="G194" i="15"/>
  <c r="L247" i="15"/>
  <c r="G73" i="15"/>
  <c r="L139" i="15"/>
  <c r="I12" i="15"/>
  <c r="I77" i="15"/>
  <c r="L142" i="15"/>
  <c r="F183" i="15"/>
  <c r="E236" i="15"/>
  <c r="H248" i="15"/>
  <c r="I138" i="15"/>
  <c r="G256" i="15"/>
  <c r="E245" i="15"/>
  <c r="I13" i="15"/>
  <c r="K78" i="15"/>
  <c r="G90" i="15"/>
  <c r="L143" i="15"/>
  <c r="F184" i="15"/>
  <c r="H237" i="15"/>
  <c r="G249" i="15"/>
  <c r="K185" i="15"/>
  <c r="K201" i="15"/>
  <c r="L238" i="15"/>
  <c r="J27" i="15"/>
  <c r="I30" i="15"/>
  <c r="H136" i="15"/>
  <c r="J19" i="15"/>
  <c r="H84" i="15"/>
  <c r="H137" i="15"/>
  <c r="I202" i="15"/>
  <c r="K243" i="15"/>
  <c r="F20" i="15"/>
  <c r="G191" i="15"/>
  <c r="F32" i="15"/>
  <c r="F244" i="15"/>
  <c r="J179" i="15"/>
  <c r="K34" i="15"/>
  <c r="K87" i="15"/>
  <c r="J128" i="15"/>
  <c r="I181" i="15"/>
  <c r="H193" i="15"/>
  <c r="E258" i="15"/>
  <c r="L18" i="15"/>
  <c r="F33" i="15"/>
  <c r="F127" i="15"/>
  <c r="G11" i="15"/>
  <c r="I23" i="15"/>
  <c r="G88" i="15"/>
  <c r="F129" i="15"/>
  <c r="J182" i="15"/>
  <c r="J194" i="15"/>
  <c r="E247" i="15"/>
  <c r="F73" i="15"/>
  <c r="J139" i="15"/>
  <c r="G12" i="15"/>
  <c r="L77" i="15"/>
  <c r="G89" i="15"/>
  <c r="J142" i="15"/>
  <c r="G236" i="15"/>
  <c r="G248" i="15"/>
  <c r="L138" i="15"/>
  <c r="F256" i="15"/>
  <c r="F245" i="15"/>
  <c r="K13" i="15"/>
  <c r="L78" i="15"/>
  <c r="I90" i="15"/>
  <c r="K143" i="15"/>
  <c r="E184" i="15"/>
  <c r="F237" i="15"/>
  <c r="K249" i="15"/>
  <c r="J185" i="15"/>
  <c r="G201" i="15"/>
  <c r="E238" i="15"/>
  <c r="L27" i="15"/>
  <c r="J198" i="15"/>
  <c r="G251" i="15"/>
  <c r="L132" i="15"/>
  <c r="G197" i="15"/>
  <c r="L80" i="15"/>
  <c r="E186" i="15"/>
  <c r="G28" i="15"/>
  <c r="G69" i="15"/>
  <c r="J134" i="15"/>
  <c r="F146" i="15"/>
  <c r="F199" i="15"/>
  <c r="G240" i="15"/>
  <c r="H67" i="15"/>
  <c r="I68" i="15"/>
  <c r="H145" i="15"/>
  <c r="G17" i="15"/>
  <c r="K29" i="15"/>
  <c r="I82" i="15"/>
  <c r="H123" i="15"/>
  <c r="H188" i="15"/>
  <c r="E200" i="15"/>
  <c r="L253" i="15"/>
  <c r="G243" i="15"/>
  <c r="H73" i="15"/>
  <c r="J13" i="15"/>
  <c r="I198" i="15"/>
  <c r="E28" i="15"/>
  <c r="L240" i="15"/>
  <c r="E145" i="15"/>
  <c r="J123" i="15"/>
  <c r="G200" i="15"/>
  <c r="G123" i="15"/>
  <c r="E20" i="15"/>
  <c r="H258" i="15"/>
  <c r="I139" i="15"/>
  <c r="I78" i="15"/>
  <c r="H251" i="15"/>
  <c r="H69" i="15"/>
  <c r="K240" i="15"/>
  <c r="F145" i="15"/>
  <c r="F123" i="15"/>
  <c r="L241" i="15"/>
  <c r="F28" i="15"/>
  <c r="E191" i="15"/>
  <c r="F18" i="15"/>
  <c r="F12" i="15"/>
  <c r="H90" i="15"/>
  <c r="K251" i="15"/>
  <c r="K69" i="15"/>
  <c r="L252" i="15"/>
  <c r="L239" i="15"/>
  <c r="L135" i="15"/>
  <c r="H241" i="15"/>
  <c r="H240" i="15"/>
  <c r="H32" i="15"/>
  <c r="K33" i="15"/>
  <c r="J77" i="15"/>
  <c r="J143" i="15"/>
  <c r="I132" i="15"/>
  <c r="L134" i="15"/>
  <c r="L67" i="15"/>
  <c r="K17" i="15"/>
  <c r="K135" i="15"/>
  <c r="E241" i="15"/>
  <c r="G145" i="15"/>
  <c r="K244" i="15"/>
  <c r="F89" i="15"/>
  <c r="G184" i="15"/>
  <c r="J132" i="15"/>
  <c r="I134" i="15"/>
  <c r="I67" i="15"/>
  <c r="L17" i="15"/>
  <c r="J188" i="15"/>
  <c r="H253" i="15"/>
  <c r="L179" i="15"/>
  <c r="F11" i="15"/>
  <c r="K142" i="15"/>
  <c r="E237" i="15"/>
  <c r="J197" i="15"/>
  <c r="G146" i="15"/>
  <c r="G144" i="15"/>
  <c r="G29" i="15"/>
  <c r="I188" i="15"/>
  <c r="I253" i="15"/>
  <c r="F200" i="15"/>
  <c r="E71" i="15"/>
  <c r="G74" i="15"/>
  <c r="K23" i="15"/>
  <c r="G183" i="15"/>
  <c r="H249" i="15"/>
  <c r="E197" i="15"/>
  <c r="E146" i="15"/>
  <c r="F144" i="15"/>
  <c r="L29" i="15"/>
  <c r="L188" i="15"/>
  <c r="F253" i="15"/>
  <c r="F198" i="15"/>
  <c r="G242" i="15"/>
  <c r="G22" i="15"/>
  <c r="F88" i="15"/>
  <c r="J236" i="15"/>
  <c r="L185" i="15"/>
  <c r="I80" i="15"/>
  <c r="H146" i="15"/>
  <c r="I144" i="15"/>
  <c r="J29" i="15"/>
  <c r="G188" i="15"/>
  <c r="E253" i="15"/>
  <c r="J245" i="15"/>
  <c r="F31" i="15"/>
  <c r="J34" i="15"/>
  <c r="K248" i="15"/>
  <c r="J80" i="15"/>
  <c r="H187" i="15"/>
  <c r="I250" i="15"/>
  <c r="E70" i="15"/>
  <c r="H200" i="15"/>
  <c r="I247" i="15"/>
  <c r="G84" i="15"/>
  <c r="L87" i="15"/>
  <c r="L182" i="15"/>
  <c r="J138" i="15"/>
  <c r="G238" i="15"/>
  <c r="F186" i="15"/>
  <c r="J199" i="15"/>
  <c r="K68" i="15"/>
  <c r="J82" i="15"/>
  <c r="J200" i="15"/>
  <c r="L181" i="15"/>
  <c r="F137" i="15"/>
  <c r="F128" i="15"/>
  <c r="E194" i="15"/>
  <c r="K256" i="15"/>
  <c r="H27" i="15"/>
  <c r="G186" i="15"/>
  <c r="L199" i="15"/>
  <c r="L68" i="15"/>
  <c r="E82" i="15"/>
  <c r="I200" i="15"/>
  <c r="H202" i="15"/>
  <c r="J153" i="11"/>
  <c r="J172" i="11"/>
  <c r="I165" i="11"/>
  <c r="J165" i="11"/>
  <c r="I147" i="11"/>
  <c r="H171" i="11"/>
  <c r="E166" i="11"/>
  <c r="G169" i="11"/>
  <c r="F155" i="11"/>
  <c r="F157" i="11"/>
  <c r="E151" i="11"/>
  <c r="G154" i="11"/>
  <c r="G148" i="11"/>
  <c r="K157" i="11"/>
  <c r="H166" i="11"/>
  <c r="L152" i="11"/>
  <c r="F165" i="11"/>
  <c r="F151" i="11"/>
  <c r="E205" i="11"/>
  <c r="G207" i="11"/>
  <c r="L220" i="11"/>
  <c r="L219" i="11"/>
  <c r="L224" i="11"/>
  <c r="J209" i="11"/>
  <c r="H203" i="11"/>
  <c r="E211" i="11"/>
  <c r="G222" i="11"/>
  <c r="F213" i="11"/>
  <c r="I220" i="11"/>
  <c r="H208" i="11"/>
  <c r="K212" i="11"/>
  <c r="I208" i="11"/>
  <c r="L212" i="11"/>
  <c r="E223" i="11"/>
  <c r="G204" i="11"/>
  <c r="J49" i="11"/>
  <c r="H43" i="11"/>
  <c r="I54" i="11"/>
  <c r="I59" i="11"/>
  <c r="I56" i="11"/>
  <c r="L46" i="11"/>
  <c r="L43" i="11"/>
  <c r="G47" i="11"/>
  <c r="L37" i="11"/>
  <c r="G41" i="11"/>
  <c r="G60" i="11"/>
  <c r="G53" i="11"/>
  <c r="E44" i="11"/>
  <c r="H38" i="11"/>
  <c r="E35" i="11"/>
  <c r="L56" i="11"/>
  <c r="F49" i="11"/>
  <c r="H109" i="11"/>
  <c r="H113" i="11"/>
  <c r="I93" i="11"/>
  <c r="I109" i="11"/>
  <c r="K110" i="11"/>
  <c r="K94" i="11"/>
  <c r="L99" i="11"/>
  <c r="H95" i="11"/>
  <c r="K102" i="11"/>
  <c r="K92" i="11"/>
  <c r="L110" i="11"/>
  <c r="J101" i="11"/>
  <c r="G105" i="11"/>
  <c r="E105" i="11"/>
  <c r="E107" i="11"/>
  <c r="G95" i="11"/>
  <c r="I95" i="11"/>
  <c r="H283" i="11"/>
  <c r="H268" i="11"/>
  <c r="H278" i="11"/>
  <c r="G277" i="11"/>
  <c r="G274" i="11"/>
  <c r="G263" i="11"/>
  <c r="J283" i="11"/>
  <c r="L266" i="11"/>
  <c r="J170" i="11"/>
  <c r="J164" i="11"/>
  <c r="I157" i="11"/>
  <c r="J157" i="11"/>
  <c r="I152" i="11"/>
  <c r="E158" i="11"/>
  <c r="G172" i="11"/>
  <c r="G158" i="11"/>
  <c r="F166" i="11"/>
  <c r="L164" i="11"/>
  <c r="G157" i="11"/>
  <c r="G162" i="11"/>
  <c r="G165" i="11"/>
  <c r="E150" i="11"/>
  <c r="E154" i="11"/>
  <c r="H167" i="11"/>
  <c r="L157" i="11"/>
  <c r="E149" i="11"/>
  <c r="G224" i="11"/>
  <c r="L225" i="11"/>
  <c r="J210" i="11"/>
  <c r="L214" i="11"/>
  <c r="L216" i="11"/>
  <c r="H217" i="11"/>
  <c r="E203" i="11"/>
  <c r="G211" i="11"/>
  <c r="J211" i="11"/>
  <c r="K224" i="11"/>
  <c r="I218" i="11"/>
  <c r="F212" i="11"/>
  <c r="K204" i="11"/>
  <c r="H228" i="11"/>
  <c r="E219" i="11"/>
  <c r="G209" i="11"/>
  <c r="F220" i="11"/>
  <c r="J38" i="11"/>
  <c r="G51" i="11"/>
  <c r="H51" i="11"/>
  <c r="I51" i="11"/>
  <c r="I48" i="11"/>
  <c r="L35" i="11"/>
  <c r="L60" i="11"/>
  <c r="L40" i="11"/>
  <c r="L54" i="11"/>
  <c r="L59" i="11"/>
  <c r="G49" i="11"/>
  <c r="F48" i="11"/>
  <c r="F43" i="11"/>
  <c r="F39" i="11"/>
  <c r="F58" i="11"/>
  <c r="J52" i="11"/>
  <c r="F38" i="11"/>
  <c r="L101" i="11"/>
  <c r="H108" i="11"/>
  <c r="K96" i="11"/>
  <c r="I91" i="11"/>
  <c r="K109" i="11"/>
  <c r="K93" i="11"/>
  <c r="L95" i="11"/>
  <c r="H103" i="11"/>
  <c r="H93" i="11"/>
  <c r="H106" i="11"/>
  <c r="F91" i="11"/>
  <c r="G106" i="11"/>
  <c r="E96" i="11"/>
  <c r="K111" i="11"/>
  <c r="K99" i="11"/>
  <c r="E115" i="11"/>
  <c r="G107" i="11"/>
  <c r="H275" i="11"/>
  <c r="H260" i="11"/>
  <c r="H267" i="11"/>
  <c r="G269" i="11"/>
  <c r="G266" i="11"/>
  <c r="L275" i="11"/>
  <c r="F274" i="11"/>
  <c r="L280" i="11"/>
  <c r="I172" i="11"/>
  <c r="I171" i="11"/>
  <c r="J171" i="11"/>
  <c r="I156" i="11"/>
  <c r="J156" i="11"/>
  <c r="E147" i="11"/>
  <c r="G161" i="11"/>
  <c r="G150" i="11"/>
  <c r="L167" i="11"/>
  <c r="L153" i="11"/>
  <c r="G171" i="11"/>
  <c r="F168" i="11"/>
  <c r="F162" i="11"/>
  <c r="K149" i="11"/>
  <c r="K165" i="11"/>
  <c r="K170" i="11"/>
  <c r="H149" i="11"/>
  <c r="K158" i="11"/>
  <c r="G216" i="11"/>
  <c r="L226" i="11"/>
  <c r="J203" i="11"/>
  <c r="J207" i="11"/>
  <c r="L205" i="11"/>
  <c r="H206" i="11"/>
  <c r="E208" i="11"/>
  <c r="G213" i="11"/>
  <c r="F224" i="11"/>
  <c r="K216" i="11"/>
  <c r="F219" i="11"/>
  <c r="F204" i="11"/>
  <c r="I222" i="11"/>
  <c r="E225" i="11"/>
  <c r="G227" i="11"/>
  <c r="F223" i="11"/>
  <c r="F222" i="11"/>
  <c r="L50" i="11"/>
  <c r="G40" i="11"/>
  <c r="H40" i="11"/>
  <c r="H48" i="11"/>
  <c r="H45" i="11"/>
  <c r="K43" i="11"/>
  <c r="K40" i="11"/>
  <c r="L57" i="11"/>
  <c r="K59" i="11"/>
  <c r="L51" i="11"/>
  <c r="G38" i="11"/>
  <c r="F37" i="11"/>
  <c r="E53" i="11"/>
  <c r="F53" i="11"/>
  <c r="F47" i="11"/>
  <c r="G54" i="11"/>
  <c r="E45" i="11"/>
  <c r="L115" i="11"/>
  <c r="H111" i="11"/>
  <c r="K97" i="11"/>
  <c r="K91" i="11"/>
  <c r="H104" i="11"/>
  <c r="H101" i="11"/>
  <c r="F111" i="11"/>
  <c r="L96" i="11"/>
  <c r="H105" i="11"/>
  <c r="H97" i="11"/>
  <c r="J110" i="11"/>
  <c r="G101" i="11"/>
  <c r="E91" i="11"/>
  <c r="I104" i="11"/>
  <c r="I110" i="11"/>
  <c r="E101" i="11"/>
  <c r="G91" i="11"/>
  <c r="H264" i="11"/>
  <c r="H265" i="11"/>
  <c r="L284" i="11"/>
  <c r="L281" i="11"/>
  <c r="L278" i="11"/>
  <c r="L264" i="11"/>
  <c r="F266" i="11"/>
  <c r="I164" i="11"/>
  <c r="I163" i="11"/>
  <c r="J163" i="11"/>
  <c r="I148" i="11"/>
  <c r="J148" i="11"/>
  <c r="G164" i="11"/>
  <c r="G159" i="11"/>
  <c r="F158" i="11"/>
  <c r="L156" i="11"/>
  <c r="G160" i="11"/>
  <c r="F171" i="11"/>
  <c r="F160" i="11"/>
  <c r="F172" i="11"/>
  <c r="K148" i="11"/>
  <c r="K151" i="11"/>
  <c r="K159" i="11"/>
  <c r="E167" i="11"/>
  <c r="K147" i="11"/>
  <c r="L228" i="11"/>
  <c r="J213" i="11"/>
  <c r="H226" i="11"/>
  <c r="J215" i="11"/>
  <c r="J227" i="11"/>
  <c r="E206" i="11"/>
  <c r="G214" i="11"/>
  <c r="L209" i="11"/>
  <c r="F216" i="11"/>
  <c r="K205" i="11"/>
  <c r="I204" i="11"/>
  <c r="K215" i="11"/>
  <c r="I211" i="11"/>
  <c r="G208" i="11"/>
  <c r="F226" i="11"/>
  <c r="F225" i="11"/>
  <c r="K225" i="11"/>
  <c r="L42" i="11"/>
  <c r="L58" i="11"/>
  <c r="G48" i="11"/>
  <c r="H37" i="11"/>
  <c r="H59" i="11"/>
  <c r="K60" i="11"/>
  <c r="K57" i="11"/>
  <c r="K37" i="11"/>
  <c r="K51" i="11"/>
  <c r="K56" i="11"/>
  <c r="I43" i="11"/>
  <c r="E58" i="11"/>
  <c r="I60" i="11"/>
  <c r="E60" i="11"/>
  <c r="E54" i="11"/>
  <c r="F52" i="11"/>
  <c r="E59" i="11"/>
  <c r="F93" i="11"/>
  <c r="L114" i="11"/>
  <c r="H110" i="11"/>
  <c r="K95" i="11"/>
  <c r="H91" i="11"/>
  <c r="H112" i="11"/>
  <c r="F110" i="11"/>
  <c r="L109" i="11"/>
  <c r="L91" i="11"/>
  <c r="L94" i="11"/>
  <c r="G115" i="11"/>
  <c r="E99" i="11"/>
  <c r="F113" i="11"/>
  <c r="G98" i="11"/>
  <c r="G116" i="11"/>
  <c r="K98" i="11"/>
  <c r="E111" i="11"/>
  <c r="H280" i="11"/>
  <c r="H282" i="11"/>
  <c r="L273" i="11"/>
  <c r="L270" i="11"/>
  <c r="L267" i="11"/>
  <c r="J272" i="11"/>
  <c r="I284" i="11"/>
  <c r="J277" i="11"/>
  <c r="J150" i="11"/>
  <c r="I158" i="11"/>
  <c r="J158" i="11"/>
  <c r="J162" i="11"/>
  <c r="G167" i="11"/>
  <c r="G168" i="11"/>
  <c r="F161" i="11"/>
  <c r="F147" i="11"/>
  <c r="L154" i="11"/>
  <c r="G149" i="11"/>
  <c r="F169" i="11"/>
  <c r="L155" i="11"/>
  <c r="L149" i="11"/>
  <c r="E168" i="11"/>
  <c r="F163" i="11"/>
  <c r="K163" i="11"/>
  <c r="K164" i="11"/>
  <c r="L203" i="11"/>
  <c r="L211" i="11"/>
  <c r="J212" i="11"/>
  <c r="H215" i="11"/>
  <c r="H223" i="11"/>
  <c r="J204" i="11"/>
  <c r="E217" i="11"/>
  <c r="G203" i="11"/>
  <c r="L223" i="11"/>
  <c r="K227" i="11"/>
  <c r="I223" i="11"/>
  <c r="F215" i="11"/>
  <c r="K207" i="11"/>
  <c r="H204" i="11"/>
  <c r="F203" i="11"/>
  <c r="F228" i="11"/>
  <c r="F205" i="11"/>
  <c r="K226" i="11"/>
  <c r="K58" i="11"/>
  <c r="L47" i="11"/>
  <c r="G37" i="11"/>
  <c r="G45" i="11"/>
  <c r="G42" i="11"/>
  <c r="J56" i="11"/>
  <c r="J53" i="11"/>
  <c r="K54" i="11"/>
  <c r="J58" i="11"/>
  <c r="K48" i="11"/>
  <c r="H42" i="11"/>
  <c r="E47" i="11"/>
  <c r="H56" i="11"/>
  <c r="E49" i="11"/>
  <c r="E43" i="11"/>
  <c r="F41" i="11"/>
  <c r="H60" i="11"/>
  <c r="F107" i="11"/>
  <c r="L92" i="11"/>
  <c r="H96" i="11"/>
  <c r="H107" i="11"/>
  <c r="L105" i="11"/>
  <c r="L102" i="11"/>
  <c r="F95" i="11"/>
  <c r="F108" i="11"/>
  <c r="L93" i="11"/>
  <c r="L104" i="11"/>
  <c r="G103" i="11"/>
  <c r="E94" i="11"/>
  <c r="H92" i="11"/>
  <c r="G97" i="11"/>
  <c r="G108" i="11"/>
  <c r="I116" i="11"/>
  <c r="E104" i="11"/>
  <c r="H272" i="11"/>
  <c r="H262" i="11"/>
  <c r="L262" i="11"/>
  <c r="L259" i="11"/>
  <c r="J161" i="11"/>
  <c r="J169" i="11"/>
  <c r="I162" i="11"/>
  <c r="J154" i="11"/>
  <c r="G147" i="11"/>
  <c r="F164" i="11"/>
  <c r="F150" i="11"/>
  <c r="L170" i="11"/>
  <c r="H170" i="11"/>
  <c r="F149" i="11"/>
  <c r="L158" i="11"/>
  <c r="L166" i="11"/>
  <c r="L148" i="11"/>
  <c r="E148" i="11"/>
  <c r="K155" i="11"/>
  <c r="G156" i="11"/>
  <c r="K153" i="11"/>
  <c r="L208" i="11"/>
  <c r="J216" i="11"/>
  <c r="H218" i="11"/>
  <c r="H225" i="11"/>
  <c r="H212" i="11"/>
  <c r="J206" i="11"/>
  <c r="G217" i="11"/>
  <c r="L215" i="11"/>
  <c r="J225" i="11"/>
  <c r="K219" i="11"/>
  <c r="I224" i="11"/>
  <c r="F207" i="11"/>
  <c r="I225" i="11"/>
  <c r="E209" i="11"/>
  <c r="F211" i="11"/>
  <c r="F214" i="11"/>
  <c r="K228" i="11"/>
  <c r="I207" i="11"/>
  <c r="K47" i="11"/>
  <c r="L39" i="11"/>
  <c r="L55" i="11"/>
  <c r="G59" i="11"/>
  <c r="G56" i="11"/>
  <c r="J48" i="11"/>
  <c r="J45" i="11"/>
  <c r="J50" i="11"/>
  <c r="J47" i="11"/>
  <c r="J55" i="11"/>
  <c r="G43" i="11"/>
  <c r="F54" i="11"/>
  <c r="G35" i="11"/>
  <c r="E38" i="11"/>
  <c r="G46" i="11"/>
  <c r="E48" i="11"/>
  <c r="G55" i="11"/>
  <c r="J102" i="11"/>
  <c r="L106" i="11"/>
  <c r="L111" i="11"/>
  <c r="H94" i="11"/>
  <c r="L103" i="11"/>
  <c r="L97" i="11"/>
  <c r="J112" i="11"/>
  <c r="F96" i="11"/>
  <c r="F105" i="11"/>
  <c r="F99" i="11"/>
  <c r="E102" i="11"/>
  <c r="I169" i="11"/>
  <c r="J155" i="11"/>
  <c r="I154" i="11"/>
  <c r="I153" i="11"/>
  <c r="F167" i="11"/>
  <c r="F153" i="11"/>
  <c r="L162" i="11"/>
  <c r="L159" i="11"/>
  <c r="H156" i="11"/>
  <c r="F148" i="11"/>
  <c r="L147" i="11"/>
  <c r="H169" i="11"/>
  <c r="H163" i="11"/>
  <c r="K171" i="11"/>
  <c r="G170" i="11"/>
  <c r="F170" i="11"/>
  <c r="F159" i="11"/>
  <c r="J219" i="11"/>
  <c r="J205" i="11"/>
  <c r="H210" i="11"/>
  <c r="E215" i="11"/>
  <c r="H219" i="11"/>
  <c r="H220" i="11"/>
  <c r="G206" i="11"/>
  <c r="L207" i="11"/>
  <c r="J214" i="11"/>
  <c r="K214" i="11"/>
  <c r="F227" i="11"/>
  <c r="K218" i="11"/>
  <c r="I214" i="11"/>
  <c r="G220" i="11"/>
  <c r="K206" i="11"/>
  <c r="K203" i="11"/>
  <c r="K211" i="11"/>
  <c r="I221" i="11"/>
  <c r="K39" i="11"/>
  <c r="K55" i="11"/>
  <c r="L44" i="11"/>
  <c r="L52" i="11"/>
  <c r="L49" i="11"/>
  <c r="I50" i="11"/>
  <c r="I58" i="11"/>
  <c r="J42" i="11"/>
  <c r="J39" i="11"/>
  <c r="J44" i="11"/>
  <c r="F51" i="11"/>
  <c r="I35" i="11"/>
  <c r="F42" i="11"/>
  <c r="K45" i="11"/>
  <c r="G57" i="11"/>
  <c r="E37" i="11"/>
  <c r="F57" i="11"/>
  <c r="J116" i="11"/>
  <c r="F115" i="11"/>
  <c r="L116" i="11"/>
  <c r="L108" i="11"/>
  <c r="F100" i="11"/>
  <c r="F114" i="11"/>
  <c r="J94" i="11"/>
  <c r="J109" i="11"/>
  <c r="F94" i="11"/>
  <c r="F112" i="11"/>
  <c r="E110" i="11"/>
  <c r="H99" i="11"/>
  <c r="J93" i="11"/>
  <c r="E116" i="11"/>
  <c r="E93" i="11"/>
  <c r="G94" i="11"/>
  <c r="F102" i="11"/>
  <c r="H277" i="11"/>
  <c r="H259" i="11"/>
  <c r="J270" i="11"/>
  <c r="J267" i="11"/>
  <c r="F280" i="11"/>
  <c r="F269" i="11"/>
  <c r="G265" i="11"/>
  <c r="I278" i="11"/>
  <c r="I155" i="11"/>
  <c r="I168" i="11"/>
  <c r="J168" i="11"/>
  <c r="I170" i="11"/>
  <c r="F156" i="11"/>
  <c r="L165" i="11"/>
  <c r="L172" i="11"/>
  <c r="L163" i="11"/>
  <c r="E171" i="11"/>
  <c r="L161" i="11"/>
  <c r="H172" i="11"/>
  <c r="H158" i="11"/>
  <c r="H152" i="11"/>
  <c r="K169" i="11"/>
  <c r="H160" i="11"/>
  <c r="L171" i="11"/>
  <c r="L169" i="11"/>
  <c r="J208" i="11"/>
  <c r="H221" i="11"/>
  <c r="E218" i="11"/>
  <c r="E207" i="11"/>
  <c r="E212" i="11"/>
  <c r="H209" i="11"/>
  <c r="L218" i="11"/>
  <c r="J218" i="11"/>
  <c r="H205" i="11"/>
  <c r="I226" i="11"/>
  <c r="F218" i="11"/>
  <c r="K210" i="11"/>
  <c r="E214" i="11"/>
  <c r="F206" i="11"/>
  <c r="K217" i="11"/>
  <c r="K208" i="11"/>
  <c r="I210" i="11"/>
  <c r="L217" i="11"/>
  <c r="J46" i="11"/>
  <c r="K44" i="11"/>
  <c r="L36" i="11"/>
  <c r="L41" i="11"/>
  <c r="L38" i="11"/>
  <c r="I42" i="11"/>
  <c r="I47" i="11"/>
  <c r="I55" i="11"/>
  <c r="I52" i="11"/>
  <c r="J36" i="11"/>
  <c r="F40" i="11"/>
  <c r="H46" i="11"/>
  <c r="F56" i="11"/>
  <c r="H35" i="11"/>
  <c r="F55" i="11"/>
  <c r="E39" i="11"/>
  <c r="F46" i="11"/>
  <c r="I115" i="11"/>
  <c r="F103" i="11"/>
  <c r="L100" i="11"/>
  <c r="L107" i="11"/>
  <c r="F92" i="11"/>
  <c r="F98" i="11"/>
  <c r="J113" i="11"/>
  <c r="J114" i="11"/>
  <c r="J106" i="11"/>
  <c r="J100" i="11"/>
  <c r="G114" i="11"/>
  <c r="L113" i="11"/>
  <c r="I100" i="11"/>
  <c r="K115" i="11"/>
  <c r="E103" i="11"/>
  <c r="E114" i="11"/>
  <c r="J103" i="11"/>
  <c r="H269" i="11"/>
  <c r="H276" i="11"/>
  <c r="J259" i="11"/>
  <c r="F283" i="11"/>
  <c r="F272" i="11"/>
  <c r="I276" i="11"/>
  <c r="G282" i="11"/>
  <c r="I267" i="11"/>
  <c r="J147" i="11"/>
  <c r="I160" i="11"/>
  <c r="J160" i="11"/>
  <c r="J159" i="11"/>
  <c r="F154" i="11"/>
  <c r="L151" i="11"/>
  <c r="H151" i="11"/>
  <c r="H148" i="11"/>
  <c r="E169" i="11"/>
  <c r="L150" i="11"/>
  <c r="H161" i="11"/>
  <c r="H150" i="11"/>
  <c r="E164" i="11"/>
  <c r="E160" i="11"/>
  <c r="K162" i="11"/>
  <c r="H155" i="11"/>
  <c r="H147" i="11"/>
  <c r="H224" i="11"/>
  <c r="H207" i="11"/>
  <c r="E210" i="11"/>
  <c r="G226" i="11"/>
  <c r="E204" i="11"/>
  <c r="L221" i="11"/>
  <c r="L210" i="11"/>
  <c r="J220" i="11"/>
  <c r="H222" i="11"/>
  <c r="I206" i="11"/>
  <c r="F210" i="11"/>
  <c r="I228" i="11"/>
  <c r="H227" i="11"/>
  <c r="F208" i="11"/>
  <c r="I216" i="11"/>
  <c r="I213" i="11"/>
  <c r="I203" i="11"/>
  <c r="L53" i="11"/>
  <c r="J35" i="11"/>
  <c r="K36" i="11"/>
  <c r="K52" i="11"/>
  <c r="K49" i="11"/>
  <c r="K46" i="11"/>
  <c r="H39" i="11"/>
  <c r="I39" i="11"/>
  <c r="I44" i="11"/>
  <c r="I41" i="11"/>
  <c r="I49" i="11"/>
  <c r="E36" i="11"/>
  <c r="G44" i="11"/>
  <c r="E52" i="11"/>
  <c r="F36" i="11"/>
  <c r="F44" i="11"/>
  <c r="L48" i="11"/>
  <c r="F35" i="11"/>
  <c r="K106" i="11"/>
  <c r="I108" i="11"/>
  <c r="J98" i="11"/>
  <c r="F106" i="11"/>
  <c r="F104" i="11"/>
  <c r="J91" i="11"/>
  <c r="K112" i="11"/>
  <c r="I97" i="11"/>
  <c r="I94" i="11"/>
  <c r="J105" i="11"/>
  <c r="J99" i="11"/>
  <c r="E98" i="11"/>
  <c r="F109" i="11"/>
  <c r="G100" i="11"/>
  <c r="I98" i="11"/>
  <c r="K116" i="11"/>
  <c r="E106" i="11"/>
  <c r="G111" i="11"/>
  <c r="H274" i="11"/>
  <c r="H284" i="11"/>
  <c r="F278" i="11"/>
  <c r="F275" i="11"/>
  <c r="F261" i="11"/>
  <c r="I265" i="11"/>
  <c r="J152" i="11"/>
  <c r="I149" i="11"/>
  <c r="J149" i="11"/>
  <c r="J151" i="11"/>
  <c r="L168" i="11"/>
  <c r="H154" i="11"/>
  <c r="H153" i="11"/>
  <c r="H165" i="11"/>
  <c r="G163" i="11"/>
  <c r="H164" i="11"/>
  <c r="H159" i="11"/>
  <c r="E170" i="11"/>
  <c r="E153" i="11"/>
  <c r="K168" i="11"/>
  <c r="K172" i="11"/>
  <c r="K167" i="11"/>
  <c r="E161" i="11"/>
  <c r="H216" i="11"/>
  <c r="E221" i="11"/>
  <c r="G218" i="11"/>
  <c r="G215" i="11"/>
  <c r="G223" i="11"/>
  <c r="L213" i="11"/>
  <c r="J221" i="11"/>
  <c r="H211" i="11"/>
  <c r="E222" i="11"/>
  <c r="G228" i="11"/>
  <c r="K221" i="11"/>
  <c r="I217" i="11"/>
  <c r="E227" i="11"/>
  <c r="K209" i="11"/>
  <c r="I205" i="11"/>
  <c r="I212" i="11"/>
  <c r="L204" i="11"/>
  <c r="L45" i="11"/>
  <c r="I40" i="11"/>
  <c r="J43" i="11"/>
  <c r="K41" i="11"/>
  <c r="K38" i="11"/>
  <c r="K35" i="11"/>
  <c r="H53" i="11"/>
  <c r="H36" i="11"/>
  <c r="I36" i="11"/>
  <c r="H55" i="11"/>
  <c r="I38" i="11"/>
  <c r="E50" i="11"/>
  <c r="F45" i="11"/>
  <c r="E41" i="11"/>
  <c r="F50" i="11"/>
  <c r="E51" i="11"/>
  <c r="J41" i="11"/>
  <c r="E42" i="11"/>
  <c r="K107" i="11"/>
  <c r="I111" i="11"/>
  <c r="J107" i="11"/>
  <c r="F101" i="11"/>
  <c r="F97" i="11"/>
  <c r="J111" i="11"/>
  <c r="K113" i="11"/>
  <c r="I101" i="11"/>
  <c r="I99" i="11"/>
  <c r="I113" i="11"/>
  <c r="I102" i="11"/>
  <c r="H100" i="11"/>
  <c r="J92" i="11"/>
  <c r="G99" i="11"/>
  <c r="G102" i="11"/>
  <c r="I105" i="11"/>
  <c r="E97" i="11"/>
  <c r="G112" i="11"/>
  <c r="H266" i="11"/>
  <c r="H273" i="11"/>
  <c r="F267" i="11"/>
  <c r="F264" i="11"/>
  <c r="I279" i="11"/>
  <c r="L272" i="11"/>
  <c r="L283" i="11"/>
  <c r="G276" i="11"/>
  <c r="I166" i="11"/>
  <c r="J166" i="11"/>
  <c r="I159" i="11"/>
  <c r="I150" i="11"/>
  <c r="L160" i="11"/>
  <c r="H162" i="11"/>
  <c r="E152" i="11"/>
  <c r="G166" i="11"/>
  <c r="G152" i="11"/>
  <c r="H168" i="11"/>
  <c r="E162" i="11"/>
  <c r="E159" i="11"/>
  <c r="E156" i="11"/>
  <c r="K160" i="11"/>
  <c r="K166" i="11"/>
  <c r="K156" i="11"/>
  <c r="K161" i="11"/>
  <c r="E224" i="11"/>
  <c r="E213" i="11"/>
  <c r="G210" i="11"/>
  <c r="G225" i="11"/>
  <c r="G212" i="11"/>
  <c r="J224" i="11"/>
  <c r="J223" i="11"/>
  <c r="H213" i="11"/>
  <c r="E220" i="11"/>
  <c r="K222" i="11"/>
  <c r="K213" i="11"/>
  <c r="I209" i="11"/>
  <c r="F209" i="11"/>
  <c r="K223" i="11"/>
  <c r="J217" i="11"/>
  <c r="L206" i="11"/>
  <c r="J222" i="11"/>
  <c r="K50" i="11"/>
  <c r="I57" i="11"/>
  <c r="J60" i="11"/>
  <c r="J40" i="11"/>
  <c r="J37" i="11"/>
  <c r="J59" i="11"/>
  <c r="G36" i="11"/>
  <c r="H50" i="11"/>
  <c r="H58" i="11"/>
  <c r="H44" i="11"/>
  <c r="H52" i="11"/>
  <c r="I53" i="11"/>
  <c r="F59" i="11"/>
  <c r="K53" i="11"/>
  <c r="E57" i="11"/>
  <c r="E40" i="11"/>
  <c r="G39" i="11"/>
  <c r="E56" i="11"/>
  <c r="H116" i="11"/>
  <c r="K100" i="11"/>
  <c r="I112" i="11"/>
  <c r="J108" i="11"/>
  <c r="J96" i="11"/>
  <c r="I103" i="11"/>
  <c r="H98" i="11"/>
  <c r="K105" i="11"/>
  <c r="K114" i="11"/>
  <c r="I92" i="11"/>
  <c r="I107" i="11"/>
  <c r="L112" i="11"/>
  <c r="I106" i="11"/>
  <c r="E109" i="11"/>
  <c r="G92" i="11"/>
  <c r="G113" i="11"/>
  <c r="G93" i="11"/>
  <c r="E108" i="11"/>
  <c r="H271" i="11"/>
  <c r="H281" i="11"/>
  <c r="I260" i="11"/>
  <c r="I282" i="11"/>
  <c r="I167" i="11"/>
  <c r="K152" i="11"/>
  <c r="I215" i="11"/>
  <c r="G50" i="11"/>
  <c r="H102" i="11"/>
  <c r="J104" i="11"/>
  <c r="H261" i="11"/>
  <c r="J261" i="11"/>
  <c r="G259" i="11"/>
  <c r="L260" i="11"/>
  <c r="J276" i="11"/>
  <c r="I277" i="11"/>
  <c r="E284" i="11"/>
  <c r="L265" i="11"/>
  <c r="E262" i="11"/>
  <c r="K266" i="11"/>
  <c r="E263" i="11"/>
  <c r="I270" i="11"/>
  <c r="L27" i="11"/>
  <c r="E68" i="11"/>
  <c r="I134" i="11"/>
  <c r="F146" i="11"/>
  <c r="J200" i="11"/>
  <c r="F241" i="11"/>
  <c r="F16" i="11"/>
  <c r="I69" i="11"/>
  <c r="K81" i="11"/>
  <c r="J135" i="11"/>
  <c r="K189" i="11"/>
  <c r="L242" i="11"/>
  <c r="J254" i="11"/>
  <c r="I26" i="11"/>
  <c r="H133" i="11"/>
  <c r="J14" i="11"/>
  <c r="K82" i="11"/>
  <c r="H136" i="11"/>
  <c r="L255" i="11"/>
  <c r="F18" i="11"/>
  <c r="I71" i="11"/>
  <c r="F83" i="11"/>
  <c r="J137" i="11"/>
  <c r="K179" i="11"/>
  <c r="L244" i="11"/>
  <c r="J256" i="11"/>
  <c r="G240" i="11"/>
  <c r="J29" i="11"/>
  <c r="E70" i="11"/>
  <c r="G243" i="11"/>
  <c r="I72" i="11"/>
  <c r="L126" i="11"/>
  <c r="L245" i="11"/>
  <c r="G20" i="11"/>
  <c r="I73" i="11"/>
  <c r="L181" i="11"/>
  <c r="I258" i="11"/>
  <c r="K79" i="11"/>
  <c r="E145" i="11"/>
  <c r="I252" i="11"/>
  <c r="J84" i="11"/>
  <c r="G138" i="11"/>
  <c r="G257" i="11"/>
  <c r="J32" i="11"/>
  <c r="I85" i="11"/>
  <c r="H193" i="11"/>
  <c r="F246" i="11"/>
  <c r="G33" i="11"/>
  <c r="H74" i="11"/>
  <c r="I128" i="11"/>
  <c r="H140" i="11"/>
  <c r="G194" i="11"/>
  <c r="K235" i="11"/>
  <c r="L34" i="11"/>
  <c r="L75" i="11"/>
  <c r="I129" i="11"/>
  <c r="H141" i="11"/>
  <c r="H195" i="11"/>
  <c r="F236" i="11"/>
  <c r="H67" i="11"/>
  <c r="K88" i="11"/>
  <c r="E130" i="11"/>
  <c r="J196" i="11"/>
  <c r="G249" i="11"/>
  <c r="J12" i="11"/>
  <c r="E24" i="11"/>
  <c r="K89" i="11"/>
  <c r="H131" i="11"/>
  <c r="L185" i="11"/>
  <c r="F197" i="11"/>
  <c r="J167" i="11"/>
  <c r="G151" i="11"/>
  <c r="E216" i="11"/>
  <c r="F217" i="11"/>
  <c r="G58" i="11"/>
  <c r="K103" i="11"/>
  <c r="G104" i="11"/>
  <c r="H263" i="11"/>
  <c r="F277" i="11"/>
  <c r="E283" i="11"/>
  <c r="L274" i="11"/>
  <c r="J265" i="11"/>
  <c r="G267" i="11"/>
  <c r="E273" i="11"/>
  <c r="F263" i="11"/>
  <c r="F270" i="11"/>
  <c r="K280" i="11"/>
  <c r="K260" i="11"/>
  <c r="G260" i="11"/>
  <c r="H27" i="11"/>
  <c r="K68" i="11"/>
  <c r="E134" i="11"/>
  <c r="L146" i="11"/>
  <c r="H200" i="11"/>
  <c r="K241" i="11"/>
  <c r="E16" i="11"/>
  <c r="H69" i="11"/>
  <c r="G81" i="11"/>
  <c r="G135" i="11"/>
  <c r="F189" i="11"/>
  <c r="J242" i="11"/>
  <c r="K254" i="11"/>
  <c r="J26" i="11"/>
  <c r="K133" i="11"/>
  <c r="E14" i="11"/>
  <c r="H82" i="11"/>
  <c r="E136" i="11"/>
  <c r="J255" i="11"/>
  <c r="I18" i="11"/>
  <c r="F71" i="11"/>
  <c r="G83" i="11"/>
  <c r="G137" i="11"/>
  <c r="I179" i="11"/>
  <c r="G244" i="11"/>
  <c r="G256" i="11"/>
  <c r="I240" i="11"/>
  <c r="K29" i="11"/>
  <c r="G70" i="11"/>
  <c r="I243" i="11"/>
  <c r="H72" i="11"/>
  <c r="E126" i="11"/>
  <c r="J245" i="11"/>
  <c r="H20" i="11"/>
  <c r="F73" i="11"/>
  <c r="J181" i="11"/>
  <c r="E258" i="11"/>
  <c r="H79" i="11"/>
  <c r="G145" i="11"/>
  <c r="E252" i="11"/>
  <c r="G84" i="11"/>
  <c r="H138" i="11"/>
  <c r="I257" i="11"/>
  <c r="K32" i="11"/>
  <c r="G85" i="11"/>
  <c r="L193" i="11"/>
  <c r="G246" i="11"/>
  <c r="L33" i="11"/>
  <c r="E74" i="11"/>
  <c r="E128" i="11"/>
  <c r="E140" i="11"/>
  <c r="E194" i="11"/>
  <c r="E235" i="11"/>
  <c r="G34" i="11"/>
  <c r="G75" i="11"/>
  <c r="F129" i="11"/>
  <c r="E141" i="11"/>
  <c r="E195" i="11"/>
  <c r="G236" i="11"/>
  <c r="E67" i="11"/>
  <c r="H88" i="11"/>
  <c r="G130" i="11"/>
  <c r="E196" i="11"/>
  <c r="K249" i="11"/>
  <c r="K12" i="11"/>
  <c r="J24" i="11"/>
  <c r="I151" i="11"/>
  <c r="G153" i="11"/>
  <c r="G221" i="11"/>
  <c r="I219" i="11"/>
  <c r="H47" i="11"/>
  <c r="I96" i="11"/>
  <c r="L98" i="11"/>
  <c r="H279" i="11"/>
  <c r="L261" i="11"/>
  <c r="L263" i="11"/>
  <c r="J282" i="11"/>
  <c r="F284" i="11"/>
  <c r="E259" i="11"/>
  <c r="K281" i="11"/>
  <c r="E278" i="11"/>
  <c r="G280" i="11"/>
  <c r="K265" i="11"/>
  <c r="K274" i="11"/>
  <c r="E265" i="11"/>
  <c r="I27" i="11"/>
  <c r="G68" i="11"/>
  <c r="G134" i="11"/>
  <c r="K146" i="11"/>
  <c r="L200" i="11"/>
  <c r="J241" i="11"/>
  <c r="H16" i="11"/>
  <c r="J69" i="11"/>
  <c r="E81" i="11"/>
  <c r="F135" i="11"/>
  <c r="I189" i="11"/>
  <c r="F242" i="11"/>
  <c r="F254" i="11"/>
  <c r="K26" i="11"/>
  <c r="E133" i="11"/>
  <c r="F14" i="11"/>
  <c r="J82" i="11"/>
  <c r="K136" i="11"/>
  <c r="F255" i="11"/>
  <c r="H18" i="11"/>
  <c r="L71" i="11"/>
  <c r="E83" i="11"/>
  <c r="F137" i="11"/>
  <c r="F179" i="11"/>
  <c r="I244" i="11"/>
  <c r="K256" i="11"/>
  <c r="E240" i="11"/>
  <c r="L29" i="11"/>
  <c r="J70" i="11"/>
  <c r="L243" i="11"/>
  <c r="J72" i="11"/>
  <c r="K126" i="11"/>
  <c r="F245" i="11"/>
  <c r="I20" i="11"/>
  <c r="E73" i="11"/>
  <c r="E181" i="11"/>
  <c r="K258" i="11"/>
  <c r="J79" i="11"/>
  <c r="K145" i="11"/>
  <c r="L252" i="11"/>
  <c r="F84" i="11"/>
  <c r="K138" i="11"/>
  <c r="E257" i="11"/>
  <c r="L32" i="11"/>
  <c r="E85" i="11"/>
  <c r="E193" i="11"/>
  <c r="K246" i="11"/>
  <c r="H33" i="11"/>
  <c r="G74" i="11"/>
  <c r="L128" i="11"/>
  <c r="K140" i="11"/>
  <c r="J194" i="11"/>
  <c r="G235" i="11"/>
  <c r="H34" i="11"/>
  <c r="E75" i="11"/>
  <c r="L129" i="11"/>
  <c r="K141" i="11"/>
  <c r="J195" i="11"/>
  <c r="K236" i="11"/>
  <c r="G67" i="11"/>
  <c r="J88" i="11"/>
  <c r="K130" i="11"/>
  <c r="H196" i="11"/>
  <c r="F249" i="11"/>
  <c r="G12" i="11"/>
  <c r="F24" i="11"/>
  <c r="J89" i="11"/>
  <c r="K131" i="11"/>
  <c r="E185" i="11"/>
  <c r="K197" i="11"/>
  <c r="L250" i="11"/>
  <c r="I161" i="11"/>
  <c r="K154" i="11"/>
  <c r="L222" i="11"/>
  <c r="K220" i="11"/>
  <c r="G52" i="11"/>
  <c r="J97" i="11"/>
  <c r="E112" i="11"/>
  <c r="H270" i="11"/>
  <c r="J269" i="11"/>
  <c r="L277" i="11"/>
  <c r="J271" i="11"/>
  <c r="F273" i="11"/>
  <c r="E276" i="11"/>
  <c r="K270" i="11"/>
  <c r="E267" i="11"/>
  <c r="E280" i="11"/>
  <c r="I281" i="11"/>
  <c r="K276" i="11"/>
  <c r="E282" i="11"/>
  <c r="I15" i="11"/>
  <c r="J27" i="11"/>
  <c r="F80" i="11"/>
  <c r="L134" i="11"/>
  <c r="L188" i="11"/>
  <c r="F200" i="11"/>
  <c r="H253" i="11"/>
  <c r="J28" i="11"/>
  <c r="G69" i="11"/>
  <c r="I123" i="11"/>
  <c r="H135" i="11"/>
  <c r="L201" i="11"/>
  <c r="G242" i="11"/>
  <c r="G26" i="11"/>
  <c r="J199" i="11"/>
  <c r="K17" i="11"/>
  <c r="F82" i="11"/>
  <c r="H202" i="11"/>
  <c r="G255" i="11"/>
  <c r="K30" i="11"/>
  <c r="K71" i="11"/>
  <c r="I125" i="11"/>
  <c r="E137" i="11"/>
  <c r="L191" i="11"/>
  <c r="F244" i="11"/>
  <c r="L240" i="11"/>
  <c r="F29" i="11"/>
  <c r="L190" i="11"/>
  <c r="J243" i="11"/>
  <c r="K31" i="11"/>
  <c r="G72" i="11"/>
  <c r="E180" i="11"/>
  <c r="G245" i="11"/>
  <c r="J20" i="11"/>
  <c r="J127" i="11"/>
  <c r="H181" i="11"/>
  <c r="F79" i="11"/>
  <c r="L187" i="11"/>
  <c r="J252" i="11"/>
  <c r="I19" i="11"/>
  <c r="L84" i="11"/>
  <c r="H192" i="11"/>
  <c r="L257" i="11"/>
  <c r="G32" i="11"/>
  <c r="I139" i="11"/>
  <c r="G193" i="11"/>
  <c r="J21" i="11"/>
  <c r="I33" i="11"/>
  <c r="L86" i="11"/>
  <c r="G128" i="11"/>
  <c r="H182" i="11"/>
  <c r="H194" i="11"/>
  <c r="H247" i="11"/>
  <c r="I124" i="11"/>
  <c r="I22" i="11"/>
  <c r="I34" i="11"/>
  <c r="F87" i="11"/>
  <c r="E129" i="11"/>
  <c r="J183" i="11"/>
  <c r="G195" i="11"/>
  <c r="H248" i="11"/>
  <c r="K11" i="11"/>
  <c r="F88" i="11"/>
  <c r="G184" i="11"/>
  <c r="G196" i="11"/>
  <c r="H157" i="11"/>
  <c r="K150" i="11"/>
  <c r="L227" i="11"/>
  <c r="J228" i="11"/>
  <c r="H41" i="11"/>
  <c r="J95" i="11"/>
  <c r="E95" i="11"/>
  <c r="J281" i="11"/>
  <c r="I273" i="11"/>
  <c r="J260" i="11"/>
  <c r="F262" i="11"/>
  <c r="I266" i="11"/>
  <c r="K284" i="11"/>
  <c r="K259" i="11"/>
  <c r="K275" i="11"/>
  <c r="E272" i="11"/>
  <c r="G262" i="11"/>
  <c r="J284" i="11"/>
  <c r="K279" i="11"/>
  <c r="J15" i="11"/>
  <c r="F27" i="11"/>
  <c r="L80" i="11"/>
  <c r="F134" i="11"/>
  <c r="J188" i="11"/>
  <c r="G200" i="11"/>
  <c r="E253" i="11"/>
  <c r="K28" i="11"/>
  <c r="F69" i="11"/>
  <c r="J123" i="11"/>
  <c r="L135" i="11"/>
  <c r="H201" i="11"/>
  <c r="I242" i="11"/>
  <c r="F26" i="11"/>
  <c r="L199" i="11"/>
  <c r="L17" i="11"/>
  <c r="I82" i="11"/>
  <c r="L202" i="11"/>
  <c r="E255" i="11"/>
  <c r="G30" i="11"/>
  <c r="E71" i="11"/>
  <c r="J125" i="11"/>
  <c r="L137" i="11"/>
  <c r="G191" i="11"/>
  <c r="J244" i="11"/>
  <c r="J240" i="11"/>
  <c r="H29" i="11"/>
  <c r="J190" i="11"/>
  <c r="F243" i="11"/>
  <c r="L31" i="11"/>
  <c r="F72" i="11"/>
  <c r="H180" i="11"/>
  <c r="I245" i="11"/>
  <c r="F20" i="11"/>
  <c r="I127" i="11"/>
  <c r="I181" i="11"/>
  <c r="I79" i="11"/>
  <c r="J187" i="11"/>
  <c r="F252" i="11"/>
  <c r="J19" i="11"/>
  <c r="K84" i="11"/>
  <c r="L192" i="11"/>
  <c r="J257" i="11"/>
  <c r="F32" i="11"/>
  <c r="J139" i="11"/>
  <c r="I193" i="11"/>
  <c r="K21" i="11"/>
  <c r="J33" i="11"/>
  <c r="K86" i="11"/>
  <c r="F128" i="11"/>
  <c r="L182" i="11"/>
  <c r="F194" i="11"/>
  <c r="G247" i="11"/>
  <c r="J124" i="11"/>
  <c r="J22" i="11"/>
  <c r="E34" i="11"/>
  <c r="L87" i="11"/>
  <c r="G129" i="11"/>
  <c r="H183" i="11"/>
  <c r="K195" i="11"/>
  <c r="L248" i="11"/>
  <c r="L11" i="11"/>
  <c r="I88" i="11"/>
  <c r="J184" i="11"/>
  <c r="F196" i="11"/>
  <c r="H12" i="11"/>
  <c r="I77" i="11"/>
  <c r="F89" i="11"/>
  <c r="J143" i="11"/>
  <c r="F185" i="11"/>
  <c r="E155" i="11"/>
  <c r="G219" i="11"/>
  <c r="E226" i="11"/>
  <c r="H49" i="11"/>
  <c r="I114" i="11"/>
  <c r="E113" i="11"/>
  <c r="I274" i="11"/>
  <c r="I262" i="11"/>
  <c r="J274" i="11"/>
  <c r="F279" i="11"/>
  <c r="I280" i="11"/>
  <c r="K273" i="11"/>
  <c r="L271" i="11"/>
  <c r="K264" i="11"/>
  <c r="E261" i="11"/>
  <c r="E274" i="11"/>
  <c r="I263" i="11"/>
  <c r="K268" i="11"/>
  <c r="K15" i="11"/>
  <c r="G27" i="11"/>
  <c r="K80" i="11"/>
  <c r="H134" i="11"/>
  <c r="G188" i="11"/>
  <c r="K200" i="11"/>
  <c r="I253" i="11"/>
  <c r="L28" i="11"/>
  <c r="L69" i="11"/>
  <c r="G123" i="11"/>
  <c r="K135" i="11"/>
  <c r="E201" i="11"/>
  <c r="K242" i="11"/>
  <c r="L26" i="11"/>
  <c r="H199" i="11"/>
  <c r="H17" i="11"/>
  <c r="G82" i="11"/>
  <c r="G202" i="11"/>
  <c r="K255" i="11"/>
  <c r="L30" i="11"/>
  <c r="H71" i="11"/>
  <c r="F125" i="11"/>
  <c r="H137" i="11"/>
  <c r="E191" i="11"/>
  <c r="K244" i="11"/>
  <c r="F240" i="11"/>
  <c r="E29" i="11"/>
  <c r="E190" i="11"/>
  <c r="E243" i="11"/>
  <c r="I31" i="11"/>
  <c r="L72" i="11"/>
  <c r="J180" i="11"/>
  <c r="E245" i="11"/>
  <c r="K20" i="11"/>
  <c r="L127" i="11"/>
  <c r="F181" i="11"/>
  <c r="G79" i="11"/>
  <c r="E187" i="11"/>
  <c r="G252" i="11"/>
  <c r="K19" i="11"/>
  <c r="E84" i="11"/>
  <c r="E192" i="11"/>
  <c r="F257" i="11"/>
  <c r="H32" i="11"/>
  <c r="L139" i="11"/>
  <c r="K193" i="11"/>
  <c r="G21" i="11"/>
  <c r="F33" i="11"/>
  <c r="H86" i="11"/>
  <c r="H128" i="11"/>
  <c r="E182" i="11"/>
  <c r="K194" i="11"/>
  <c r="E247" i="11"/>
  <c r="E124" i="11"/>
  <c r="K22" i="11"/>
  <c r="J34" i="11"/>
  <c r="K87" i="11"/>
  <c r="K129" i="11"/>
  <c r="L183" i="11"/>
  <c r="F195" i="11"/>
  <c r="J248" i="11"/>
  <c r="G11" i="11"/>
  <c r="G88" i="11"/>
  <c r="L184" i="11"/>
  <c r="K196" i="11"/>
  <c r="E157" i="11"/>
  <c r="J226" i="11"/>
  <c r="K42" i="11"/>
  <c r="E55" i="11"/>
  <c r="H114" i="11"/>
  <c r="G109" i="11"/>
  <c r="J278" i="11"/>
  <c r="L269" i="11"/>
  <c r="F265" i="11"/>
  <c r="I272" i="11"/>
  <c r="G283" i="11"/>
  <c r="K262" i="11"/>
  <c r="F281" i="11"/>
  <c r="J273" i="11"/>
  <c r="K269" i="11"/>
  <c r="E266" i="11"/>
  <c r="G272" i="11"/>
  <c r="E279" i="11"/>
  <c r="L15" i="11"/>
  <c r="E27" i="11"/>
  <c r="H80" i="11"/>
  <c r="K134" i="11"/>
  <c r="E188" i="11"/>
  <c r="I200" i="11"/>
  <c r="F253" i="11"/>
  <c r="H28" i="11"/>
  <c r="E69" i="11"/>
  <c r="H123" i="11"/>
  <c r="E135" i="11"/>
  <c r="J201" i="11"/>
  <c r="E242" i="11"/>
  <c r="E26" i="11"/>
  <c r="E199" i="11"/>
  <c r="I17" i="11"/>
  <c r="E82" i="11"/>
  <c r="E202" i="11"/>
  <c r="I255" i="11"/>
  <c r="H30" i="11"/>
  <c r="G71" i="11"/>
  <c r="L125" i="11"/>
  <c r="K137" i="11"/>
  <c r="J191" i="11"/>
  <c r="E244" i="11"/>
  <c r="K240" i="11"/>
  <c r="G29" i="11"/>
  <c r="H190" i="11"/>
  <c r="K243" i="11"/>
  <c r="E31" i="11"/>
  <c r="E72" i="11"/>
  <c r="L180" i="11"/>
  <c r="K245" i="11"/>
  <c r="E20" i="11"/>
  <c r="E127" i="11"/>
  <c r="K181" i="11"/>
  <c r="E79" i="11"/>
  <c r="H187" i="11"/>
  <c r="K252" i="11"/>
  <c r="L19" i="11"/>
  <c r="I84" i="11"/>
  <c r="G192" i="11"/>
  <c r="K257" i="11"/>
  <c r="E32" i="11"/>
  <c r="H139" i="11"/>
  <c r="F193" i="11"/>
  <c r="L21" i="11"/>
  <c r="E33" i="11"/>
  <c r="J86" i="11"/>
  <c r="K128" i="11"/>
  <c r="J182" i="11"/>
  <c r="I194" i="11"/>
  <c r="I247" i="11"/>
  <c r="G124" i="11"/>
  <c r="L22" i="11"/>
  <c r="F34" i="11"/>
  <c r="I87" i="11"/>
  <c r="H129" i="11"/>
  <c r="G183" i="11"/>
  <c r="I195" i="11"/>
  <c r="F248" i="11"/>
  <c r="H11" i="11"/>
  <c r="E88" i="11"/>
  <c r="H184" i="11"/>
  <c r="I196" i="11"/>
  <c r="F12" i="11"/>
  <c r="L77" i="11"/>
  <c r="E89" i="11"/>
  <c r="H143" i="11"/>
  <c r="K185" i="11"/>
  <c r="E238" i="11"/>
  <c r="G155" i="11"/>
  <c r="H214" i="11"/>
  <c r="H54" i="11"/>
  <c r="I45" i="11"/>
  <c r="K104" i="11"/>
  <c r="G96" i="11"/>
  <c r="I271" i="11"/>
  <c r="J266" i="11"/>
  <c r="F282" i="11"/>
  <c r="I261" i="11"/>
  <c r="G275" i="11"/>
  <c r="L276" i="11"/>
  <c r="E281" i="11"/>
  <c r="F276" i="11"/>
  <c r="K283" i="11"/>
  <c r="K263" i="11"/>
  <c r="E268" i="11"/>
  <c r="H15" i="11"/>
  <c r="H68" i="11"/>
  <c r="J80" i="11"/>
  <c r="I146" i="11"/>
  <c r="I188" i="11"/>
  <c r="H241" i="11"/>
  <c r="L253" i="11"/>
  <c r="I16" i="11"/>
  <c r="I28" i="11"/>
  <c r="I81" i="11"/>
  <c r="F123" i="11"/>
  <c r="H189" i="11"/>
  <c r="G201" i="11"/>
  <c r="H254" i="11"/>
  <c r="J133" i="11"/>
  <c r="G199" i="11"/>
  <c r="K14" i="11"/>
  <c r="J17" i="11"/>
  <c r="J136" i="11"/>
  <c r="K202" i="11"/>
  <c r="J18" i="11"/>
  <c r="I30" i="11"/>
  <c r="L83" i="11"/>
  <c r="G125" i="11"/>
  <c r="H179" i="11"/>
  <c r="H191" i="11"/>
  <c r="H256" i="11"/>
  <c r="F70" i="11"/>
  <c r="G190" i="11"/>
  <c r="H31" i="11"/>
  <c r="I126" i="11"/>
  <c r="F180" i="11"/>
  <c r="L73" i="11"/>
  <c r="G127" i="11"/>
  <c r="H258" i="11"/>
  <c r="I145" i="11"/>
  <c r="F187" i="11"/>
  <c r="G19" i="11"/>
  <c r="I138" i="11"/>
  <c r="J192" i="11"/>
  <c r="L85" i="11"/>
  <c r="F139" i="11"/>
  <c r="H246" i="11"/>
  <c r="H21" i="11"/>
  <c r="J74" i="11"/>
  <c r="I86" i="11"/>
  <c r="I140" i="11"/>
  <c r="G182" i="11"/>
  <c r="H235" i="11"/>
  <c r="F247" i="11"/>
  <c r="F124" i="11"/>
  <c r="H22" i="11"/>
  <c r="K75" i="11"/>
  <c r="G87" i="11"/>
  <c r="I141" i="11"/>
  <c r="I183" i="11"/>
  <c r="H236" i="11"/>
  <c r="G248" i="11"/>
  <c r="J67" i="11"/>
  <c r="I11" i="11"/>
  <c r="J130" i="11"/>
  <c r="E184" i="11"/>
  <c r="H249" i="11"/>
  <c r="K24" i="11"/>
  <c r="K77" i="11"/>
  <c r="F152" i="11"/>
  <c r="E228" i="11"/>
  <c r="I37" i="11"/>
  <c r="E46" i="11"/>
  <c r="K101" i="11"/>
  <c r="G110" i="11"/>
  <c r="J275" i="11"/>
  <c r="J280" i="11"/>
  <c r="I275" i="11"/>
  <c r="G281" i="11"/>
  <c r="G264" i="11"/>
  <c r="J262" i="11"/>
  <c r="E270" i="11"/>
  <c r="E275" i="11"/>
  <c r="G279" i="11"/>
  <c r="K277" i="11"/>
  <c r="E260" i="11"/>
  <c r="G15" i="11"/>
  <c r="J68" i="11"/>
  <c r="I80" i="11"/>
  <c r="J146" i="11"/>
  <c r="F188" i="11"/>
  <c r="L241" i="11"/>
  <c r="J253" i="11"/>
  <c r="J16" i="11"/>
  <c r="E28" i="11"/>
  <c r="H81" i="11"/>
  <c r="L123" i="11"/>
  <c r="G189" i="11"/>
  <c r="F201" i="11"/>
  <c r="G254" i="11"/>
  <c r="I133" i="11"/>
  <c r="F199" i="11"/>
  <c r="L14" i="11"/>
  <c r="G17" i="11"/>
  <c r="I136" i="11"/>
  <c r="F202" i="11"/>
  <c r="K18" i="11"/>
  <c r="J30" i="11"/>
  <c r="K83" i="11"/>
  <c r="E125" i="11"/>
  <c r="J179" i="11"/>
  <c r="F191" i="11"/>
  <c r="E256" i="11"/>
  <c r="I70" i="11"/>
  <c r="I190" i="11"/>
  <c r="J31" i="11"/>
  <c r="J126" i="11"/>
  <c r="I180" i="11"/>
  <c r="K73" i="11"/>
  <c r="F127" i="11"/>
  <c r="L258" i="11"/>
  <c r="J145" i="11"/>
  <c r="I187" i="11"/>
  <c r="E19" i="11"/>
  <c r="J138" i="11"/>
  <c r="K192" i="11"/>
  <c r="K85" i="11"/>
  <c r="G139" i="11"/>
  <c r="I246" i="11"/>
  <c r="E21" i="11"/>
  <c r="I74" i="11"/>
  <c r="F86" i="11"/>
  <c r="J140" i="11"/>
  <c r="F182" i="11"/>
  <c r="F235" i="11"/>
  <c r="L247" i="11"/>
  <c r="H124" i="11"/>
  <c r="E22" i="11"/>
  <c r="I75" i="11"/>
  <c r="E87" i="11"/>
  <c r="J141" i="11"/>
  <c r="K183" i="11"/>
  <c r="I236" i="11"/>
  <c r="I248" i="11"/>
  <c r="F67" i="11"/>
  <c r="E11" i="11"/>
  <c r="I130" i="11"/>
  <c r="K184" i="11"/>
  <c r="I249" i="11"/>
  <c r="G24" i="11"/>
  <c r="H77" i="11"/>
  <c r="J131" i="11"/>
  <c r="F143" i="11"/>
  <c r="J197" i="11"/>
  <c r="L238" i="11"/>
  <c r="E165" i="11"/>
  <c r="G205" i="11"/>
  <c r="J57" i="11"/>
  <c r="H57" i="11"/>
  <c r="K108" i="11"/>
  <c r="J115" i="11"/>
  <c r="J264" i="11"/>
  <c r="J263" i="11"/>
  <c r="I264" i="11"/>
  <c r="G270" i="11"/>
  <c r="L282" i="11"/>
  <c r="F259" i="11"/>
  <c r="K278" i="11"/>
  <c r="E264" i="11"/>
  <c r="G268" i="11"/>
  <c r="I269" i="11"/>
  <c r="K282" i="11"/>
  <c r="E15" i="11"/>
  <c r="I68" i="11"/>
  <c r="E80" i="11"/>
  <c r="H146" i="11"/>
  <c r="H188" i="11"/>
  <c r="G241" i="11"/>
  <c r="G253" i="11"/>
  <c r="K16" i="11"/>
  <c r="F28" i="11"/>
  <c r="J81" i="11"/>
  <c r="E123" i="11"/>
  <c r="L189" i="11"/>
  <c r="I201" i="11"/>
  <c r="I254" i="11"/>
  <c r="G133" i="11"/>
  <c r="K199" i="11"/>
  <c r="G14" i="11"/>
  <c r="F17" i="11"/>
  <c r="G136" i="11"/>
  <c r="J202" i="11"/>
  <c r="L18" i="11"/>
  <c r="F30" i="11"/>
  <c r="H83" i="11"/>
  <c r="H125" i="11"/>
  <c r="L179" i="11"/>
  <c r="K191" i="11"/>
  <c r="I256" i="11"/>
  <c r="L70" i="11"/>
  <c r="F190" i="11"/>
  <c r="F31" i="11"/>
  <c r="F126" i="11"/>
  <c r="K180" i="11"/>
  <c r="H73" i="11"/>
  <c r="H127" i="11"/>
  <c r="J258" i="11"/>
  <c r="F145" i="11"/>
  <c r="G187" i="11"/>
  <c r="H19" i="11"/>
  <c r="F138" i="11"/>
  <c r="F192" i="11"/>
  <c r="H85" i="11"/>
  <c r="E139" i="11"/>
  <c r="E246" i="11"/>
  <c r="F21" i="11"/>
  <c r="F74" i="11"/>
  <c r="G86" i="11"/>
  <c r="G140" i="11"/>
  <c r="I182" i="11"/>
  <c r="J235" i="11"/>
  <c r="J247" i="11"/>
  <c r="L124" i="11"/>
  <c r="F22" i="11"/>
  <c r="H75" i="11"/>
  <c r="J87" i="11"/>
  <c r="G141" i="11"/>
  <c r="F183" i="11"/>
  <c r="E236" i="11"/>
  <c r="E248" i="11"/>
  <c r="I67" i="11"/>
  <c r="J11" i="11"/>
  <c r="F130" i="11"/>
  <c r="I184" i="11"/>
  <c r="E249" i="11"/>
  <c r="E172" i="11"/>
  <c r="F221" i="11"/>
  <c r="J54" i="11"/>
  <c r="F60" i="11"/>
  <c r="H115" i="11"/>
  <c r="E92" i="11"/>
  <c r="I268" i="11"/>
  <c r="F268" i="11"/>
  <c r="G284" i="11"/>
  <c r="L279" i="11"/>
  <c r="J268" i="11"/>
  <c r="I259" i="11"/>
  <c r="K267" i="11"/>
  <c r="K272" i="11"/>
  <c r="E277" i="11"/>
  <c r="G278" i="11"/>
  <c r="K271" i="11"/>
  <c r="F15" i="11"/>
  <c r="F68" i="11"/>
  <c r="G80" i="11"/>
  <c r="E146" i="11"/>
  <c r="K188" i="11"/>
  <c r="E241" i="11"/>
  <c r="K253" i="11"/>
  <c r="L16" i="11"/>
  <c r="G28" i="11"/>
  <c r="F81" i="11"/>
  <c r="K123" i="11"/>
  <c r="E189" i="11"/>
  <c r="K201" i="11"/>
  <c r="E254" i="11"/>
  <c r="L133" i="11"/>
  <c r="I199" i="11"/>
  <c r="H14" i="11"/>
  <c r="E17" i="11"/>
  <c r="F136" i="11"/>
  <c r="I202" i="11"/>
  <c r="E18" i="11"/>
  <c r="E30" i="11"/>
  <c r="J83" i="11"/>
  <c r="K125" i="11"/>
  <c r="G179" i="11"/>
  <c r="I191" i="11"/>
  <c r="F256" i="11"/>
  <c r="K70" i="11"/>
  <c r="K190" i="11"/>
  <c r="G31" i="11"/>
  <c r="G126" i="11"/>
  <c r="G180" i="11"/>
  <c r="J73" i="11"/>
  <c r="K127" i="11"/>
  <c r="F258" i="11"/>
  <c r="L145" i="11"/>
  <c r="K187" i="11"/>
  <c r="F19" i="11"/>
  <c r="L138" i="11"/>
  <c r="I192" i="11"/>
  <c r="J85" i="11"/>
  <c r="K139" i="11"/>
  <c r="L246" i="11"/>
  <c r="I21" i="11"/>
  <c r="L74" i="11"/>
  <c r="E86" i="11"/>
  <c r="F140" i="11"/>
  <c r="K182" i="11"/>
  <c r="I235" i="11"/>
  <c r="K247" i="11"/>
  <c r="K124" i="11"/>
  <c r="G22" i="11"/>
  <c r="J75" i="11"/>
  <c r="H87" i="11"/>
  <c r="F141" i="11"/>
  <c r="E183" i="11"/>
  <c r="L236" i="11"/>
  <c r="K248" i="11"/>
  <c r="L67" i="11"/>
  <c r="F11" i="11"/>
  <c r="H130" i="11"/>
  <c r="F184" i="11"/>
  <c r="L249" i="11"/>
  <c r="H24" i="11"/>
  <c r="G77" i="11"/>
  <c r="E131" i="11"/>
  <c r="K143" i="11"/>
  <c r="E163" i="11"/>
  <c r="F116" i="11"/>
  <c r="J279" i="11"/>
  <c r="H255" i="11"/>
  <c r="K72" i="11"/>
  <c r="H252" i="11"/>
  <c r="J193" i="11"/>
  <c r="L194" i="11"/>
  <c r="K34" i="11"/>
  <c r="F77" i="11"/>
  <c r="E143" i="11"/>
  <c r="J238" i="11"/>
  <c r="L23" i="11"/>
  <c r="J142" i="11"/>
  <c r="I237" i="11"/>
  <c r="K25" i="11"/>
  <c r="L78" i="11"/>
  <c r="J132" i="11"/>
  <c r="G144" i="11"/>
  <c r="L198" i="11"/>
  <c r="F239" i="11"/>
  <c r="E100" i="11"/>
  <c r="H126" i="11"/>
  <c r="J246" i="11"/>
  <c r="L235" i="11"/>
  <c r="F75" i="11"/>
  <c r="K67" i="11"/>
  <c r="E77" i="11"/>
  <c r="G143" i="11"/>
  <c r="G238" i="11"/>
  <c r="E23" i="11"/>
  <c r="H142" i="11"/>
  <c r="E237" i="11"/>
  <c r="L25" i="11"/>
  <c r="K78" i="11"/>
  <c r="G132" i="11"/>
  <c r="F144" i="11"/>
  <c r="E198" i="11"/>
  <c r="G239" i="11"/>
  <c r="G198" i="11"/>
  <c r="G271" i="11"/>
  <c r="K27" i="11"/>
  <c r="H245" i="11"/>
  <c r="J129" i="11"/>
  <c r="L88" i="11"/>
  <c r="L89" i="11"/>
  <c r="H185" i="11"/>
  <c r="I238" i="11"/>
  <c r="K23" i="11"/>
  <c r="F142" i="11"/>
  <c r="K237" i="11"/>
  <c r="G25" i="11"/>
  <c r="E78" i="11"/>
  <c r="F132" i="11"/>
  <c r="K144" i="11"/>
  <c r="J198" i="11"/>
  <c r="K239" i="11"/>
  <c r="I132" i="11"/>
  <c r="F260" i="11"/>
  <c r="L68" i="11"/>
  <c r="G16" i="11"/>
  <c r="G18" i="11"/>
  <c r="L141" i="11"/>
  <c r="L130" i="11"/>
  <c r="H89" i="11"/>
  <c r="G185" i="11"/>
  <c r="F238" i="11"/>
  <c r="L76" i="11"/>
  <c r="L142" i="11"/>
  <c r="H13" i="11"/>
  <c r="H25" i="11"/>
  <c r="G90" i="11"/>
  <c r="H132" i="11"/>
  <c r="J186" i="11"/>
  <c r="H198" i="11"/>
  <c r="H251" i="11"/>
  <c r="G273" i="11"/>
  <c r="J134" i="11"/>
  <c r="K69" i="11"/>
  <c r="H26" i="11"/>
  <c r="J71" i="11"/>
  <c r="H240" i="11"/>
  <c r="H84" i="11"/>
  <c r="L195" i="11"/>
  <c r="L196" i="11"/>
  <c r="I89" i="11"/>
  <c r="J185" i="11"/>
  <c r="K238" i="11"/>
  <c r="K76" i="11"/>
  <c r="G142" i="11"/>
  <c r="I13" i="11"/>
  <c r="I25" i="11"/>
  <c r="F90" i="11"/>
  <c r="L132" i="11"/>
  <c r="H186" i="11"/>
  <c r="F198" i="11"/>
  <c r="F251" i="11"/>
  <c r="H239" i="11"/>
  <c r="I142" i="11"/>
  <c r="L268" i="11"/>
  <c r="G146" i="11"/>
  <c r="L81" i="11"/>
  <c r="F133" i="11"/>
  <c r="I83" i="11"/>
  <c r="E138" i="11"/>
  <c r="J236" i="11"/>
  <c r="J249" i="11"/>
  <c r="G89" i="11"/>
  <c r="I185" i="11"/>
  <c r="H250" i="11"/>
  <c r="H76" i="11"/>
  <c r="E142" i="11"/>
  <c r="J13" i="11"/>
  <c r="E25" i="11"/>
  <c r="L90" i="11"/>
  <c r="E132" i="11"/>
  <c r="L186" i="11"/>
  <c r="I198" i="11"/>
  <c r="I251" i="11"/>
  <c r="G186" i="11"/>
  <c r="F85" i="11"/>
  <c r="E144" i="11"/>
  <c r="I227" i="11"/>
  <c r="F271" i="11"/>
  <c r="E200" i="11"/>
  <c r="I135" i="11"/>
  <c r="I137" i="11"/>
  <c r="I29" i="11"/>
  <c r="L20" i="11"/>
  <c r="H257" i="11"/>
  <c r="I12" i="11"/>
  <c r="I131" i="11"/>
  <c r="G197" i="11"/>
  <c r="G250" i="11"/>
  <c r="J76" i="11"/>
  <c r="K142" i="11"/>
  <c r="K13" i="11"/>
  <c r="F25" i="11"/>
  <c r="K90" i="11"/>
  <c r="K132" i="11"/>
  <c r="E186" i="11"/>
  <c r="K198" i="11"/>
  <c r="J251" i="11"/>
  <c r="K251" i="11"/>
  <c r="J77" i="11"/>
  <c r="F78" i="11"/>
  <c r="J51" i="11"/>
  <c r="G261" i="11"/>
  <c r="I241" i="11"/>
  <c r="J189" i="11"/>
  <c r="E179" i="11"/>
  <c r="H70" i="11"/>
  <c r="G73" i="11"/>
  <c r="L12" i="11"/>
  <c r="G131" i="11"/>
  <c r="E197" i="11"/>
  <c r="F250" i="11"/>
  <c r="G23" i="11"/>
  <c r="F76" i="11"/>
  <c r="H237" i="11"/>
  <c r="G13" i="11"/>
  <c r="I78" i="11"/>
  <c r="I90" i="11"/>
  <c r="I144" i="11"/>
  <c r="H145" i="11"/>
  <c r="K250" i="11"/>
  <c r="J25" i="11"/>
  <c r="I46" i="11"/>
  <c r="I283" i="11"/>
  <c r="H242" i="11"/>
  <c r="H244" i="11"/>
  <c r="H243" i="11"/>
  <c r="G181" i="11"/>
  <c r="K33" i="11"/>
  <c r="E12" i="11"/>
  <c r="L131" i="11"/>
  <c r="H197" i="11"/>
  <c r="J250" i="11"/>
  <c r="H23" i="11"/>
  <c r="I76" i="11"/>
  <c r="G237" i="11"/>
  <c r="F13" i="11"/>
  <c r="H78" i="11"/>
  <c r="H90" i="11"/>
  <c r="J144" i="11"/>
  <c r="K186" i="11"/>
  <c r="I239" i="11"/>
  <c r="E251" i="11"/>
  <c r="H238" i="11"/>
  <c r="F23" i="11"/>
  <c r="K261" i="11"/>
  <c r="L254" i="11"/>
  <c r="I14" i="11"/>
  <c r="L256" i="11"/>
  <c r="G258" i="11"/>
  <c r="K74" i="11"/>
  <c r="L24" i="11"/>
  <c r="F131" i="11"/>
  <c r="I197" i="11"/>
  <c r="E250" i="11"/>
  <c r="I23" i="11"/>
  <c r="G76" i="11"/>
  <c r="L237" i="11"/>
  <c r="L13" i="11"/>
  <c r="J78" i="11"/>
  <c r="J90" i="11"/>
  <c r="L144" i="11"/>
  <c r="F186" i="11"/>
  <c r="E239" i="11"/>
  <c r="G251" i="11"/>
  <c r="L140" i="11"/>
  <c r="L143" i="11"/>
  <c r="J239" i="11"/>
  <c r="E269" i="11"/>
  <c r="L82" i="11"/>
  <c r="L79" i="11"/>
  <c r="I32" i="11"/>
  <c r="J128" i="11"/>
  <c r="I24" i="11"/>
  <c r="I143" i="11"/>
  <c r="L197" i="11"/>
  <c r="I250" i="11"/>
  <c r="J23" i="11"/>
  <c r="E76" i="11"/>
  <c r="J237" i="11"/>
  <c r="E13" i="11"/>
  <c r="G78" i="11"/>
  <c r="E90" i="11"/>
  <c r="H144" i="11"/>
  <c r="I186" i="11"/>
  <c r="L239" i="11"/>
  <c r="L251" i="11"/>
  <c r="E271" i="11"/>
  <c r="L136" i="11"/>
  <c r="F237" i="11"/>
  <c r="K578" i="20"/>
  <c r="G578" i="15"/>
  <c r="F577" i="15"/>
  <c r="E580" i="21"/>
  <c r="L580" i="15"/>
  <c r="K580" i="21"/>
  <c r="I578" i="15"/>
  <c r="I579" i="21"/>
  <c r="E578" i="20"/>
  <c r="K579" i="21"/>
  <c r="I579" i="15"/>
  <c r="G579" i="15"/>
  <c r="F578" i="15"/>
  <c r="F578" i="21"/>
  <c r="E578" i="21"/>
  <c r="G580" i="20"/>
  <c r="L577" i="15"/>
  <c r="I578" i="21"/>
  <c r="K579" i="20"/>
  <c r="G576" i="15"/>
  <c r="G580" i="21"/>
  <c r="F579" i="20"/>
  <c r="E579" i="20"/>
  <c r="L578" i="15"/>
  <c r="K579" i="15"/>
  <c r="I576" i="15"/>
  <c r="I579" i="11"/>
  <c r="L579" i="20"/>
  <c r="J578" i="15"/>
  <c r="G580" i="15"/>
  <c r="G578" i="21"/>
  <c r="I580" i="20"/>
  <c r="H580" i="20"/>
  <c r="G578" i="20"/>
  <c r="K576" i="15"/>
  <c r="K578" i="21"/>
  <c r="F580" i="20"/>
  <c r="K580" i="15"/>
  <c r="L579" i="21"/>
  <c r="I580" i="21"/>
  <c r="G577" i="15"/>
  <c r="G579" i="21"/>
  <c r="J580" i="21"/>
  <c r="F580" i="15"/>
  <c r="I577" i="15"/>
  <c r="K580" i="20"/>
  <c r="I578" i="20"/>
  <c r="E579" i="15"/>
  <c r="I576" i="11"/>
  <c r="K577" i="15"/>
  <c r="J578" i="21"/>
  <c r="L578" i="20"/>
  <c r="K578" i="15"/>
  <c r="J579" i="21"/>
  <c r="J576" i="15"/>
  <c r="F579" i="21"/>
  <c r="H578" i="15"/>
  <c r="I579" i="20"/>
  <c r="E576" i="15"/>
  <c r="H578" i="20"/>
  <c r="G579" i="20"/>
  <c r="F578" i="20"/>
  <c r="I580" i="11"/>
  <c r="J580" i="15"/>
  <c r="H580" i="15"/>
  <c r="H580" i="21"/>
  <c r="J580" i="20"/>
  <c r="E580" i="15"/>
  <c r="H579" i="20"/>
  <c r="I578" i="11"/>
  <c r="J577" i="15"/>
  <c r="J579" i="15"/>
  <c r="J578" i="20"/>
  <c r="E578" i="15"/>
  <c r="I580" i="15"/>
  <c r="H577" i="15"/>
  <c r="H579" i="21"/>
  <c r="E577" i="15"/>
  <c r="I577" i="11"/>
  <c r="L580" i="21"/>
  <c r="H579" i="15"/>
  <c r="F579" i="15"/>
  <c r="L580" i="20"/>
  <c r="L576" i="15"/>
  <c r="H576" i="15"/>
  <c r="H578" i="21"/>
  <c r="J579" i="20"/>
  <c r="F576" i="15"/>
  <c r="F580" i="21"/>
  <c r="E579" i="21"/>
  <c r="E580" i="20"/>
  <c r="L579" i="15"/>
  <c r="L578" i="21"/>
  <c r="F577" i="11"/>
  <c r="E579" i="11"/>
  <c r="J579" i="11"/>
  <c r="G579" i="11"/>
  <c r="J576" i="11"/>
  <c r="F580" i="11"/>
  <c r="E577" i="11"/>
  <c r="J577" i="11"/>
  <c r="G576" i="11"/>
  <c r="F578" i="11"/>
  <c r="E580" i="11"/>
  <c r="L578" i="11"/>
  <c r="K577" i="11"/>
  <c r="F576" i="11"/>
  <c r="E576" i="11"/>
  <c r="L576" i="11"/>
  <c r="F579" i="11"/>
  <c r="H580" i="11"/>
  <c r="L579" i="11"/>
  <c r="J578" i="11"/>
  <c r="H578" i="11"/>
  <c r="L577" i="11"/>
  <c r="K578" i="11"/>
  <c r="H576" i="11"/>
  <c r="L580" i="11"/>
  <c r="G578" i="11"/>
  <c r="K580" i="11"/>
  <c r="H579" i="11"/>
  <c r="E578" i="11"/>
  <c r="K576" i="11"/>
  <c r="H577" i="11"/>
  <c r="G580" i="11"/>
  <c r="K579" i="11"/>
  <c r="J580" i="11"/>
  <c r="G577" i="11"/>
  <c r="I571" i="21"/>
  <c r="G577" i="20"/>
  <c r="K572" i="21"/>
  <c r="I577" i="20"/>
  <c r="K571" i="21"/>
  <c r="E577" i="20"/>
  <c r="L572" i="21"/>
  <c r="H574" i="20"/>
  <c r="J572" i="21"/>
  <c r="E573" i="21"/>
  <c r="J574" i="20"/>
  <c r="I572" i="21"/>
  <c r="L573" i="21"/>
  <c r="L574" i="20"/>
  <c r="K573" i="21"/>
  <c r="I574" i="20"/>
  <c r="L571" i="21"/>
  <c r="H577" i="20"/>
  <c r="H573" i="21"/>
  <c r="E574" i="20"/>
  <c r="J571" i="21"/>
  <c r="L577" i="20"/>
  <c r="J573" i="21"/>
  <c r="G574" i="20"/>
  <c r="F572" i="21"/>
  <c r="J577" i="20"/>
  <c r="I574" i="21"/>
  <c r="I575" i="21"/>
  <c r="K577" i="20"/>
  <c r="J574" i="21"/>
  <c r="H572" i="21"/>
  <c r="F577" i="20"/>
  <c r="K575" i="21"/>
  <c r="K574" i="21"/>
  <c r="H571" i="21"/>
  <c r="H574" i="21"/>
  <c r="K574" i="20"/>
  <c r="I573" i="21"/>
  <c r="L574" i="21"/>
  <c r="F574" i="20"/>
  <c r="L576" i="21"/>
  <c r="K577" i="21"/>
  <c r="E576" i="21"/>
  <c r="J577" i="21"/>
  <c r="L577" i="21"/>
  <c r="K576" i="20"/>
  <c r="J575" i="20"/>
  <c r="E575" i="20"/>
  <c r="J576" i="20"/>
  <c r="H575" i="21"/>
  <c r="J576" i="21"/>
  <c r="I575" i="20"/>
  <c r="J575" i="21"/>
  <c r="I576" i="21"/>
  <c r="G575" i="20"/>
  <c r="L576" i="20"/>
  <c r="L575" i="21"/>
  <c r="F576" i="21"/>
  <c r="K575" i="20"/>
  <c r="I577" i="21"/>
  <c r="H575" i="20"/>
  <c r="H576" i="21"/>
  <c r="H577" i="21"/>
  <c r="F575" i="20"/>
  <c r="F572" i="20"/>
  <c r="I573" i="20"/>
  <c r="G576" i="20"/>
  <c r="I571" i="20"/>
  <c r="G572" i="20"/>
  <c r="K573" i="20"/>
  <c r="E576" i="20"/>
  <c r="J571" i="20"/>
  <c r="I572" i="20"/>
  <c r="I576" i="20"/>
  <c r="G571" i="20"/>
  <c r="E572" i="20"/>
  <c r="H573" i="20"/>
  <c r="K576" i="21"/>
  <c r="H576" i="20"/>
  <c r="E571" i="20"/>
  <c r="K572" i="20"/>
  <c r="L575" i="20"/>
  <c r="F576" i="20"/>
  <c r="K571" i="20"/>
  <c r="H572" i="20"/>
  <c r="L573" i="20"/>
  <c r="H571" i="20"/>
  <c r="F571" i="20"/>
  <c r="L571" i="20"/>
  <c r="J572" i="20"/>
  <c r="F573" i="20"/>
  <c r="L572" i="20"/>
  <c r="E573" i="20"/>
  <c r="J573" i="20"/>
  <c r="G573" i="20"/>
  <c r="F573" i="15"/>
  <c r="J574" i="15"/>
  <c r="G572" i="15"/>
  <c r="H573" i="15"/>
  <c r="L574" i="15"/>
  <c r="L572" i="15"/>
  <c r="I573" i="15"/>
  <c r="I574" i="15"/>
  <c r="K572" i="15"/>
  <c r="L573" i="15"/>
  <c r="E575" i="15"/>
  <c r="I572" i="15"/>
  <c r="G573" i="15"/>
  <c r="J572" i="15"/>
  <c r="J573" i="15"/>
  <c r="G575" i="15"/>
  <c r="H572" i="15"/>
  <c r="K573" i="15"/>
  <c r="H575" i="15"/>
  <c r="H574" i="15"/>
  <c r="L575" i="15"/>
  <c r="G574" i="15"/>
  <c r="K575" i="15"/>
  <c r="I575" i="15"/>
  <c r="I571" i="15"/>
  <c r="K571" i="15"/>
  <c r="J571" i="15"/>
  <c r="L571" i="15"/>
  <c r="K574" i="15"/>
  <c r="J575" i="15"/>
  <c r="F571" i="15"/>
  <c r="H571" i="15"/>
  <c r="G571" i="15"/>
  <c r="I574" i="11"/>
  <c r="F573" i="11"/>
  <c r="K574" i="11"/>
  <c r="J573" i="11"/>
  <c r="E574" i="11"/>
  <c r="K573" i="11"/>
  <c r="H574" i="11"/>
  <c r="G573" i="11"/>
  <c r="I575" i="11"/>
  <c r="L574" i="11"/>
  <c r="I572" i="11"/>
  <c r="F575" i="11"/>
  <c r="F574" i="11"/>
  <c r="F572" i="11"/>
  <c r="J575" i="11"/>
  <c r="J574" i="11"/>
  <c r="J572" i="11"/>
  <c r="K575" i="11"/>
  <c r="G574" i="11"/>
  <c r="K572" i="11"/>
  <c r="E575" i="11"/>
  <c r="I573" i="11"/>
  <c r="H572" i="11"/>
  <c r="G575" i="11"/>
  <c r="E573" i="11"/>
  <c r="L572" i="11"/>
  <c r="H575" i="11"/>
  <c r="H573" i="11"/>
  <c r="G572" i="11"/>
  <c r="L573" i="11"/>
  <c r="F571" i="11"/>
  <c r="E572" i="11"/>
  <c r="J571" i="11"/>
  <c r="G571" i="11"/>
  <c r="L575" i="11"/>
  <c r="I571" i="11"/>
  <c r="K571" i="11"/>
  <c r="E571" i="11"/>
  <c r="H571" i="11"/>
  <c r="L571" i="11"/>
  <c r="F566" i="21"/>
  <c r="F510" i="21"/>
  <c r="I454" i="21"/>
  <c r="L454" i="21"/>
  <c r="L454" i="20"/>
  <c r="L566" i="20"/>
  <c r="J454" i="20"/>
  <c r="J454" i="21"/>
  <c r="F454" i="20"/>
  <c r="H454" i="20"/>
  <c r="G510" i="21"/>
  <c r="H566" i="20"/>
  <c r="J510" i="20"/>
  <c r="I510" i="20"/>
  <c r="L566" i="21"/>
  <c r="K454" i="20"/>
  <c r="G566" i="20"/>
  <c r="J566" i="21"/>
  <c r="K454" i="21"/>
  <c r="G510" i="20"/>
  <c r="L510" i="20"/>
  <c r="H454" i="21"/>
  <c r="G454" i="21"/>
  <c r="L510" i="21"/>
  <c r="I566" i="21"/>
  <c r="H510" i="21"/>
  <c r="H566" i="21"/>
  <c r="I454" i="20"/>
  <c r="I566" i="20"/>
  <c r="K566" i="20"/>
  <c r="F510" i="20"/>
  <c r="J566" i="20"/>
  <c r="F566" i="20"/>
  <c r="H510" i="20"/>
  <c r="G566" i="21"/>
  <c r="K566" i="21"/>
  <c r="G454" i="20"/>
  <c r="K510" i="20"/>
  <c r="I510" i="21"/>
  <c r="K510" i="21"/>
  <c r="J510" i="21"/>
  <c r="I505" i="15"/>
  <c r="I487" i="15"/>
  <c r="L506" i="15"/>
  <c r="L488" i="15"/>
  <c r="L470" i="15"/>
  <c r="F502" i="15"/>
  <c r="F484" i="15"/>
  <c r="F466" i="15"/>
  <c r="G497" i="15"/>
  <c r="G479" i="15"/>
  <c r="J495" i="15"/>
  <c r="J477" i="15"/>
  <c r="J459" i="15"/>
  <c r="L478" i="15"/>
  <c r="L501" i="15"/>
  <c r="H471" i="15"/>
  <c r="L493" i="15"/>
  <c r="G465" i="15"/>
  <c r="F486" i="15"/>
  <c r="F459" i="15"/>
  <c r="I480" i="15"/>
  <c r="F501" i="15"/>
  <c r="K500" i="15"/>
  <c r="E505" i="15"/>
  <c r="J508" i="15"/>
  <c r="L459" i="15"/>
  <c r="H462" i="15"/>
  <c r="G462" i="15"/>
  <c r="F462" i="15"/>
  <c r="E462" i="15"/>
  <c r="I464" i="15"/>
  <c r="I462" i="15"/>
  <c r="G460" i="15"/>
  <c r="E493" i="15"/>
  <c r="E504" i="15"/>
  <c r="E486" i="15"/>
  <c r="H505" i="15"/>
  <c r="H487" i="15"/>
  <c r="H469" i="15"/>
  <c r="J500" i="15"/>
  <c r="J482" i="15"/>
  <c r="J464" i="15"/>
  <c r="K495" i="15"/>
  <c r="K477" i="15"/>
  <c r="F494" i="15"/>
  <c r="F476" i="15"/>
  <c r="G507" i="15"/>
  <c r="H476" i="15"/>
  <c r="G499" i="15"/>
  <c r="I469" i="15"/>
  <c r="H491" i="15"/>
  <c r="G463" i="15"/>
  <c r="H483" i="15"/>
  <c r="L508" i="15"/>
  <c r="E478" i="15"/>
  <c r="H497" i="15"/>
  <c r="E497" i="15"/>
  <c r="H500" i="15"/>
  <c r="L504" i="15"/>
  <c r="E508" i="15"/>
  <c r="L507" i="15"/>
  <c r="I507" i="15"/>
  <c r="H507" i="15"/>
  <c r="G505" i="15"/>
  <c r="G502" i="15"/>
  <c r="K497" i="15"/>
  <c r="G508" i="15"/>
  <c r="L492" i="15"/>
  <c r="I502" i="15"/>
  <c r="I484" i="15"/>
  <c r="L503" i="15"/>
  <c r="L485" i="15"/>
  <c r="L467" i="15"/>
  <c r="F499" i="15"/>
  <c r="F481" i="15"/>
  <c r="F463" i="15"/>
  <c r="G494" i="15"/>
  <c r="G476" i="15"/>
  <c r="J492" i="15"/>
  <c r="J474" i="15"/>
  <c r="I504" i="15"/>
  <c r="K473" i="15"/>
  <c r="K496" i="15"/>
  <c r="H467" i="15"/>
  <c r="K488" i="15"/>
  <c r="G461" i="15"/>
  <c r="L480" i="15"/>
  <c r="H506" i="15"/>
  <c r="J475" i="15"/>
  <c r="I492" i="15"/>
  <c r="H492" i="15"/>
  <c r="I495" i="15"/>
  <c r="E500" i="15"/>
  <c r="H503" i="15"/>
  <c r="E503" i="15"/>
  <c r="L502" i="15"/>
  <c r="K502" i="15"/>
  <c r="G492" i="15"/>
  <c r="E488" i="15"/>
  <c r="K484" i="15"/>
  <c r="G495" i="15"/>
  <c r="E501" i="15"/>
  <c r="E483" i="15"/>
  <c r="H502" i="15"/>
  <c r="H484" i="15"/>
  <c r="H466" i="15"/>
  <c r="J497" i="15"/>
  <c r="J479" i="15"/>
  <c r="J461" i="15"/>
  <c r="K492" i="15"/>
  <c r="K474" i="15"/>
  <c r="F491" i="15"/>
  <c r="F473" i="15"/>
  <c r="E502" i="15"/>
  <c r="I471" i="15"/>
  <c r="E494" i="15"/>
  <c r="H465" i="15"/>
  <c r="G486" i="15"/>
  <c r="G459" i="15"/>
  <c r="G478" i="15"/>
  <c r="K503" i="15"/>
  <c r="E473" i="15"/>
  <c r="L487" i="15"/>
  <c r="K487" i="15"/>
  <c r="F492" i="15"/>
  <c r="H495" i="15"/>
  <c r="K499" i="15"/>
  <c r="H498" i="15"/>
  <c r="G498" i="15"/>
  <c r="F498" i="15"/>
  <c r="E479" i="15"/>
  <c r="E475" i="15"/>
  <c r="L471" i="15"/>
  <c r="E482" i="15"/>
  <c r="I499" i="15"/>
  <c r="I481" i="15"/>
  <c r="L500" i="15"/>
  <c r="L482" i="15"/>
  <c r="L464" i="15"/>
  <c r="F496" i="15"/>
  <c r="F478" i="15"/>
  <c r="F460" i="15"/>
  <c r="G491" i="15"/>
  <c r="J507" i="15"/>
  <c r="J489" i="15"/>
  <c r="E498" i="15"/>
  <c r="E480" i="15"/>
  <c r="H499" i="15"/>
  <c r="H481" i="15"/>
  <c r="H463" i="15"/>
  <c r="J494" i="15"/>
  <c r="J476" i="15"/>
  <c r="K507" i="15"/>
  <c r="K489" i="15"/>
  <c r="F506" i="15"/>
  <c r="F488" i="15"/>
  <c r="F470" i="15"/>
  <c r="L496" i="15"/>
  <c r="I467" i="15"/>
  <c r="F489" i="15"/>
  <c r="H461" i="15"/>
  <c r="E481" i="15"/>
  <c r="F504" i="15"/>
  <c r="G473" i="15"/>
  <c r="I498" i="15"/>
  <c r="L468" i="15"/>
  <c r="I479" i="15"/>
  <c r="H479" i="15"/>
  <c r="I482" i="15"/>
  <c r="E487" i="15"/>
  <c r="G490" i="15"/>
  <c r="E490" i="15"/>
  <c r="L489" i="15"/>
  <c r="I489" i="15"/>
  <c r="I503" i="15"/>
  <c r="I500" i="15"/>
  <c r="I497" i="15"/>
  <c r="K459" i="15"/>
  <c r="I496" i="15"/>
  <c r="I478" i="15"/>
  <c r="L497" i="15"/>
  <c r="L479" i="15"/>
  <c r="L461" i="15"/>
  <c r="F493" i="15"/>
  <c r="F475" i="15"/>
  <c r="G506" i="15"/>
  <c r="G488" i="15"/>
  <c r="J504" i="15"/>
  <c r="J486" i="15"/>
  <c r="J468" i="15"/>
  <c r="H494" i="15"/>
  <c r="I465" i="15"/>
  <c r="H486" i="15"/>
  <c r="H459" i="15"/>
  <c r="J478" i="15"/>
  <c r="H501" i="15"/>
  <c r="F471" i="15"/>
  <c r="E496" i="15"/>
  <c r="L466" i="15"/>
  <c r="L474" i="15"/>
  <c r="I474" i="15"/>
  <c r="L477" i="15"/>
  <c r="H482" i="15"/>
  <c r="I485" i="15"/>
  <c r="H485" i="15"/>
  <c r="E485" i="15"/>
  <c r="L484" i="15"/>
  <c r="J490" i="15"/>
  <c r="J487" i="15"/>
  <c r="J484" i="15"/>
  <c r="L505" i="15"/>
  <c r="E495" i="15"/>
  <c r="E477" i="15"/>
  <c r="H496" i="15"/>
  <c r="H478" i="15"/>
  <c r="H460" i="15"/>
  <c r="J491" i="15"/>
  <c r="J473" i="15"/>
  <c r="K504" i="15"/>
  <c r="K486" i="15"/>
  <c r="F503" i="15"/>
  <c r="F485" i="15"/>
  <c r="F467" i="15"/>
  <c r="K491" i="15"/>
  <c r="J463" i="15"/>
  <c r="L483" i="15"/>
  <c r="K506" i="15"/>
  <c r="L475" i="15"/>
  <c r="L498" i="15"/>
  <c r="E469" i="15"/>
  <c r="J493" i="15"/>
  <c r="E465" i="15"/>
  <c r="K470" i="15"/>
  <c r="I470" i="15"/>
  <c r="G474" i="15"/>
  <c r="I477" i="15"/>
  <c r="L481" i="15"/>
  <c r="K481" i="15"/>
  <c r="H480" i="15"/>
  <c r="G480" i="15"/>
  <c r="H477" i="15"/>
  <c r="H474" i="15"/>
  <c r="K471" i="15"/>
  <c r="F480" i="15"/>
  <c r="I493" i="15"/>
  <c r="I475" i="15"/>
  <c r="L494" i="15"/>
  <c r="L476" i="15"/>
  <c r="F508" i="15"/>
  <c r="F490" i="15"/>
  <c r="F472" i="15"/>
  <c r="G503" i="15"/>
  <c r="G485" i="15"/>
  <c r="J501" i="15"/>
  <c r="J483" i="15"/>
  <c r="J465" i="15"/>
  <c r="G489" i="15"/>
  <c r="I461" i="15"/>
  <c r="G481" i="15"/>
  <c r="G504" i="15"/>
  <c r="H473" i="15"/>
  <c r="G496" i="15"/>
  <c r="E467" i="15"/>
  <c r="L490" i="15"/>
  <c r="L462" i="15"/>
  <c r="E468" i="15"/>
  <c r="K467" i="15"/>
  <c r="G470" i="15"/>
  <c r="F474" i="15"/>
  <c r="G477" i="15"/>
  <c r="F477" i="15"/>
  <c r="K476" i="15"/>
  <c r="I476" i="15"/>
  <c r="G466" i="15"/>
  <c r="L463" i="15"/>
  <c r="K460" i="15"/>
  <c r="K479" i="15"/>
  <c r="I508" i="15"/>
  <c r="I490" i="15"/>
  <c r="I472" i="15"/>
  <c r="L491" i="15"/>
  <c r="L473" i="15"/>
  <c r="F505" i="15"/>
  <c r="F487" i="15"/>
  <c r="F469" i="15"/>
  <c r="G500" i="15"/>
  <c r="G482" i="15"/>
  <c r="J498" i="15"/>
  <c r="J480" i="15"/>
  <c r="J462" i="15"/>
  <c r="E484" i="15"/>
  <c r="F507" i="15"/>
  <c r="E476" i="15"/>
  <c r="E499" i="15"/>
  <c r="G469" i="15"/>
  <c r="E491" i="15"/>
  <c r="E463" i="15"/>
  <c r="K485" i="15"/>
  <c r="E459" i="15"/>
  <c r="J460" i="15"/>
  <c r="I460" i="15"/>
  <c r="K463" i="15"/>
  <c r="I466" i="15"/>
  <c r="K469" i="15"/>
  <c r="K468" i="15"/>
  <c r="I468" i="15"/>
  <c r="H468" i="15"/>
  <c r="H489" i="15"/>
  <c r="L486" i="15"/>
  <c r="K482" i="15"/>
  <c r="F468" i="15"/>
  <c r="E492" i="15"/>
  <c r="J470" i="15"/>
  <c r="F461" i="15"/>
  <c r="J496" i="15"/>
  <c r="G483" i="15"/>
  <c r="E460" i="15"/>
  <c r="K465" i="15"/>
  <c r="H470" i="15"/>
  <c r="I328" i="15"/>
  <c r="J335" i="15"/>
  <c r="J317" i="15"/>
  <c r="J331" i="15"/>
  <c r="L310" i="15"/>
  <c r="K334" i="15"/>
  <c r="I313" i="15"/>
  <c r="H340" i="15"/>
  <c r="F318" i="15"/>
  <c r="J299" i="15"/>
  <c r="K328" i="15"/>
  <c r="I308" i="15"/>
  <c r="E340" i="15"/>
  <c r="K317" i="15"/>
  <c r="H299" i="15"/>
  <c r="H328" i="15"/>
  <c r="G308" i="15"/>
  <c r="L338" i="15"/>
  <c r="I323" i="15"/>
  <c r="K336" i="15"/>
  <c r="G297" i="15"/>
  <c r="F306" i="15"/>
  <c r="H318" i="15"/>
  <c r="K305" i="15"/>
  <c r="L299" i="15"/>
  <c r="J333" i="15"/>
  <c r="I312" i="15"/>
  <c r="L302" i="15"/>
  <c r="F294" i="15"/>
  <c r="L330" i="15"/>
  <c r="J310" i="15"/>
  <c r="F296" i="15"/>
  <c r="L320" i="15"/>
  <c r="I390" i="15"/>
  <c r="E489" i="15"/>
  <c r="J467" i="15"/>
  <c r="J499" i="15"/>
  <c r="I483" i="15"/>
  <c r="E471" i="15"/>
  <c r="K490" i="15"/>
  <c r="G493" i="15"/>
  <c r="L469" i="15"/>
  <c r="E327" i="15"/>
  <c r="F334" i="15"/>
  <c r="F316" i="15"/>
  <c r="K329" i="15"/>
  <c r="H309" i="15"/>
  <c r="L332" i="15"/>
  <c r="E312" i="15"/>
  <c r="F338" i="15"/>
  <c r="G316" i="15"/>
  <c r="F298" i="15"/>
  <c r="L326" i="15"/>
  <c r="E307" i="15"/>
  <c r="J337" i="15"/>
  <c r="L315" i="15"/>
  <c r="L297" i="15"/>
  <c r="I326" i="15"/>
  <c r="K306" i="15"/>
  <c r="E335" i="15"/>
  <c r="E320" i="15"/>
  <c r="G333" i="15"/>
  <c r="J294" i="15"/>
  <c r="F303" i="15"/>
  <c r="L314" i="15"/>
  <c r="K302" i="15"/>
  <c r="K295" i="15"/>
  <c r="H326" i="15"/>
  <c r="K307" i="15"/>
  <c r="J298" i="15"/>
  <c r="F291" i="15"/>
  <c r="K323" i="15"/>
  <c r="L305" i="15"/>
  <c r="F293" i="15"/>
  <c r="K292" i="15"/>
  <c r="E474" i="15"/>
  <c r="K501" i="15"/>
  <c r="I486" i="15"/>
  <c r="G471" i="15"/>
  <c r="L460" i="15"/>
  <c r="E470" i="15"/>
  <c r="E472" i="15"/>
  <c r="G468" i="15"/>
  <c r="I325" i="15"/>
  <c r="J332" i="15"/>
  <c r="K339" i="15"/>
  <c r="L327" i="15"/>
  <c r="L307" i="15"/>
  <c r="E331" i="15"/>
  <c r="I310" i="15"/>
  <c r="F336" i="15"/>
  <c r="J314" i="15"/>
  <c r="J296" i="15"/>
  <c r="E325" i="15"/>
  <c r="I305" i="15"/>
  <c r="K335" i="15"/>
  <c r="H314" i="15"/>
  <c r="H296" i="15"/>
  <c r="K324" i="15"/>
  <c r="G305" i="15"/>
  <c r="H331" i="15"/>
  <c r="H316" i="15"/>
  <c r="I329" i="15"/>
  <c r="J292" i="15"/>
  <c r="F300" i="15"/>
  <c r="J340" i="15"/>
  <c r="K299" i="15"/>
  <c r="H292" i="15"/>
  <c r="G319" i="15"/>
  <c r="I303" i="15"/>
  <c r="H294" i="15"/>
  <c r="K338" i="15"/>
  <c r="J316" i="15"/>
  <c r="J301" i="15"/>
  <c r="H335" i="15"/>
  <c r="F314" i="15"/>
  <c r="I387" i="15"/>
  <c r="L388" i="15"/>
  <c r="F393" i="15"/>
  <c r="K396" i="15"/>
  <c r="H508" i="15"/>
  <c r="K498" i="15"/>
  <c r="J481" i="15"/>
  <c r="G467" i="15"/>
  <c r="K505" i="15"/>
  <c r="K462" i="15"/>
  <c r="K464" i="15"/>
  <c r="E506" i="15"/>
  <c r="E324" i="15"/>
  <c r="F331" i="15"/>
  <c r="I339" i="15"/>
  <c r="F326" i="15"/>
  <c r="H306" i="15"/>
  <c r="G329" i="15"/>
  <c r="E309" i="15"/>
  <c r="G334" i="15"/>
  <c r="F313" i="15"/>
  <c r="F295" i="15"/>
  <c r="G323" i="15"/>
  <c r="E304" i="15"/>
  <c r="L333" i="15"/>
  <c r="L312" i="15"/>
  <c r="L294" i="15"/>
  <c r="E323" i="15"/>
  <c r="K303" i="15"/>
  <c r="K327" i="15"/>
  <c r="G313" i="15"/>
  <c r="E326" i="15"/>
  <c r="J336" i="15"/>
  <c r="F297" i="15"/>
  <c r="G336" i="15"/>
  <c r="K296" i="15"/>
  <c r="J334" i="15"/>
  <c r="J312" i="15"/>
  <c r="K298" i="15"/>
  <c r="G291" i="15"/>
  <c r="G331" i="15"/>
  <c r="K310" i="15"/>
  <c r="L296" i="15"/>
  <c r="J300" i="15"/>
  <c r="H493" i="15"/>
  <c r="K483" i="15"/>
  <c r="J469" i="15"/>
  <c r="I506" i="15"/>
  <c r="G484" i="15"/>
  <c r="F495" i="15"/>
  <c r="K466" i="15"/>
  <c r="I340" i="15"/>
  <c r="I322" i="15"/>
  <c r="J329" i="15"/>
  <c r="E338" i="15"/>
  <c r="H324" i="15"/>
  <c r="L304" i="15"/>
  <c r="I327" i="15"/>
  <c r="I307" i="15"/>
  <c r="H332" i="15"/>
  <c r="J311" i="15"/>
  <c r="J293" i="15"/>
  <c r="I321" i="15"/>
  <c r="I302" i="15"/>
  <c r="F332" i="15"/>
  <c r="H311" i="15"/>
  <c r="H293" i="15"/>
  <c r="G321" i="15"/>
  <c r="G302" i="15"/>
  <c r="G324" i="15"/>
  <c r="G310" i="15"/>
  <c r="H322" i="15"/>
  <c r="F333" i="15"/>
  <c r="I294" i="15"/>
  <c r="I332" i="15"/>
  <c r="G294" i="15"/>
  <c r="H327" i="15"/>
  <c r="E308" i="15"/>
  <c r="G295" i="15"/>
  <c r="G339" i="15"/>
  <c r="F324" i="15"/>
  <c r="I306" i="15"/>
  <c r="K293" i="15"/>
  <c r="G335" i="15"/>
  <c r="J309" i="15"/>
  <c r="I384" i="15"/>
  <c r="H490" i="15"/>
  <c r="K480" i="15"/>
  <c r="I459" i="15"/>
  <c r="K493" i="15"/>
  <c r="G464" i="15"/>
  <c r="K472" i="15"/>
  <c r="J502" i="15"/>
  <c r="E339" i="15"/>
  <c r="E321" i="15"/>
  <c r="F328" i="15"/>
  <c r="L340" i="15"/>
  <c r="J322" i="15"/>
  <c r="H303" i="15"/>
  <c r="K325" i="15"/>
  <c r="E306" i="15"/>
  <c r="J330" i="15"/>
  <c r="F310" i="15"/>
  <c r="F292" i="15"/>
  <c r="K319" i="15"/>
  <c r="E301" i="15"/>
  <c r="H330" i="15"/>
  <c r="L309" i="15"/>
  <c r="L291" i="15"/>
  <c r="H475" i="15"/>
  <c r="F500" i="15"/>
  <c r="H504" i="15"/>
  <c r="I488" i="15"/>
  <c r="J505" i="15"/>
  <c r="E466" i="15"/>
  <c r="J506" i="15"/>
  <c r="F482" i="15"/>
  <c r="K478" i="15"/>
  <c r="F465" i="15"/>
  <c r="E464" i="15"/>
  <c r="J472" i="15"/>
  <c r="L499" i="15"/>
  <c r="I334" i="15"/>
  <c r="I316" i="15"/>
  <c r="J323" i="15"/>
  <c r="F339" i="15"/>
  <c r="F317" i="15"/>
  <c r="L298" i="15"/>
  <c r="G320" i="15"/>
  <c r="I301" i="15"/>
  <c r="G325" i="15"/>
  <c r="J305" i="15"/>
  <c r="L335" i="15"/>
  <c r="I314" i="15"/>
  <c r="I296" i="15"/>
  <c r="L324" i="15"/>
  <c r="H305" i="15"/>
  <c r="I335" i="15"/>
  <c r="G314" i="15"/>
  <c r="J488" i="15"/>
  <c r="J471" i="15"/>
  <c r="I463" i="15"/>
  <c r="G501" i="15"/>
  <c r="G487" i="15"/>
  <c r="I494" i="15"/>
  <c r="K461" i="15"/>
  <c r="I331" i="15"/>
  <c r="J338" i="15"/>
  <c r="J320" i="15"/>
  <c r="F335" i="15"/>
  <c r="L313" i="15"/>
  <c r="I338" i="15"/>
  <c r="K316" i="15"/>
  <c r="I298" i="15"/>
  <c r="J321" i="15"/>
  <c r="J302" i="15"/>
  <c r="G332" i="15"/>
  <c r="I311" i="15"/>
  <c r="I293" i="15"/>
  <c r="H321" i="15"/>
  <c r="H302" i="15"/>
  <c r="E332" i="15"/>
  <c r="G311" i="15"/>
  <c r="G293" i="15"/>
  <c r="K330" i="15"/>
  <c r="E293" i="15"/>
  <c r="G303" i="15"/>
  <c r="F312" i="15"/>
  <c r="J325" i="15"/>
  <c r="K311" i="15"/>
  <c r="L308" i="15"/>
  <c r="J295" i="15"/>
  <c r="G326" i="15"/>
  <c r="L311" i="15"/>
  <c r="F302" i="15"/>
  <c r="E294" i="15"/>
  <c r="L322" i="15"/>
  <c r="F305" i="15"/>
  <c r="F321" i="15"/>
  <c r="I393" i="15"/>
  <c r="L394" i="15"/>
  <c r="L376" i="15"/>
  <c r="F381" i="15"/>
  <c r="K475" i="15"/>
  <c r="L495" i="15"/>
  <c r="F319" i="15"/>
  <c r="I336" i="15"/>
  <c r="L319" i="15"/>
  <c r="E310" i="15"/>
  <c r="L300" i="15"/>
  <c r="K297" i="15"/>
  <c r="G301" i="15"/>
  <c r="G322" i="15"/>
  <c r="K321" i="15"/>
  <c r="F308" i="15"/>
  <c r="L331" i="15"/>
  <c r="J306" i="15"/>
  <c r="K322" i="15"/>
  <c r="E305" i="15"/>
  <c r="H393" i="15"/>
  <c r="J394" i="15"/>
  <c r="J392" i="15"/>
  <c r="I370" i="15"/>
  <c r="I352" i="15"/>
  <c r="G380" i="15"/>
  <c r="F361" i="15"/>
  <c r="I391" i="15"/>
  <c r="K369" i="15"/>
  <c r="K351" i="15"/>
  <c r="H379" i="15"/>
  <c r="J360" i="15"/>
  <c r="E374" i="15"/>
  <c r="E356" i="15"/>
  <c r="F385" i="15"/>
  <c r="L364" i="15"/>
  <c r="K395" i="15"/>
  <c r="H355" i="15"/>
  <c r="L365" i="15"/>
  <c r="K377" i="15"/>
  <c r="F389" i="15"/>
  <c r="G351" i="15"/>
  <c r="J361" i="15"/>
  <c r="H373" i="15"/>
  <c r="E379" i="15"/>
  <c r="G354" i="15"/>
  <c r="F375" i="15"/>
  <c r="E352" i="15"/>
  <c r="H386" i="15"/>
  <c r="G396" i="15"/>
  <c r="G394" i="15"/>
  <c r="G388" i="15"/>
  <c r="E461" i="15"/>
  <c r="I337" i="15"/>
  <c r="H339" i="15"/>
  <c r="L323" i="15"/>
  <c r="J308" i="15"/>
  <c r="I299" i="15"/>
  <c r="L339" i="15"/>
  <c r="G296" i="15"/>
  <c r="G298" i="15"/>
  <c r="J318" i="15"/>
  <c r="G318" i="15"/>
  <c r="H304" i="15"/>
  <c r="J324" i="15"/>
  <c r="E302" i="15"/>
  <c r="I315" i="15"/>
  <c r="K304" i="15"/>
  <c r="L391" i="15"/>
  <c r="J391" i="15"/>
  <c r="K390" i="15"/>
  <c r="E369" i="15"/>
  <c r="E351" i="15"/>
  <c r="E378" i="15"/>
  <c r="J359" i="15"/>
  <c r="J389" i="15"/>
  <c r="G368" i="15"/>
  <c r="G350" i="15"/>
  <c r="I377" i="15"/>
  <c r="H395" i="15"/>
  <c r="I372" i="15"/>
  <c r="I354" i="15"/>
  <c r="G383" i="15"/>
  <c r="H363" i="15"/>
  <c r="K391" i="15"/>
  <c r="K352" i="15"/>
  <c r="L362" i="15"/>
  <c r="H374" i="15"/>
  <c r="E385" i="15"/>
  <c r="L348" i="15"/>
  <c r="K358" i="15"/>
  <c r="H370" i="15"/>
  <c r="G372" i="15"/>
  <c r="G349" i="15"/>
  <c r="F369" i="15"/>
  <c r="L389" i="15"/>
  <c r="K371" i="15"/>
  <c r="H380" i="15"/>
  <c r="G378" i="15"/>
  <c r="E388" i="15"/>
  <c r="E507" i="15"/>
  <c r="H488" i="15"/>
  <c r="E336" i="15"/>
  <c r="L337" i="15"/>
  <c r="E322" i="15"/>
  <c r="F307" i="15"/>
  <c r="E298" i="15"/>
  <c r="H337" i="15"/>
  <c r="K294" i="15"/>
  <c r="I295" i="15"/>
  <c r="F315" i="15"/>
  <c r="K314" i="15"/>
  <c r="F299" i="15"/>
  <c r="H317" i="15"/>
  <c r="J297" i="15"/>
  <c r="H310" i="15"/>
  <c r="I396" i="15"/>
  <c r="H390" i="15"/>
  <c r="F390" i="15"/>
  <c r="I388" i="15"/>
  <c r="I367" i="15"/>
  <c r="I349" i="15"/>
  <c r="G376" i="15"/>
  <c r="F358" i="15"/>
  <c r="K387" i="15"/>
  <c r="K366" i="15"/>
  <c r="K348" i="15"/>
  <c r="K375" i="15"/>
  <c r="G393" i="15"/>
  <c r="E371" i="15"/>
  <c r="E353" i="15"/>
  <c r="E381" i="15"/>
  <c r="L361" i="15"/>
  <c r="L387" i="15"/>
  <c r="H350" i="15"/>
  <c r="L359" i="15"/>
  <c r="H371" i="15"/>
  <c r="L380" i="15"/>
  <c r="L396" i="15"/>
  <c r="H356" i="15"/>
  <c r="H367" i="15"/>
  <c r="G366" i="15"/>
  <c r="E391" i="15"/>
  <c r="F363" i="15"/>
  <c r="E382" i="15"/>
  <c r="K359" i="15"/>
  <c r="G367" i="15"/>
  <c r="K365" i="15"/>
  <c r="G373" i="15"/>
  <c r="H472" i="15"/>
  <c r="F483" i="15"/>
  <c r="E333" i="15"/>
  <c r="L336" i="15"/>
  <c r="I318" i="15"/>
  <c r="F304" i="15"/>
  <c r="E295" i="15"/>
  <c r="K333" i="15"/>
  <c r="K291" i="15"/>
  <c r="E291" i="15"/>
  <c r="F309" i="15"/>
  <c r="K308" i="15"/>
  <c r="J291" i="15"/>
  <c r="J307" i="15"/>
  <c r="H338" i="15"/>
  <c r="H301" i="15"/>
  <c r="E395" i="15"/>
  <c r="H387" i="15"/>
  <c r="J388" i="15"/>
  <c r="J386" i="15"/>
  <c r="E366" i="15"/>
  <c r="E348" i="15"/>
  <c r="J374" i="15"/>
  <c r="J356" i="15"/>
  <c r="I385" i="15"/>
  <c r="G365" i="15"/>
  <c r="G347" i="15"/>
  <c r="F374" i="15"/>
  <c r="G391" i="15"/>
  <c r="I369" i="15"/>
  <c r="I351" i="15"/>
  <c r="F379" i="15"/>
  <c r="H360" i="15"/>
  <c r="K383" i="15"/>
  <c r="K347" i="15"/>
  <c r="G357" i="15"/>
  <c r="H368" i="15"/>
  <c r="F377" i="15"/>
  <c r="K392" i="15"/>
  <c r="K353" i="15"/>
  <c r="H364" i="15"/>
  <c r="G360" i="15"/>
  <c r="F383" i="15"/>
  <c r="J357" i="15"/>
  <c r="I374" i="15"/>
  <c r="H349" i="15"/>
  <c r="K355" i="15"/>
  <c r="J354" i="15"/>
  <c r="E373" i="15"/>
  <c r="J503" i="15"/>
  <c r="K508" i="15"/>
  <c r="E330" i="15"/>
  <c r="H333" i="15"/>
  <c r="E315" i="15"/>
  <c r="F301" i="15"/>
  <c r="E292" i="15"/>
  <c r="G330" i="15"/>
  <c r="I320" i="15"/>
  <c r="K318" i="15"/>
  <c r="I292" i="15"/>
  <c r="G292" i="15"/>
  <c r="J303" i="15"/>
  <c r="K331" i="15"/>
  <c r="K301" i="15"/>
  <c r="I300" i="15"/>
  <c r="E392" i="15"/>
  <c r="L385" i="15"/>
  <c r="F387" i="15"/>
  <c r="K384" i="15"/>
  <c r="I364" i="15"/>
  <c r="E396" i="15"/>
  <c r="F373" i="15"/>
  <c r="F355" i="15"/>
  <c r="J383" i="15"/>
  <c r="K363" i="15"/>
  <c r="I395" i="15"/>
  <c r="J372" i="15"/>
  <c r="H389" i="15"/>
  <c r="E368" i="15"/>
  <c r="E350" i="15"/>
  <c r="G377" i="15"/>
  <c r="L358" i="15"/>
  <c r="K379" i="15"/>
  <c r="H394" i="15"/>
  <c r="L354" i="15"/>
  <c r="H365" i="15"/>
  <c r="K373" i="15"/>
  <c r="K388" i="15"/>
  <c r="F351" i="15"/>
  <c r="H361" i="15"/>
  <c r="G355" i="15"/>
  <c r="G375" i="15"/>
  <c r="H352" i="15"/>
  <c r="I368" i="15"/>
  <c r="G384" i="15"/>
  <c r="L395" i="15"/>
  <c r="H392" i="15"/>
  <c r="G361" i="15"/>
  <c r="J485" i="15"/>
  <c r="J466" i="15"/>
  <c r="I319" i="15"/>
  <c r="K320" i="15"/>
  <c r="I304" i="15"/>
  <c r="G340" i="15"/>
  <c r="J328" i="15"/>
  <c r="H319" i="15"/>
  <c r="E317" i="15"/>
  <c r="G315" i="15"/>
  <c r="K340" i="15"/>
  <c r="L334" i="15"/>
  <c r="E299" i="15"/>
  <c r="I324" i="15"/>
  <c r="I297" i="15"/>
  <c r="G328" i="15"/>
  <c r="E389" i="15"/>
  <c r="H384" i="15"/>
  <c r="J385" i="15"/>
  <c r="I382" i="15"/>
  <c r="E363" i="15"/>
  <c r="F394" i="15"/>
  <c r="J371" i="15"/>
  <c r="J353" i="15"/>
  <c r="K381" i="15"/>
  <c r="G362" i="15"/>
  <c r="J393" i="15"/>
  <c r="F371" i="15"/>
  <c r="G387" i="15"/>
  <c r="I366" i="15"/>
  <c r="I348" i="15"/>
  <c r="I375" i="15"/>
  <c r="H357" i="15"/>
  <c r="E376" i="15"/>
  <c r="J390" i="15"/>
  <c r="G352" i="15"/>
  <c r="H362" i="15"/>
  <c r="K370" i="15"/>
  <c r="L384" i="15"/>
  <c r="J348" i="15"/>
  <c r="J358" i="15"/>
  <c r="F350" i="15"/>
  <c r="G369" i="15"/>
  <c r="H347" i="15"/>
  <c r="I362" i="15"/>
  <c r="G370" i="15"/>
  <c r="F380" i="15"/>
  <c r="H376" i="15"/>
  <c r="E361" i="15"/>
  <c r="F497" i="15"/>
  <c r="K494" i="15"/>
  <c r="F464" i="15"/>
  <c r="G472" i="15"/>
  <c r="F337" i="15"/>
  <c r="H312" i="15"/>
  <c r="E297" i="15"/>
  <c r="I330" i="15"/>
  <c r="J319" i="15"/>
  <c r="K312" i="15"/>
  <c r="H334" i="15"/>
  <c r="G306" i="15"/>
  <c r="F329" i="15"/>
  <c r="J313" i="15"/>
  <c r="I333" i="15"/>
  <c r="H307" i="15"/>
  <c r="F330" i="15"/>
  <c r="L295" i="15"/>
  <c r="I381" i="15"/>
  <c r="L379" i="15"/>
  <c r="J379" i="15"/>
  <c r="K376" i="15"/>
  <c r="I358" i="15"/>
  <c r="F388" i="15"/>
  <c r="F367" i="15"/>
  <c r="F349" i="15"/>
  <c r="L375" i="15"/>
  <c r="K357" i="15"/>
  <c r="J387" i="15"/>
  <c r="J366" i="15"/>
  <c r="G381" i="15"/>
  <c r="E362" i="15"/>
  <c r="E393" i="15"/>
  <c r="L370" i="15"/>
  <c r="L352" i="15"/>
  <c r="L366" i="15"/>
  <c r="J378" i="15"/>
  <c r="L393" i="15"/>
  <c r="F354" i="15"/>
  <c r="K361" i="15"/>
  <c r="J373" i="15"/>
  <c r="H388" i="15"/>
  <c r="L350" i="15"/>
  <c r="L377" i="15"/>
  <c r="J352" i="15"/>
  <c r="K374" i="15"/>
  <c r="K386" i="15"/>
  <c r="L383" i="15"/>
  <c r="K394" i="15"/>
  <c r="F392" i="15"/>
  <c r="I491" i="15"/>
  <c r="G475" i="15"/>
  <c r="J326" i="15"/>
  <c r="L301" i="15"/>
  <c r="L328" i="15"/>
  <c r="L317" i="15"/>
  <c r="H308" i="15"/>
  <c r="K309" i="15"/>
  <c r="G327" i="15"/>
  <c r="G300" i="15"/>
  <c r="L321" i="15"/>
  <c r="J304" i="15"/>
  <c r="E319" i="15"/>
  <c r="H298" i="15"/>
  <c r="J315" i="15"/>
  <c r="L292" i="15"/>
  <c r="E380" i="15"/>
  <c r="H378" i="15"/>
  <c r="F378" i="15"/>
  <c r="E375" i="15"/>
  <c r="E357" i="15"/>
  <c r="G386" i="15"/>
  <c r="J365" i="15"/>
  <c r="J347" i="15"/>
  <c r="G374" i="15"/>
  <c r="G356" i="15"/>
  <c r="H385" i="15"/>
  <c r="F365" i="15"/>
  <c r="G379" i="15"/>
  <c r="I360" i="15"/>
  <c r="F391" i="15"/>
  <c r="H369" i="15"/>
  <c r="H351" i="15"/>
  <c r="L363" i="15"/>
  <c r="L374" i="15"/>
  <c r="K389" i="15"/>
  <c r="J351" i="15"/>
  <c r="F359" i="15"/>
  <c r="J370" i="15"/>
  <c r="J384" i="15"/>
  <c r="G348" i="15"/>
  <c r="I371" i="15"/>
  <c r="I347" i="15"/>
  <c r="K368" i="15"/>
  <c r="F372" i="15"/>
  <c r="E370" i="15"/>
  <c r="L378" i="15"/>
  <c r="F376" i="15"/>
  <c r="I473" i="15"/>
  <c r="H464" i="15"/>
  <c r="F325" i="15"/>
  <c r="H300" i="15"/>
  <c r="F327" i="15"/>
  <c r="E316" i="15"/>
  <c r="L306" i="15"/>
  <c r="K300" i="15"/>
  <c r="G307" i="15"/>
  <c r="H329" i="15"/>
  <c r="E329" i="15"/>
  <c r="F320" i="15"/>
  <c r="H291" i="15"/>
  <c r="L316" i="15"/>
  <c r="E337" i="15"/>
  <c r="E314" i="15"/>
  <c r="I378" i="15"/>
  <c r="H375" i="15"/>
  <c r="J376" i="15"/>
  <c r="I373" i="15"/>
  <c r="I355" i="15"/>
  <c r="E384" i="15"/>
  <c r="F364" i="15"/>
  <c r="J395" i="15"/>
  <c r="K372" i="15"/>
  <c r="K354" i="15"/>
  <c r="I383" i="15"/>
  <c r="J363" i="15"/>
  <c r="H377" i="15"/>
  <c r="E359" i="15"/>
  <c r="G389" i="15"/>
  <c r="L367" i="15"/>
  <c r="L349" i="15"/>
  <c r="L360" i="15"/>
  <c r="L371" i="15"/>
  <c r="K385" i="15"/>
  <c r="E349" i="15"/>
  <c r="I356" i="15"/>
  <c r="J367" i="15"/>
  <c r="I380" i="15"/>
  <c r="F395" i="15"/>
  <c r="I365" i="15"/>
  <c r="L390" i="15"/>
  <c r="K362" i="15"/>
  <c r="F360" i="15"/>
  <c r="G358" i="15"/>
  <c r="F366" i="15"/>
  <c r="E364" i="15"/>
  <c r="L472" i="15"/>
  <c r="K337" i="15"/>
  <c r="G312" i="15"/>
  <c r="G317" i="15"/>
  <c r="L382" i="15"/>
  <c r="G392" i="15"/>
  <c r="K360" i="15"/>
  <c r="E365" i="15"/>
  <c r="L372" i="15"/>
  <c r="K367" i="15"/>
  <c r="E394" i="15"/>
  <c r="H358" i="15"/>
  <c r="G561" i="15"/>
  <c r="E555" i="15"/>
  <c r="E537" i="15"/>
  <c r="E519" i="15"/>
  <c r="H550" i="15"/>
  <c r="H532" i="15"/>
  <c r="K563" i="15"/>
  <c r="J554" i="15"/>
  <c r="J536" i="15"/>
  <c r="J518" i="15"/>
  <c r="K561" i="15"/>
  <c r="K543" i="15"/>
  <c r="K525" i="15"/>
  <c r="J558" i="15"/>
  <c r="J540" i="15"/>
  <c r="J522" i="15"/>
  <c r="K542" i="15"/>
  <c r="H558" i="15"/>
  <c r="G547" i="15"/>
  <c r="J544" i="15"/>
  <c r="E334" i="15"/>
  <c r="G309" i="15"/>
  <c r="F311" i="15"/>
  <c r="H381" i="15"/>
  <c r="E390" i="15"/>
  <c r="G359" i="15"/>
  <c r="I363" i="15"/>
  <c r="L369" i="15"/>
  <c r="K364" i="15"/>
  <c r="F386" i="15"/>
  <c r="F348" i="15"/>
  <c r="K559" i="15"/>
  <c r="I553" i="15"/>
  <c r="I535" i="15"/>
  <c r="I517" i="15"/>
  <c r="L548" i="15"/>
  <c r="L530" i="15"/>
  <c r="G562" i="15"/>
  <c r="F553" i="15"/>
  <c r="F535" i="15"/>
  <c r="F517" i="15"/>
  <c r="G560" i="15"/>
  <c r="G542" i="15"/>
  <c r="G524" i="15"/>
  <c r="F557" i="15"/>
  <c r="F539" i="15"/>
  <c r="F521" i="15"/>
  <c r="G540" i="15"/>
  <c r="G555" i="15"/>
  <c r="K544" i="15"/>
  <c r="L541" i="15"/>
  <c r="E313" i="15"/>
  <c r="L325" i="15"/>
  <c r="E311" i="15"/>
  <c r="F396" i="15"/>
  <c r="F382" i="15"/>
  <c r="G353" i="15"/>
  <c r="I357" i="15"/>
  <c r="E358" i="15"/>
  <c r="L353" i="15"/>
  <c r="I359" i="15"/>
  <c r="L347" i="15"/>
  <c r="G558" i="15"/>
  <c r="E552" i="15"/>
  <c r="E534" i="15"/>
  <c r="E516" i="15"/>
  <c r="H547" i="15"/>
  <c r="H529" i="15"/>
  <c r="K560" i="15"/>
  <c r="J551" i="15"/>
  <c r="J533" i="15"/>
  <c r="E318" i="15"/>
  <c r="K326" i="15"/>
  <c r="H336" i="15"/>
  <c r="L293" i="15"/>
  <c r="F384" i="15"/>
  <c r="F370" i="15"/>
  <c r="H391" i="15"/>
  <c r="E347" i="15"/>
  <c r="I386" i="15"/>
  <c r="K380" i="15"/>
  <c r="G363" i="15"/>
  <c r="E367" i="15"/>
  <c r="F564" i="15"/>
  <c r="I550" i="15"/>
  <c r="I532" i="15"/>
  <c r="L563" i="15"/>
  <c r="L545" i="15"/>
  <c r="L527" i="15"/>
  <c r="G559" i="15"/>
  <c r="F550" i="15"/>
  <c r="F532" i="15"/>
  <c r="I563" i="15"/>
  <c r="G557" i="15"/>
  <c r="G539" i="15"/>
  <c r="G521" i="15"/>
  <c r="F554" i="15"/>
  <c r="F536" i="15"/>
  <c r="F518" i="15"/>
  <c r="I558" i="15"/>
  <c r="E550" i="15"/>
  <c r="I539" i="15"/>
  <c r="K536" i="15"/>
  <c r="F340" i="15"/>
  <c r="F323" i="15"/>
  <c r="K332" i="15"/>
  <c r="G337" i="15"/>
  <c r="J382" i="15"/>
  <c r="J368" i="15"/>
  <c r="I389" i="15"/>
  <c r="G395" i="15"/>
  <c r="H382" i="15"/>
  <c r="E377" i="15"/>
  <c r="L357" i="15"/>
  <c r="J355" i="15"/>
  <c r="J562" i="15"/>
  <c r="E549" i="15"/>
  <c r="E531" i="15"/>
  <c r="H562" i="15"/>
  <c r="H544" i="15"/>
  <c r="H526" i="15"/>
  <c r="K557" i="15"/>
  <c r="F322" i="15"/>
  <c r="L303" i="15"/>
  <c r="H325" i="15"/>
  <c r="L329" i="15"/>
  <c r="I394" i="15"/>
  <c r="J362" i="15"/>
  <c r="J381" i="15"/>
  <c r="E387" i="15"/>
  <c r="L368" i="15"/>
  <c r="J364" i="15"/>
  <c r="K382" i="15"/>
  <c r="E355" i="15"/>
  <c r="F561" i="15"/>
  <c r="I547" i="15"/>
  <c r="I529" i="15"/>
  <c r="L560" i="15"/>
  <c r="L542" i="15"/>
  <c r="L524" i="15"/>
  <c r="G556" i="15"/>
  <c r="F547" i="15"/>
  <c r="L318" i="15"/>
  <c r="I317" i="15"/>
  <c r="J327" i="15"/>
  <c r="E296" i="15"/>
  <c r="J380" i="15"/>
  <c r="F352" i="15"/>
  <c r="J369" i="15"/>
  <c r="L373" i="15"/>
  <c r="J349" i="15"/>
  <c r="J396" i="15"/>
  <c r="G390" i="15"/>
  <c r="G364" i="15"/>
  <c r="H564" i="15"/>
  <c r="E564" i="15"/>
  <c r="E546" i="15"/>
  <c r="E528" i="15"/>
  <c r="H559" i="15"/>
  <c r="H541" i="15"/>
  <c r="H523" i="15"/>
  <c r="J563" i="15"/>
  <c r="H315" i="15"/>
  <c r="K315" i="15"/>
  <c r="H320" i="15"/>
  <c r="E328" i="15"/>
  <c r="K378" i="15"/>
  <c r="J350" i="15"/>
  <c r="F368" i="15"/>
  <c r="H372" i="15"/>
  <c r="F347" i="15"/>
  <c r="I392" i="15"/>
  <c r="G382" i="15"/>
  <c r="H353" i="15"/>
  <c r="L562" i="15"/>
  <c r="I562" i="15"/>
  <c r="I544" i="15"/>
  <c r="I526" i="15"/>
  <c r="L557" i="15"/>
  <c r="L539" i="15"/>
  <c r="L521" i="15"/>
  <c r="F562" i="15"/>
  <c r="F544" i="15"/>
  <c r="H297" i="15"/>
  <c r="G299" i="15"/>
  <c r="H313" i="15"/>
  <c r="I309" i="15"/>
  <c r="E372" i="15"/>
  <c r="K393" i="15"/>
  <c r="F362" i="15"/>
  <c r="H366" i="15"/>
  <c r="L381" i="15"/>
  <c r="I376" i="15"/>
  <c r="F357" i="15"/>
  <c r="F353" i="15"/>
  <c r="H561" i="15"/>
  <c r="E561" i="15"/>
  <c r="E543" i="15"/>
  <c r="E525" i="15"/>
  <c r="H556" i="15"/>
  <c r="H538" i="15"/>
  <c r="H520" i="15"/>
  <c r="J560" i="15"/>
  <c r="J542" i="15"/>
  <c r="J524" i="15"/>
  <c r="I501" i="15"/>
  <c r="E300" i="15"/>
  <c r="G338" i="15"/>
  <c r="I291" i="15"/>
  <c r="E383" i="15"/>
  <c r="E360" i="15"/>
  <c r="J377" i="15"/>
  <c r="H383" i="15"/>
  <c r="H354" i="15"/>
  <c r="K356" i="15"/>
  <c r="I353" i="15"/>
  <c r="L351" i="15"/>
  <c r="I350" i="15"/>
  <c r="G564" i="15"/>
  <c r="E558" i="15"/>
  <c r="E540" i="15"/>
  <c r="E522" i="15"/>
  <c r="H553" i="15"/>
  <c r="H535" i="15"/>
  <c r="H517" i="15"/>
  <c r="J557" i="15"/>
  <c r="J539" i="15"/>
  <c r="J521" i="15"/>
  <c r="K564" i="15"/>
  <c r="K546" i="15"/>
  <c r="K528" i="15"/>
  <c r="J561" i="15"/>
  <c r="J543" i="15"/>
  <c r="J525" i="15"/>
  <c r="L547" i="15"/>
  <c r="F540" i="15"/>
  <c r="H552" i="15"/>
  <c r="I549" i="15"/>
  <c r="E354" i="15"/>
  <c r="K349" i="15"/>
  <c r="I538" i="15"/>
  <c r="J545" i="15"/>
  <c r="L564" i="15"/>
  <c r="G545" i="15"/>
  <c r="K516" i="15"/>
  <c r="F542" i="15"/>
  <c r="L558" i="15"/>
  <c r="H537" i="15"/>
  <c r="L531" i="15"/>
  <c r="G544" i="15"/>
  <c r="L538" i="15"/>
  <c r="E554" i="15"/>
  <c r="G523" i="15"/>
  <c r="J538" i="15"/>
  <c r="K553" i="15"/>
  <c r="L522" i="15"/>
  <c r="E538" i="15"/>
  <c r="K524" i="15"/>
  <c r="E524" i="15"/>
  <c r="H540" i="15"/>
  <c r="J526" i="15"/>
  <c r="I519" i="15"/>
  <c r="H439" i="15"/>
  <c r="J438" i="15"/>
  <c r="I435" i="15"/>
  <c r="I417" i="15"/>
  <c r="E448" i="15"/>
  <c r="L427" i="15"/>
  <c r="L409" i="15"/>
  <c r="L438" i="15"/>
  <c r="G451" i="15"/>
  <c r="J430" i="15"/>
  <c r="J412" i="15"/>
  <c r="F442" i="15"/>
  <c r="E423" i="15"/>
  <c r="L422" i="15"/>
  <c r="K450" i="15"/>
  <c r="F418" i="15"/>
  <c r="J443" i="15"/>
  <c r="J413" i="15"/>
  <c r="I434" i="15"/>
  <c r="I407" i="15"/>
  <c r="K426" i="15"/>
  <c r="H452" i="15"/>
  <c r="I379" i="15"/>
  <c r="K350" i="15"/>
  <c r="I523" i="15"/>
  <c r="F541" i="15"/>
  <c r="H563" i="15"/>
  <c r="K540" i="15"/>
  <c r="G515" i="15"/>
  <c r="J537" i="15"/>
  <c r="I555" i="15"/>
  <c r="I552" i="15"/>
  <c r="I557" i="15"/>
  <c r="K541" i="15"/>
  <c r="H536" i="15"/>
  <c r="I551" i="15"/>
  <c r="K520" i="15"/>
  <c r="L535" i="15"/>
  <c r="E551" i="15"/>
  <c r="G520" i="15"/>
  <c r="J535" i="15"/>
  <c r="E521" i="15"/>
  <c r="H519" i="15"/>
  <c r="I531" i="15"/>
  <c r="K521" i="15"/>
  <c r="G532" i="15"/>
  <c r="G371" i="15"/>
  <c r="I520" i="15"/>
  <c r="F538" i="15"/>
  <c r="L561" i="15"/>
  <c r="K537" i="15"/>
  <c r="J564" i="15"/>
  <c r="J534" i="15"/>
  <c r="E553" i="15"/>
  <c r="J547" i="15"/>
  <c r="K554" i="15"/>
  <c r="E539" i="15"/>
  <c r="K533" i="15"/>
  <c r="F549" i="15"/>
  <c r="E518" i="15"/>
  <c r="H533" i="15"/>
  <c r="I548" i="15"/>
  <c r="K517" i="15"/>
  <c r="L532" i="15"/>
  <c r="H516" i="15"/>
  <c r="E548" i="15"/>
  <c r="L526" i="15"/>
  <c r="E517" i="15"/>
  <c r="F519" i="15"/>
  <c r="H436" i="15"/>
  <c r="J435" i="15"/>
  <c r="I432" i="15"/>
  <c r="I414" i="15"/>
  <c r="H444" i="15"/>
  <c r="L424" i="15"/>
  <c r="L406" i="15"/>
  <c r="G435" i="15"/>
  <c r="K447" i="15"/>
  <c r="J427" i="15"/>
  <c r="J409" i="15"/>
  <c r="I438" i="15"/>
  <c r="L451" i="15"/>
  <c r="I418" i="15"/>
  <c r="L444" i="15"/>
  <c r="E414" i="15"/>
  <c r="E303" i="15"/>
  <c r="G385" i="15"/>
  <c r="L554" i="15"/>
  <c r="J530" i="15"/>
  <c r="H560" i="15"/>
  <c r="G536" i="15"/>
  <c r="F563" i="15"/>
  <c r="F533" i="15"/>
  <c r="J550" i="15"/>
  <c r="L544" i="15"/>
  <c r="G552" i="15"/>
  <c r="I536" i="15"/>
  <c r="G531" i="15"/>
  <c r="H546" i="15"/>
  <c r="I515" i="15"/>
  <c r="K530" i="15"/>
  <c r="F546" i="15"/>
  <c r="E515" i="15"/>
  <c r="H530" i="15"/>
  <c r="L555" i="15"/>
  <c r="J532" i="15"/>
  <c r="G522" i="15"/>
  <c r="G553" i="15"/>
  <c r="L529" i="15"/>
  <c r="L452" i="15"/>
  <c r="F452" i="15"/>
  <c r="K451" i="15"/>
  <c r="E431" i="15"/>
  <c r="E413" i="15"/>
  <c r="J442" i="15"/>
  <c r="H423" i="15"/>
  <c r="H405" i="15"/>
  <c r="K433" i="15"/>
  <c r="L445" i="15"/>
  <c r="F426" i="15"/>
  <c r="F408" i="15"/>
  <c r="K436" i="15"/>
  <c r="J448" i="15"/>
  <c r="J416" i="15"/>
  <c r="I441" i="15"/>
  <c r="F412" i="15"/>
  <c r="H323" i="15"/>
  <c r="J375" i="15"/>
  <c r="L551" i="15"/>
  <c r="F529" i="15"/>
  <c r="G563" i="15"/>
  <c r="K534" i="15"/>
  <c r="F560" i="15"/>
  <c r="J531" i="15"/>
  <c r="H545" i="15"/>
  <c r="H542" i="15"/>
  <c r="E547" i="15"/>
  <c r="I564" i="15"/>
  <c r="I528" i="15"/>
  <c r="L543" i="15"/>
  <c r="I561" i="15"/>
  <c r="G528" i="15"/>
  <c r="H543" i="15"/>
  <c r="J559" i="15"/>
  <c r="K527" i="15"/>
  <c r="I534" i="15"/>
  <c r="I527" i="15"/>
  <c r="I518" i="15"/>
  <c r="H524" i="15"/>
  <c r="L516" i="15"/>
  <c r="H451" i="15"/>
  <c r="J450" i="15"/>
  <c r="E450" i="15"/>
  <c r="I429" i="15"/>
  <c r="I411" i="15"/>
  <c r="K440" i="15"/>
  <c r="L421" i="15"/>
  <c r="L403" i="15"/>
  <c r="G432" i="15"/>
  <c r="F444" i="15"/>
  <c r="J424" i="15"/>
  <c r="J406" i="15"/>
  <c r="E435" i="15"/>
  <c r="G445" i="15"/>
  <c r="K414" i="15"/>
  <c r="G438" i="15"/>
  <c r="G410" i="15"/>
  <c r="L431" i="15"/>
  <c r="K313" i="15"/>
  <c r="L355" i="15"/>
  <c r="L536" i="15"/>
  <c r="J527" i="15"/>
  <c r="K558" i="15"/>
  <c r="G533" i="15"/>
  <c r="J555" i="15"/>
  <c r="F530" i="15"/>
  <c r="I537" i="15"/>
  <c r="K539" i="15"/>
  <c r="H539" i="15"/>
  <c r="E557" i="15"/>
  <c r="E526" i="15"/>
  <c r="G541" i="15"/>
  <c r="K556" i="15"/>
  <c r="I525" i="15"/>
  <c r="L540" i="15"/>
  <c r="E556" i="15"/>
  <c r="G525" i="15"/>
  <c r="G529" i="15"/>
  <c r="L523" i="15"/>
  <c r="L537" i="15"/>
  <c r="I545" i="15"/>
  <c r="K529" i="15"/>
  <c r="L449" i="15"/>
  <c r="F449" i="15"/>
  <c r="F448" i="15"/>
  <c r="E428" i="15"/>
  <c r="E410" i="15"/>
  <c r="E439" i="15"/>
  <c r="H420" i="15"/>
  <c r="I451" i="15"/>
  <c r="K430" i="15"/>
  <c r="G442" i="15"/>
  <c r="F423" i="15"/>
  <c r="F405" i="15"/>
  <c r="I433" i="15"/>
  <c r="E442" i="15"/>
  <c r="I412" i="15"/>
  <c r="K435" i="15"/>
  <c r="E408" i="15"/>
  <c r="K429" i="15"/>
  <c r="G304" i="15"/>
  <c r="H348" i="15"/>
  <c r="L533" i="15"/>
  <c r="F526" i="15"/>
  <c r="K555" i="15"/>
  <c r="K531" i="15"/>
  <c r="J552" i="15"/>
  <c r="J528" i="15"/>
  <c r="H555" i="15"/>
  <c r="F558" i="15"/>
  <c r="G534" i="15"/>
  <c r="H554" i="15"/>
  <c r="J523" i="15"/>
  <c r="K538" i="15"/>
  <c r="L553" i="15"/>
  <c r="E523" i="15"/>
  <c r="G538" i="15"/>
  <c r="J553" i="15"/>
  <c r="I522" i="15"/>
  <c r="I524" i="15"/>
  <c r="G519" i="15"/>
  <c r="H531" i="15"/>
  <c r="K523" i="15"/>
  <c r="I516" i="15"/>
  <c r="H448" i="15"/>
  <c r="J447" i="15"/>
  <c r="H295" i="15"/>
  <c r="H359" i="15"/>
  <c r="L559" i="15"/>
  <c r="L518" i="15"/>
  <c r="F523" i="15"/>
  <c r="G554" i="15"/>
  <c r="G530" i="15"/>
  <c r="F551" i="15"/>
  <c r="F527" i="15"/>
  <c r="L552" i="15"/>
  <c r="F555" i="15"/>
  <c r="H557" i="15"/>
  <c r="K551" i="15"/>
  <c r="L520" i="15"/>
  <c r="E536" i="15"/>
  <c r="H551" i="15"/>
  <c r="J520" i="15"/>
  <c r="K535" i="15"/>
  <c r="L550" i="15"/>
  <c r="E520" i="15"/>
  <c r="L519" i="15"/>
  <c r="F543" i="15"/>
  <c r="K526" i="15"/>
  <c r="G535" i="15"/>
  <c r="E529" i="15"/>
  <c r="J339" i="15"/>
  <c r="F520" i="15"/>
  <c r="J549" i="15"/>
  <c r="L549" i="15"/>
  <c r="H518" i="15"/>
  <c r="L517" i="15"/>
  <c r="J517" i="15"/>
  <c r="F522" i="15"/>
  <c r="L440" i="15"/>
  <c r="F439" i="15"/>
  <c r="I405" i="15"/>
  <c r="L418" i="15"/>
  <c r="J440" i="15"/>
  <c r="F435" i="15"/>
  <c r="F451" i="15"/>
  <c r="I421" i="15"/>
  <c r="E451" i="15"/>
  <c r="I450" i="15"/>
  <c r="I415" i="15"/>
  <c r="K431" i="15"/>
  <c r="H403" i="15"/>
  <c r="H419" i="15"/>
  <c r="L439" i="15"/>
  <c r="E411" i="15"/>
  <c r="K413" i="15"/>
  <c r="H430" i="15"/>
  <c r="L434" i="15"/>
  <c r="K439" i="15"/>
  <c r="I428" i="15"/>
  <c r="J414" i="15"/>
  <c r="E421" i="15"/>
  <c r="L419" i="15"/>
  <c r="G418" i="15"/>
  <c r="G427" i="15"/>
  <c r="E452" i="15"/>
  <c r="I445" i="15"/>
  <c r="E386" i="15"/>
  <c r="J515" i="15"/>
  <c r="F548" i="15"/>
  <c r="E542" i="15"/>
  <c r="K515" i="15"/>
  <c r="H515" i="15"/>
  <c r="E559" i="15"/>
  <c r="G517" i="15"/>
  <c r="L437" i="15"/>
  <c r="H437" i="15"/>
  <c r="E404" i="15"/>
  <c r="H417" i="15"/>
  <c r="E437" i="15"/>
  <c r="J433" i="15"/>
  <c r="H449" i="15"/>
  <c r="I439" i="15"/>
  <c r="I448" i="15"/>
  <c r="K452" i="15"/>
  <c r="K411" i="15"/>
  <c r="J429" i="15"/>
  <c r="I452" i="15"/>
  <c r="G417" i="15"/>
  <c r="J436" i="15"/>
  <c r="F409" i="15"/>
  <c r="K409" i="15"/>
  <c r="I425" i="15"/>
  <c r="F447" i="15"/>
  <c r="F434" i="15"/>
  <c r="J423" i="15"/>
  <c r="I410" i="15"/>
  <c r="F413" i="15"/>
  <c r="E412" i="15"/>
  <c r="H410" i="15"/>
  <c r="F515" i="15"/>
  <c r="I420" i="15"/>
  <c r="E427" i="15"/>
  <c r="G448" i="15"/>
  <c r="H527" i="15"/>
  <c r="L430" i="15"/>
  <c r="E417" i="15"/>
  <c r="H396" i="15"/>
  <c r="E562" i="15"/>
  <c r="J546" i="15"/>
  <c r="F537" i="15"/>
  <c r="E563" i="15"/>
  <c r="E560" i="15"/>
  <c r="L534" i="15"/>
  <c r="G537" i="15"/>
  <c r="F446" i="15"/>
  <c r="E434" i="15"/>
  <c r="J451" i="15"/>
  <c r="L415" i="15"/>
  <c r="G429" i="15"/>
  <c r="F432" i="15"/>
  <c r="I447" i="15"/>
  <c r="F436" i="15"/>
  <c r="H447" i="15"/>
  <c r="G450" i="15"/>
  <c r="I409" i="15"/>
  <c r="L426" i="15"/>
  <c r="G449" i="15"/>
  <c r="G415" i="15"/>
  <c r="G434" i="15"/>
  <c r="G407" i="15"/>
  <c r="L405" i="15"/>
  <c r="J420" i="15"/>
  <c r="G441" i="15"/>
  <c r="J428" i="15"/>
  <c r="K418" i="15"/>
  <c r="H406" i="15"/>
  <c r="L404" i="15"/>
  <c r="F404" i="15"/>
  <c r="E418" i="15"/>
  <c r="F410" i="15"/>
  <c r="G548" i="15"/>
  <c r="H525" i="15"/>
  <c r="L528" i="15"/>
  <c r="K421" i="15"/>
  <c r="H434" i="15"/>
  <c r="L442" i="15"/>
  <c r="G430" i="15"/>
  <c r="K545" i="15"/>
  <c r="I444" i="15"/>
  <c r="I443" i="15"/>
  <c r="L435" i="15"/>
  <c r="I361" i="15"/>
  <c r="I560" i="15"/>
  <c r="F545" i="15"/>
  <c r="H534" i="15"/>
  <c r="L556" i="15"/>
  <c r="J556" i="15"/>
  <c r="J529" i="15"/>
  <c r="E530" i="15"/>
  <c r="J444" i="15"/>
  <c r="I426" i="15"/>
  <c r="K449" i="15"/>
  <c r="H414" i="15"/>
  <c r="K427" i="15"/>
  <c r="F429" i="15"/>
  <c r="K445" i="15"/>
  <c r="G433" i="15"/>
  <c r="L432" i="15"/>
  <c r="E447" i="15"/>
  <c r="J407" i="15"/>
  <c r="F424" i="15"/>
  <c r="J446" i="15"/>
  <c r="H413" i="15"/>
  <c r="I431" i="15"/>
  <c r="E405" i="15"/>
  <c r="H450" i="15"/>
  <c r="I416" i="15"/>
  <c r="K434" i="15"/>
  <c r="K423" i="15"/>
  <c r="L414" i="15"/>
  <c r="E445" i="15"/>
  <c r="G431" i="15"/>
  <c r="K425" i="15"/>
  <c r="K444" i="15"/>
  <c r="I541" i="15"/>
  <c r="L525" i="15"/>
  <c r="F534" i="15"/>
  <c r="J449" i="15"/>
  <c r="H415" i="15"/>
  <c r="E438" i="15"/>
  <c r="F438" i="15"/>
  <c r="G546" i="15"/>
  <c r="E416" i="15"/>
  <c r="F422" i="15"/>
  <c r="K407" i="15"/>
  <c r="L392" i="15"/>
  <c r="K562" i="15"/>
  <c r="K552" i="15"/>
  <c r="F524" i="15"/>
  <c r="I554" i="15"/>
  <c r="I533" i="15"/>
  <c r="E533" i="15"/>
  <c r="G516" i="15"/>
  <c r="I521" i="15"/>
  <c r="F443" i="15"/>
  <c r="E425" i="15"/>
  <c r="G446" i="15"/>
  <c r="L412" i="15"/>
  <c r="G426" i="15"/>
  <c r="J421" i="15"/>
  <c r="E444" i="15"/>
  <c r="F431" i="15"/>
  <c r="F430" i="15"/>
  <c r="F441" i="15"/>
  <c r="K405" i="15"/>
  <c r="H421" i="15"/>
  <c r="H443" i="15"/>
  <c r="G411" i="15"/>
  <c r="K428" i="15"/>
  <c r="F403" i="15"/>
  <c r="E443" i="15"/>
  <c r="H412" i="15"/>
  <c r="L429" i="15"/>
  <c r="F419" i="15"/>
  <c r="K410" i="15"/>
  <c r="L425" i="15"/>
  <c r="L420" i="15"/>
  <c r="L408" i="15"/>
  <c r="K416" i="15"/>
  <c r="L433" i="15"/>
  <c r="F450" i="15"/>
  <c r="F421" i="15"/>
  <c r="J422" i="15"/>
  <c r="K547" i="15"/>
  <c r="K408" i="15"/>
  <c r="K448" i="15"/>
  <c r="F356" i="15"/>
  <c r="I559" i="15"/>
  <c r="G551" i="15"/>
  <c r="J519" i="15"/>
  <c r="F552" i="15"/>
  <c r="F531" i="15"/>
  <c r="I530" i="15"/>
  <c r="K550" i="15"/>
  <c r="E535" i="15"/>
  <c r="J441" i="15"/>
  <c r="I423" i="15"/>
  <c r="G437" i="15"/>
  <c r="H411" i="15"/>
  <c r="K424" i="15"/>
  <c r="F420" i="15"/>
  <c r="H440" i="15"/>
  <c r="H428" i="15"/>
  <c r="H427" i="15"/>
  <c r="K437" i="15"/>
  <c r="I403" i="15"/>
  <c r="I419" i="15"/>
  <c r="E440" i="15"/>
  <c r="G409" i="15"/>
  <c r="J426" i="15"/>
  <c r="L450" i="15"/>
  <c r="I436" i="15"/>
  <c r="J408" i="15"/>
  <c r="H424" i="15"/>
  <c r="E415" i="15"/>
  <c r="K406" i="15"/>
  <c r="L416" i="15"/>
  <c r="K412" i="15"/>
  <c r="H425" i="15"/>
  <c r="H438" i="15"/>
  <c r="F437" i="15"/>
  <c r="F417" i="15"/>
  <c r="G405" i="15"/>
  <c r="F407" i="15"/>
  <c r="I440" i="15"/>
  <c r="J411" i="15"/>
  <c r="G412" i="15"/>
  <c r="L386" i="15"/>
  <c r="I556" i="15"/>
  <c r="K549" i="15"/>
  <c r="J516" i="15"/>
  <c r="H549" i="15"/>
  <c r="H528" i="15"/>
  <c r="F528" i="15"/>
  <c r="K532" i="15"/>
  <c r="H521" i="15"/>
  <c r="F440" i="15"/>
  <c r="E422" i="15"/>
  <c r="H435" i="15"/>
  <c r="H408" i="15"/>
  <c r="G423" i="15"/>
  <c r="J418" i="15"/>
  <c r="E432" i="15"/>
  <c r="J425" i="15"/>
  <c r="G425" i="15"/>
  <c r="J434" i="15"/>
  <c r="J452" i="15"/>
  <c r="J417" i="15"/>
  <c r="I437" i="15"/>
  <c r="H407" i="15"/>
  <c r="L423" i="15"/>
  <c r="K443" i="15"/>
  <c r="L448" i="15"/>
  <c r="I404" i="15"/>
  <c r="K419" i="15"/>
  <c r="L410" i="15"/>
  <c r="F445" i="15"/>
  <c r="E409" i="15"/>
  <c r="K404" i="15"/>
  <c r="G408" i="15"/>
  <c r="H416" i="15"/>
  <c r="L356" i="15"/>
  <c r="L546" i="15"/>
  <c r="K420" i="15"/>
  <c r="K415" i="15"/>
  <c r="I546" i="15"/>
  <c r="E446" i="15"/>
  <c r="E449" i="15"/>
  <c r="H422" i="15"/>
  <c r="L515" i="15"/>
  <c r="G527" i="15"/>
  <c r="G550" i="15"/>
  <c r="G549" i="15"/>
  <c r="K548" i="15"/>
  <c r="H548" i="15"/>
  <c r="E532" i="15"/>
  <c r="F516" i="15"/>
  <c r="L446" i="15"/>
  <c r="H446" i="15"/>
  <c r="E419" i="15"/>
  <c r="H432" i="15"/>
  <c r="L447" i="15"/>
  <c r="I449" i="15"/>
  <c r="J415" i="15"/>
  <c r="E429" i="15"/>
  <c r="J410" i="15"/>
  <c r="E420" i="15"/>
  <c r="G424" i="15"/>
  <c r="K446" i="15"/>
  <c r="I413" i="15"/>
  <c r="J431" i="15"/>
  <c r="G403" i="15"/>
  <c r="G419" i="15"/>
  <c r="J432" i="15"/>
  <c r="G436" i="15"/>
  <c r="K441" i="15"/>
  <c r="L411" i="15"/>
  <c r="E403" i="15"/>
  <c r="F433" i="15"/>
  <c r="F425" i="15"/>
  <c r="G420" i="15"/>
  <c r="G406" i="15"/>
  <c r="G414" i="15"/>
  <c r="F479" i="15"/>
  <c r="E527" i="15"/>
  <c r="G416" i="15"/>
  <c r="G428" i="15"/>
  <c r="L465" i="15"/>
  <c r="F556" i="15"/>
  <c r="K519" i="15"/>
  <c r="E545" i="15"/>
  <c r="E544" i="15"/>
  <c r="I543" i="15"/>
  <c r="G543" i="15"/>
  <c r="H522" i="15"/>
  <c r="G526" i="15"/>
  <c r="L443" i="15"/>
  <c r="K442" i="15"/>
  <c r="I408" i="15"/>
  <c r="H429" i="15"/>
  <c r="G444" i="15"/>
  <c r="K438" i="15"/>
  <c r="F411" i="15"/>
  <c r="E426" i="15"/>
  <c r="I406" i="15"/>
  <c r="F406" i="15"/>
  <c r="J419" i="15"/>
  <c r="G440" i="15"/>
  <c r="H409" i="15"/>
  <c r="E424" i="15"/>
  <c r="I446" i="15"/>
  <c r="F415" i="15"/>
  <c r="G422" i="15"/>
  <c r="L441" i="15"/>
  <c r="G447" i="15"/>
  <c r="K403" i="15"/>
  <c r="J439" i="15"/>
  <c r="K422" i="15"/>
  <c r="L407" i="15"/>
  <c r="H404" i="15"/>
  <c r="E406" i="15"/>
  <c r="L413" i="15"/>
  <c r="I430" i="15"/>
  <c r="G439" i="15"/>
  <c r="F559" i="15"/>
  <c r="F414" i="15"/>
  <c r="L428" i="15"/>
  <c r="F416" i="15"/>
  <c r="J548" i="15"/>
  <c r="G518" i="15"/>
  <c r="I542" i="15"/>
  <c r="J541" i="15"/>
  <c r="E541" i="15"/>
  <c r="I540" i="15"/>
  <c r="K518" i="15"/>
  <c r="F525" i="15"/>
  <c r="H442" i="15"/>
  <c r="E441" i="15"/>
  <c r="E407" i="15"/>
  <c r="H426" i="15"/>
  <c r="I442" i="15"/>
  <c r="L436" i="15"/>
  <c r="J403" i="15"/>
  <c r="I424" i="15"/>
  <c r="J404" i="15"/>
  <c r="G404" i="15"/>
  <c r="K417" i="15"/>
  <c r="J437" i="15"/>
  <c r="J405" i="15"/>
  <c r="G421" i="15"/>
  <c r="G443" i="15"/>
  <c r="G413" i="15"/>
  <c r="L417" i="15"/>
  <c r="E436" i="15"/>
  <c r="H441" i="15"/>
  <c r="J445" i="15"/>
  <c r="H433" i="15"/>
  <c r="H418" i="15"/>
  <c r="H431" i="15"/>
  <c r="E430" i="15"/>
  <c r="G452" i="15"/>
  <c r="F428" i="15"/>
  <c r="I422" i="15"/>
  <c r="E433" i="15"/>
  <c r="K522" i="15"/>
  <c r="H445" i="15"/>
  <c r="I427" i="15"/>
  <c r="F427" i="15"/>
  <c r="K432" i="15"/>
  <c r="E362" i="21"/>
  <c r="G306" i="11"/>
  <c r="E367" i="11"/>
  <c r="L391" i="11"/>
  <c r="E446" i="11"/>
  <c r="G356" i="11"/>
  <c r="K429" i="11"/>
  <c r="L377" i="11"/>
  <c r="J522" i="11"/>
  <c r="J460" i="11"/>
  <c r="I554" i="11"/>
  <c r="K437" i="11"/>
  <c r="J539" i="11"/>
  <c r="J499" i="11"/>
  <c r="K518" i="11"/>
  <c r="G486" i="11"/>
  <c r="I348" i="11"/>
  <c r="L527" i="11"/>
  <c r="K488" i="11"/>
  <c r="H442" i="11"/>
  <c r="L531" i="11"/>
  <c r="H445" i="11"/>
  <c r="J424" i="11"/>
  <c r="E375" i="11"/>
  <c r="E443" i="11"/>
  <c r="G534" i="11"/>
  <c r="L472" i="11"/>
  <c r="I490" i="11"/>
  <c r="L547" i="11"/>
  <c r="F474" i="11"/>
  <c r="J550" i="11"/>
  <c r="F506" i="11"/>
  <c r="L295" i="11"/>
  <c r="G527" i="11"/>
  <c r="E494" i="11"/>
  <c r="L435" i="11"/>
  <c r="G351" i="11"/>
  <c r="H408" i="11"/>
  <c r="F461" i="11"/>
  <c r="K484" i="11"/>
  <c r="J515" i="11"/>
  <c r="L515" i="11"/>
  <c r="L485" i="11"/>
  <c r="H522" i="11"/>
  <c r="J380" i="11"/>
  <c r="K535" i="11"/>
  <c r="L501" i="11"/>
  <c r="L394" i="11"/>
  <c r="L543" i="11"/>
  <c r="L467" i="11"/>
  <c r="K396" i="11"/>
  <c r="F444" i="11"/>
  <c r="F462" i="11"/>
  <c r="F549" i="11"/>
  <c r="F537" i="11"/>
  <c r="H518" i="11"/>
  <c r="H405" i="11"/>
  <c r="J533" i="11"/>
  <c r="H410" i="11"/>
  <c r="K436" i="11"/>
  <c r="F507" i="11"/>
  <c r="I423" i="11"/>
  <c r="G462" i="11"/>
  <c r="F479" i="11"/>
  <c r="H427" i="11"/>
  <c r="G498" i="11"/>
  <c r="K464" i="11"/>
  <c r="J538" i="11"/>
  <c r="J551" i="11"/>
  <c r="K539" i="11"/>
  <c r="K417" i="11"/>
  <c r="K424" i="11"/>
  <c r="J422" i="11"/>
  <c r="J518" i="11"/>
  <c r="K519" i="11"/>
  <c r="E431" i="11"/>
  <c r="H413" i="11"/>
  <c r="E520" i="11"/>
  <c r="L479" i="11"/>
  <c r="I518" i="11"/>
  <c r="K500" i="11"/>
  <c r="G483" i="11"/>
  <c r="J491" i="11"/>
  <c r="J416" i="11"/>
  <c r="F481" i="11"/>
  <c r="I488" i="11"/>
  <c r="G549" i="11"/>
  <c r="L450" i="11"/>
  <c r="G444" i="11"/>
  <c r="J429" i="11"/>
  <c r="L559" i="11"/>
  <c r="J527" i="11"/>
  <c r="F439" i="11"/>
  <c r="E424" i="11"/>
  <c r="H503" i="11"/>
  <c r="L441" i="11"/>
  <c r="J504" i="11"/>
  <c r="I499" i="11"/>
  <c r="J558" i="11"/>
  <c r="L555" i="11"/>
  <c r="I467" i="11"/>
  <c r="F471" i="11"/>
  <c r="L438" i="11"/>
  <c r="I542" i="11"/>
  <c r="E449" i="11"/>
  <c r="H432" i="11"/>
  <c r="G554" i="11"/>
  <c r="K515" i="11"/>
  <c r="E532" i="11"/>
  <c r="K433" i="11"/>
  <c r="J388" i="11"/>
  <c r="I480" i="11"/>
  <c r="G459" i="11"/>
  <c r="I500" i="11"/>
  <c r="K526" i="11"/>
  <c r="G523" i="11"/>
  <c r="F466" i="11"/>
  <c r="L563" i="11"/>
  <c r="G474" i="11"/>
  <c r="L476" i="11"/>
  <c r="K422" i="11"/>
  <c r="G491" i="11"/>
  <c r="K445" i="11"/>
  <c r="I406" i="11"/>
  <c r="L492" i="11"/>
  <c r="I471" i="11"/>
  <c r="G540" i="11"/>
  <c r="J535" i="11"/>
  <c r="L475" i="11"/>
  <c r="K419" i="11"/>
  <c r="L500" i="11"/>
  <c r="F486" i="11"/>
  <c r="K448" i="11"/>
  <c r="F429" i="11"/>
  <c r="J487" i="11"/>
  <c r="H463" i="11"/>
  <c r="L403" i="11"/>
  <c r="H436" i="11"/>
  <c r="J418" i="11"/>
  <c r="K496" i="11"/>
  <c r="F483" i="11"/>
  <c r="H414" i="11"/>
  <c r="I504" i="11"/>
  <c r="G452" i="11"/>
  <c r="L493" i="11"/>
  <c r="F463" i="11"/>
  <c r="G506" i="11"/>
  <c r="F495" i="11"/>
  <c r="L471" i="11"/>
  <c r="G415" i="11"/>
  <c r="J546" i="11"/>
  <c r="K416" i="11"/>
  <c r="I445" i="11"/>
  <c r="E529" i="11"/>
  <c r="H534" i="11"/>
  <c r="J559" i="11"/>
  <c r="H411" i="11"/>
  <c r="J496" i="11"/>
  <c r="K530" i="11"/>
  <c r="I468" i="11"/>
  <c r="G533" i="11"/>
  <c r="J523" i="11"/>
  <c r="I403" i="11"/>
  <c r="E549" i="11"/>
  <c r="I487" i="11"/>
  <c r="I464" i="11"/>
  <c r="J555" i="11"/>
  <c r="I526" i="11"/>
  <c r="K472" i="11"/>
  <c r="J543" i="11"/>
  <c r="L382" i="11"/>
  <c r="K523" i="11"/>
  <c r="K551" i="11"/>
  <c r="J563" i="11"/>
  <c r="K460" i="11"/>
  <c r="F499" i="11"/>
  <c r="K480" i="11"/>
  <c r="I475" i="11"/>
  <c r="J464" i="11"/>
  <c r="E410" i="11"/>
  <c r="J441" i="11"/>
  <c r="K431" i="11"/>
  <c r="J413" i="11"/>
  <c r="L446" i="11"/>
  <c r="J432" i="11"/>
  <c r="J411" i="11"/>
  <c r="F447" i="11"/>
  <c r="E433" i="11"/>
  <c r="J348" i="11"/>
  <c r="G428" i="11"/>
  <c r="F365" i="11"/>
  <c r="G393" i="11"/>
  <c r="G369" i="11"/>
  <c r="H394" i="11"/>
  <c r="H378" i="11"/>
  <c r="H362" i="11"/>
  <c r="E396" i="11"/>
  <c r="I377" i="11"/>
  <c r="J352" i="11"/>
  <c r="L376" i="11"/>
  <c r="L393" i="11"/>
  <c r="G391" i="11"/>
  <c r="E368" i="11"/>
  <c r="I349" i="11"/>
  <c r="G380" i="11"/>
  <c r="F360" i="11"/>
  <c r="I389" i="11"/>
  <c r="J364" i="11"/>
  <c r="F383" i="11"/>
  <c r="F386" i="11"/>
  <c r="L383" i="11"/>
  <c r="K362" i="11"/>
  <c r="K421" i="11"/>
  <c r="I357" i="11"/>
  <c r="H347" i="11"/>
  <c r="G390" i="11"/>
  <c r="K413" i="11"/>
  <c r="E395" i="11"/>
  <c r="J412" i="11"/>
  <c r="I376" i="11"/>
  <c r="I404" i="11"/>
  <c r="G532" i="11"/>
  <c r="L469" i="11"/>
  <c r="F503" i="11"/>
  <c r="G537" i="11"/>
  <c r="G495" i="11"/>
  <c r="H533" i="11"/>
  <c r="F529" i="11"/>
  <c r="K435" i="11"/>
  <c r="H491" i="11"/>
  <c r="J471" i="11"/>
  <c r="I476" i="11"/>
  <c r="K547" i="11"/>
  <c r="F452" i="11"/>
  <c r="G562" i="11"/>
  <c r="G515" i="11"/>
  <c r="I463" i="11"/>
  <c r="E502" i="11"/>
  <c r="G487" i="11"/>
  <c r="I478" i="11"/>
  <c r="H467" i="11"/>
  <c r="E413" i="11"/>
  <c r="L445" i="11"/>
  <c r="I435" i="11"/>
  <c r="L416" i="11"/>
  <c r="E451" i="11"/>
  <c r="I434" i="11"/>
  <c r="J414" i="11"/>
  <c r="I449" i="11"/>
  <c r="E435" i="11"/>
  <c r="F356" i="11"/>
  <c r="E428" i="11"/>
  <c r="H367" i="11"/>
  <c r="J390" i="11"/>
  <c r="J366" i="11"/>
  <c r="E393" i="11"/>
  <c r="E377" i="11"/>
  <c r="E361" i="11"/>
  <c r="I394" i="11"/>
  <c r="G374" i="11"/>
  <c r="F351" i="11"/>
  <c r="H375" i="11"/>
  <c r="L390" i="11"/>
  <c r="K389" i="11"/>
  <c r="I366" i="11"/>
  <c r="L347" i="11"/>
  <c r="L378" i="11"/>
  <c r="K358" i="11"/>
  <c r="G386" i="11"/>
  <c r="F363" i="11"/>
  <c r="E366" i="11"/>
  <c r="F369" i="11"/>
  <c r="L388" i="11"/>
  <c r="I365" i="11"/>
  <c r="E421" i="11"/>
  <c r="J359" i="11"/>
  <c r="E352" i="11"/>
  <c r="H393" i="11"/>
  <c r="L413" i="11"/>
  <c r="E415" i="11"/>
  <c r="K409" i="11"/>
  <c r="J488" i="11"/>
  <c r="J467" i="11"/>
  <c r="L564" i="11"/>
  <c r="F435" i="11"/>
  <c r="K527" i="11"/>
  <c r="H419" i="11"/>
  <c r="K449" i="11"/>
  <c r="H495" i="11"/>
  <c r="J475" i="11"/>
  <c r="I432" i="11"/>
  <c r="J484" i="11"/>
  <c r="I427" i="11"/>
  <c r="H434" i="11"/>
  <c r="K508" i="11"/>
  <c r="G518" i="11"/>
  <c r="G519" i="11"/>
  <c r="G466" i="11"/>
  <c r="K504" i="11"/>
  <c r="E490" i="11"/>
  <c r="L480" i="11"/>
  <c r="L473" i="11"/>
  <c r="G416" i="11"/>
  <c r="F448" i="11"/>
  <c r="I437" i="11"/>
  <c r="J419" i="11"/>
  <c r="E403" i="11"/>
  <c r="F436" i="11"/>
  <c r="L417" i="11"/>
  <c r="K451" i="11"/>
  <c r="E439" i="11"/>
  <c r="E372" i="11"/>
  <c r="L348" i="11"/>
  <c r="F370" i="11"/>
  <c r="G389" i="11"/>
  <c r="G365" i="11"/>
  <c r="K391" i="11"/>
  <c r="K375" i="11"/>
  <c r="K359" i="11"/>
  <c r="L392" i="11"/>
  <c r="K372" i="11"/>
  <c r="J349" i="11"/>
  <c r="L373" i="11"/>
  <c r="J387" i="11"/>
  <c r="F388" i="11"/>
  <c r="L364" i="11"/>
  <c r="L395" i="11"/>
  <c r="F377" i="11"/>
  <c r="I355" i="11"/>
  <c r="K384" i="11"/>
  <c r="J361" i="11"/>
  <c r="G355" i="11"/>
  <c r="K356" i="11"/>
  <c r="H420" i="11"/>
  <c r="G368" i="11"/>
  <c r="L421" i="11"/>
  <c r="I362" i="11"/>
  <c r="K357" i="11"/>
  <c r="F396" i="11"/>
  <c r="F421" i="11"/>
  <c r="J554" i="11"/>
  <c r="K425" i="11"/>
  <c r="E537" i="11"/>
  <c r="H538" i="11"/>
  <c r="E466" i="11"/>
  <c r="I462" i="11"/>
  <c r="G467" i="11"/>
  <c r="I503" i="11"/>
  <c r="I479" i="11"/>
  <c r="L408" i="11"/>
  <c r="F443" i="11"/>
  <c r="J547" i="11"/>
  <c r="H446" i="11"/>
  <c r="J437" i="11"/>
  <c r="E525" i="11"/>
  <c r="K522" i="11"/>
  <c r="K468" i="11"/>
  <c r="I507" i="11"/>
  <c r="J492" i="11"/>
  <c r="I484" i="11"/>
  <c r="G479" i="11"/>
  <c r="H418" i="11"/>
  <c r="E450" i="11"/>
  <c r="K439" i="11"/>
  <c r="H424" i="11"/>
  <c r="J405" i="11"/>
  <c r="E438" i="11"/>
  <c r="I424" i="11"/>
  <c r="K403" i="11"/>
  <c r="H441" i="11"/>
  <c r="K388" i="11"/>
  <c r="I356" i="11"/>
  <c r="F373" i="11"/>
  <c r="J386" i="11"/>
  <c r="J362" i="11"/>
  <c r="H390" i="11"/>
  <c r="H374" i="11"/>
  <c r="H358" i="11"/>
  <c r="H391" i="11"/>
  <c r="G371" i="11"/>
  <c r="E348" i="11"/>
  <c r="G372" i="11"/>
  <c r="I384" i="11"/>
  <c r="K386" i="11"/>
  <c r="H363" i="11"/>
  <c r="F394" i="11"/>
  <c r="J375" i="11"/>
  <c r="H352" i="11"/>
  <c r="G383" i="11"/>
  <c r="E360" i="11"/>
  <c r="L396" i="11"/>
  <c r="I347" i="11"/>
  <c r="L420" i="11"/>
  <c r="I370" i="11"/>
  <c r="G421" i="11"/>
  <c r="H365" i="11"/>
  <c r="I360" i="11"/>
  <c r="E407" i="11"/>
  <c r="I351" i="11"/>
  <c r="E364" i="11"/>
  <c r="K426" i="11"/>
  <c r="E359" i="11"/>
  <c r="J562" i="11"/>
  <c r="I538" i="11"/>
  <c r="J508" i="11"/>
  <c r="F467" i="11"/>
  <c r="L519" i="11"/>
  <c r="G507" i="11"/>
  <c r="J391" i="11"/>
  <c r="I483" i="11"/>
  <c r="G433" i="11"/>
  <c r="K377" i="11"/>
  <c r="E432" i="11"/>
  <c r="E528" i="11"/>
  <c r="J526" i="11"/>
  <c r="G475" i="11"/>
  <c r="H508" i="11"/>
  <c r="G499" i="11"/>
  <c r="H487" i="11"/>
  <c r="L484" i="11"/>
  <c r="E423" i="11"/>
  <c r="H452" i="11"/>
  <c r="K441" i="11"/>
  <c r="G426" i="11"/>
  <c r="J408" i="11"/>
  <c r="H440" i="11"/>
  <c r="E427" i="11"/>
  <c r="K406" i="11"/>
  <c r="H443" i="11"/>
  <c r="F364" i="11"/>
  <c r="E516" i="11"/>
  <c r="E376" i="11"/>
  <c r="G385" i="11"/>
  <c r="G361" i="11"/>
  <c r="E389" i="11"/>
  <c r="E373" i="11"/>
  <c r="E357" i="11"/>
  <c r="L389" i="11"/>
  <c r="K369" i="11"/>
  <c r="I395" i="11"/>
  <c r="L370" i="11"/>
  <c r="I381" i="11"/>
  <c r="I383" i="11"/>
  <c r="L361" i="11"/>
  <c r="J392" i="11"/>
  <c r="E374" i="11"/>
  <c r="H349" i="11"/>
  <c r="K381" i="11"/>
  <c r="I358" i="11"/>
  <c r="G392" i="11"/>
  <c r="F372" i="11"/>
  <c r="K420" i="11"/>
  <c r="I373" i="11"/>
  <c r="I470" i="11"/>
  <c r="G370" i="11"/>
  <c r="L362" i="11"/>
  <c r="K407" i="11"/>
  <c r="G354" i="11"/>
  <c r="K415" i="11"/>
  <c r="E350" i="11"/>
  <c r="I390" i="11"/>
  <c r="F350" i="11"/>
  <c r="H385" i="11"/>
  <c r="F375" i="11"/>
  <c r="I385" i="11"/>
  <c r="J377" i="11"/>
  <c r="L429" i="11"/>
  <c r="F525" i="11"/>
  <c r="E482" i="11"/>
  <c r="H353" i="11"/>
  <c r="J529" i="11"/>
  <c r="G463" i="11"/>
  <c r="L385" i="11"/>
  <c r="J500" i="11"/>
  <c r="L523" i="11"/>
  <c r="G471" i="11"/>
  <c r="J530" i="11"/>
  <c r="G546" i="11"/>
  <c r="I408" i="11"/>
  <c r="I491" i="11"/>
  <c r="J483" i="11"/>
  <c r="K385" i="11"/>
  <c r="F405" i="11"/>
  <c r="K476" i="11"/>
  <c r="H554" i="11"/>
  <c r="K531" i="11"/>
  <c r="G530" i="11"/>
  <c r="E478" i="11"/>
  <c r="L460" i="11"/>
  <c r="F502" i="11"/>
  <c r="F490" i="11"/>
  <c r="L487" i="11"/>
  <c r="E425" i="11"/>
  <c r="G407" i="11"/>
  <c r="E444" i="11"/>
  <c r="H429" i="11"/>
  <c r="I411" i="11"/>
  <c r="L442" i="11"/>
  <c r="K430" i="11"/>
  <c r="L409" i="11"/>
  <c r="J445" i="11"/>
  <c r="J516" i="11"/>
  <c r="G561" i="11"/>
  <c r="F378" i="11"/>
  <c r="J382" i="11"/>
  <c r="J358" i="11"/>
  <c r="K387" i="11"/>
  <c r="K371" i="11"/>
  <c r="K355" i="11"/>
  <c r="G388" i="11"/>
  <c r="F368" i="11"/>
  <c r="H392" i="11"/>
  <c r="J367" i="11"/>
  <c r="K376" i="11"/>
  <c r="H380" i="11"/>
  <c r="G360" i="11"/>
  <c r="F391" i="11"/>
  <c r="I372" i="11"/>
  <c r="K350" i="11"/>
  <c r="F380" i="11"/>
  <c r="L356" i="11"/>
  <c r="F389" i="11"/>
  <c r="H361" i="11"/>
  <c r="G420" i="11"/>
  <c r="G376" i="11"/>
  <c r="G470" i="11"/>
  <c r="H373" i="11"/>
  <c r="J365" i="11"/>
  <c r="I407" i="11"/>
  <c r="H359" i="11"/>
  <c r="J415" i="11"/>
  <c r="K352" i="11"/>
  <c r="I393" i="11"/>
  <c r="J468" i="11"/>
  <c r="G531" i="11"/>
  <c r="G478" i="11"/>
  <c r="L434" i="11"/>
  <c r="J459" i="11"/>
  <c r="K534" i="11"/>
  <c r="I486" i="11"/>
  <c r="G294" i="11"/>
  <c r="G413" i="11"/>
  <c r="I495" i="11"/>
  <c r="H526" i="11"/>
  <c r="E405" i="11"/>
  <c r="G410" i="11"/>
  <c r="K543" i="11"/>
  <c r="J521" i="11"/>
  <c r="J534" i="11"/>
  <c r="F533" i="11"/>
  <c r="J480" i="11"/>
  <c r="J463" i="11"/>
  <c r="L504" i="11"/>
  <c r="K492" i="11"/>
  <c r="F491" i="11"/>
  <c r="L427" i="11"/>
  <c r="F410" i="11"/>
  <c r="G448" i="11"/>
  <c r="G432" i="11"/>
  <c r="I414" i="11"/>
  <c r="E447" i="11"/>
  <c r="K432" i="11"/>
  <c r="H416" i="11"/>
  <c r="L449" i="11"/>
  <c r="G516" i="11"/>
  <c r="F561" i="11"/>
  <c r="E384" i="11"/>
  <c r="G381" i="11"/>
  <c r="G357" i="11"/>
  <c r="H386" i="11"/>
  <c r="H370" i="11"/>
  <c r="H354" i="11"/>
  <c r="L386" i="11"/>
  <c r="K366" i="11"/>
  <c r="H389" i="11"/>
  <c r="I364" i="11"/>
  <c r="G375" i="11"/>
  <c r="L505" i="11"/>
  <c r="L488" i="11"/>
  <c r="L508" i="11"/>
  <c r="F451" i="11"/>
  <c r="J406" i="11"/>
  <c r="L491" i="11"/>
  <c r="J403" i="11"/>
  <c r="G418" i="11"/>
  <c r="J503" i="11"/>
  <c r="H530" i="11"/>
  <c r="K414" i="11"/>
  <c r="F434" i="11"/>
  <c r="G558" i="11"/>
  <c r="E416" i="11"/>
  <c r="H426" i="11"/>
  <c r="J531" i="11"/>
  <c r="G541" i="11"/>
  <c r="L535" i="11"/>
  <c r="L483" i="11"/>
  <c r="I466" i="11"/>
  <c r="J507" i="11"/>
  <c r="I496" i="11"/>
  <c r="G494" i="11"/>
  <c r="I431" i="11"/>
  <c r="F413" i="11"/>
  <c r="H450" i="11"/>
  <c r="G434" i="11"/>
  <c r="E417" i="11"/>
  <c r="H449" i="11"/>
  <c r="K434" i="11"/>
  <c r="F418" i="11"/>
  <c r="F395" i="11"/>
  <c r="H428" i="11"/>
  <c r="E347" i="11"/>
  <c r="E387" i="11"/>
  <c r="J378" i="11"/>
  <c r="J354" i="11"/>
  <c r="E385" i="11"/>
  <c r="E369" i="11"/>
  <c r="E353" i="11"/>
  <c r="F385" i="11"/>
  <c r="I363" i="11"/>
  <c r="L387" i="11"/>
  <c r="E363" i="11"/>
  <c r="K370" i="11"/>
  <c r="L375" i="11"/>
  <c r="F357" i="11"/>
  <c r="E388" i="11"/>
  <c r="I369" i="11"/>
  <c r="H364" i="11"/>
  <c r="I375" i="11"/>
  <c r="L353" i="11"/>
  <c r="E383" i="11"/>
  <c r="H351" i="11"/>
  <c r="I420" i="11"/>
  <c r="H381" i="11"/>
  <c r="E470" i="11"/>
  <c r="F381" i="11"/>
  <c r="J373" i="11"/>
  <c r="J407" i="11"/>
  <c r="G367" i="11"/>
  <c r="G545" i="11"/>
  <c r="K444" i="11"/>
  <c r="J537" i="11"/>
  <c r="L464" i="11"/>
  <c r="L411" i="11"/>
  <c r="F498" i="11"/>
  <c r="E418" i="11"/>
  <c r="E436" i="11"/>
  <c r="G526" i="11"/>
  <c r="E408" i="11"/>
  <c r="G538" i="11"/>
  <c r="E434" i="11"/>
  <c r="E437" i="11"/>
  <c r="E426" i="11"/>
  <c r="H431" i="11"/>
  <c r="I534" i="11"/>
  <c r="E545" i="11"/>
  <c r="K538" i="11"/>
  <c r="F487" i="11"/>
  <c r="L468" i="11"/>
  <c r="L461" i="11"/>
  <c r="H499" i="11"/>
  <c r="L496" i="11"/>
  <c r="L433" i="11"/>
  <c r="I416" i="11"/>
  <c r="K452" i="11"/>
  <c r="L437" i="11"/>
  <c r="L419" i="11"/>
  <c r="H451" i="11"/>
  <c r="G436" i="11"/>
  <c r="I422" i="11"/>
  <c r="I353" i="11"/>
  <c r="L428" i="11"/>
  <c r="J351" i="11"/>
  <c r="F392" i="11"/>
  <c r="G377" i="11"/>
  <c r="G353" i="11"/>
  <c r="K383" i="11"/>
  <c r="K367" i="11"/>
  <c r="K351" i="11"/>
  <c r="J383" i="11"/>
  <c r="H360" i="11"/>
  <c r="J384" i="11"/>
  <c r="I361" i="11"/>
  <c r="L359" i="11"/>
  <c r="F374" i="11"/>
  <c r="J355" i="11"/>
  <c r="I386" i="11"/>
  <c r="G366" i="11"/>
  <c r="J395" i="11"/>
  <c r="H372" i="11"/>
  <c r="G352" i="11"/>
  <c r="G378" i="11"/>
  <c r="G359" i="11"/>
  <c r="E420" i="11"/>
  <c r="G384" i="11"/>
  <c r="F347" i="11"/>
  <c r="F384" i="11"/>
  <c r="H376" i="11"/>
  <c r="H407" i="11"/>
  <c r="E370" i="11"/>
  <c r="G440" i="11"/>
  <c r="H471" i="11"/>
  <c r="F359" i="11"/>
  <c r="L459" i="11"/>
  <c r="K411" i="11"/>
  <c r="J519" i="11"/>
  <c r="K427" i="11"/>
  <c r="E440" i="11"/>
  <c r="G542" i="11"/>
  <c r="L432" i="11"/>
  <c r="H542" i="11"/>
  <c r="E441" i="11"/>
  <c r="I441" i="11"/>
  <c r="F431" i="11"/>
  <c r="E474" i="11"/>
  <c r="H537" i="11"/>
  <c r="L551" i="11"/>
  <c r="J542" i="11"/>
  <c r="G490" i="11"/>
  <c r="I472" i="11"/>
  <c r="L463" i="11"/>
  <c r="G502" i="11"/>
  <c r="G503" i="11"/>
  <c r="H435" i="11"/>
  <c r="E419" i="11"/>
  <c r="G405" i="11"/>
  <c r="F440" i="11"/>
  <c r="G424" i="11"/>
  <c r="H403" i="11"/>
  <c r="H438" i="11"/>
  <c r="L424" i="11"/>
  <c r="L369" i="11"/>
  <c r="K428" i="11"/>
  <c r="I354" i="11"/>
  <c r="G536" i="11"/>
  <c r="J374" i="11"/>
  <c r="J350" i="11"/>
  <c r="H382" i="11"/>
  <c r="H366" i="11"/>
  <c r="H350" i="11"/>
  <c r="E382" i="11"/>
  <c r="H357" i="11"/>
  <c r="J381" i="11"/>
  <c r="G358" i="11"/>
  <c r="F358" i="11"/>
  <c r="J372" i="11"/>
  <c r="E354" i="11"/>
  <c r="L384" i="11"/>
  <c r="K364" i="11"/>
  <c r="E394" i="11"/>
  <c r="H369" i="11"/>
  <c r="L350" i="11"/>
  <c r="K373" i="11"/>
  <c r="G364" i="11"/>
  <c r="G347" i="11"/>
  <c r="G387" i="11"/>
  <c r="K349" i="11"/>
  <c r="F387" i="11"/>
  <c r="G379" i="11"/>
  <c r="J410" i="11"/>
  <c r="E378" i="11"/>
  <c r="K447" i="11"/>
  <c r="J449" i="11"/>
  <c r="L497" i="11"/>
  <c r="G423" i="11"/>
  <c r="I474" i="11"/>
  <c r="I419" i="11"/>
  <c r="I530" i="11"/>
  <c r="H479" i="11"/>
  <c r="H447" i="11"/>
  <c r="H546" i="11"/>
  <c r="K443" i="11"/>
  <c r="I550" i="11"/>
  <c r="E448" i="11"/>
  <c r="H448" i="11"/>
  <c r="F459" i="11"/>
  <c r="L481" i="11"/>
  <c r="E486" i="11"/>
  <c r="J541" i="11"/>
  <c r="G557" i="11"/>
  <c r="I546" i="11"/>
  <c r="I492" i="11"/>
  <c r="H475" i="11"/>
  <c r="F469" i="11"/>
  <c r="H459" i="11"/>
  <c r="E506" i="11"/>
  <c r="H437" i="11"/>
  <c r="F423" i="11"/>
  <c r="G408" i="11"/>
  <c r="E442" i="11"/>
  <c r="J426" i="11"/>
  <c r="H406" i="11"/>
  <c r="K440" i="11"/>
  <c r="J427" i="11"/>
  <c r="F361" i="11"/>
  <c r="J428" i="11"/>
  <c r="I359" i="11"/>
  <c r="E536" i="11"/>
  <c r="G373" i="11"/>
  <c r="G349" i="11"/>
  <c r="E381" i="11"/>
  <c r="E365" i="11"/>
  <c r="E349" i="11"/>
  <c r="I380" i="11"/>
  <c r="L355" i="11"/>
  <c r="E380" i="11"/>
  <c r="K353" i="11"/>
  <c r="G394" i="11"/>
  <c r="F371" i="11"/>
  <c r="I352" i="11"/>
  <c r="H383" i="11"/>
  <c r="G363" i="11"/>
  <c r="I392" i="11"/>
  <c r="L367" i="11"/>
  <c r="F349" i="11"/>
  <c r="I367" i="11"/>
  <c r="F367" i="11"/>
  <c r="L349" i="11"/>
  <c r="F390" i="11"/>
  <c r="L351" i="11"/>
  <c r="E390" i="11"/>
  <c r="H384" i="11"/>
  <c r="K410" i="11"/>
  <c r="L380" i="11"/>
  <c r="G412" i="11"/>
  <c r="I368" i="11"/>
  <c r="G404" i="11"/>
  <c r="J368" i="11"/>
  <c r="J421" i="11"/>
  <c r="L363" i="11"/>
  <c r="F353" i="11"/>
  <c r="J396" i="11"/>
  <c r="I482" i="11"/>
  <c r="E422" i="11"/>
  <c r="I508" i="11"/>
  <c r="J476" i="11"/>
  <c r="F407" i="11"/>
  <c r="J394" i="11"/>
  <c r="J369" i="11"/>
  <c r="J347" i="11"/>
  <c r="G395" i="11"/>
  <c r="L412" i="11"/>
  <c r="I387" i="11"/>
  <c r="J363" i="11"/>
  <c r="L489" i="11"/>
  <c r="K374" i="11"/>
  <c r="L374" i="11"/>
  <c r="H517" i="11"/>
  <c r="F417" i="11"/>
  <c r="F465" i="11"/>
  <c r="L423" i="11"/>
  <c r="G403" i="11"/>
  <c r="F477" i="11"/>
  <c r="I450" i="11"/>
  <c r="G450" i="11"/>
  <c r="I447" i="11"/>
  <c r="G447" i="11"/>
  <c r="L410" i="11"/>
  <c r="L426" i="11"/>
  <c r="I448" i="11"/>
  <c r="E541" i="11"/>
  <c r="H558" i="11"/>
  <c r="H549" i="11"/>
  <c r="K459" i="11"/>
  <c r="K475" i="11"/>
  <c r="K491" i="11"/>
  <c r="K507" i="11"/>
  <c r="L530" i="11"/>
  <c r="L546" i="11"/>
  <c r="L562" i="11"/>
  <c r="I506" i="11"/>
  <c r="G564" i="11"/>
  <c r="J482" i="11"/>
  <c r="J506" i="11"/>
  <c r="K529" i="11"/>
  <c r="K545" i="11"/>
  <c r="K561" i="11"/>
  <c r="E472" i="11"/>
  <c r="E488" i="11"/>
  <c r="E504" i="11"/>
  <c r="L525" i="11"/>
  <c r="L541" i="11"/>
  <c r="L557" i="11"/>
  <c r="F468" i="11"/>
  <c r="F484" i="11"/>
  <c r="F500" i="11"/>
  <c r="G543" i="11"/>
  <c r="G460" i="11"/>
  <c r="G484" i="11"/>
  <c r="G508" i="11"/>
  <c r="E530" i="11"/>
  <c r="E546" i="11"/>
  <c r="E562" i="11"/>
  <c r="E471" i="11"/>
  <c r="E487" i="11"/>
  <c r="E503" i="11"/>
  <c r="F526" i="11"/>
  <c r="F542" i="11"/>
  <c r="F558" i="11"/>
  <c r="I300" i="11"/>
  <c r="H439" i="11"/>
  <c r="J370" i="11"/>
  <c r="L358" i="11"/>
  <c r="E386" i="11"/>
  <c r="H368" i="11"/>
  <c r="K412" i="11"/>
  <c r="G396" i="11"/>
  <c r="L365" i="11"/>
  <c r="F489" i="11"/>
  <c r="J379" i="11"/>
  <c r="L379" i="11"/>
  <c r="G517" i="11"/>
  <c r="K418" i="11"/>
  <c r="F414" i="11"/>
  <c r="H425" i="11"/>
  <c r="J409" i="11"/>
  <c r="E429" i="11"/>
  <c r="F449" i="11"/>
  <c r="J447" i="11"/>
  <c r="F446" i="11"/>
  <c r="J444" i="11"/>
  <c r="F412" i="11"/>
  <c r="F428" i="11"/>
  <c r="K450" i="11"/>
  <c r="F521" i="11"/>
  <c r="K559" i="11"/>
  <c r="K550" i="11"/>
  <c r="E461" i="11"/>
  <c r="E477" i="11"/>
  <c r="E493" i="11"/>
  <c r="F516" i="11"/>
  <c r="F532" i="11"/>
  <c r="F548" i="11"/>
  <c r="F564" i="11"/>
  <c r="L507" i="11"/>
  <c r="G461" i="11"/>
  <c r="G485" i="11"/>
  <c r="E515" i="11"/>
  <c r="E531" i="11"/>
  <c r="E547" i="11"/>
  <c r="E563" i="11"/>
  <c r="H473" i="11"/>
  <c r="H489" i="11"/>
  <c r="H505" i="11"/>
  <c r="F527" i="11"/>
  <c r="F543" i="11"/>
  <c r="F559" i="11"/>
  <c r="I469" i="11"/>
  <c r="I485" i="11"/>
  <c r="I501" i="11"/>
  <c r="J544" i="11"/>
  <c r="J461" i="11"/>
  <c r="J485" i="11"/>
  <c r="H515" i="11"/>
  <c r="H531" i="11"/>
  <c r="H547" i="11"/>
  <c r="H563" i="11"/>
  <c r="H472" i="11"/>
  <c r="H488" i="11"/>
  <c r="H504" i="11"/>
  <c r="I527" i="11"/>
  <c r="I543" i="11"/>
  <c r="I559" i="11"/>
  <c r="F333" i="11"/>
  <c r="L539" i="11"/>
  <c r="I558" i="11"/>
  <c r="L425" i="11"/>
  <c r="K395" i="11"/>
  <c r="E351" i="11"/>
  <c r="J353" i="11"/>
  <c r="H387" i="11"/>
  <c r="I412" i="11"/>
  <c r="H404" i="11"/>
  <c r="I371" i="11"/>
  <c r="K348" i="11"/>
  <c r="I382" i="11"/>
  <c r="K382" i="11"/>
  <c r="F517" i="11"/>
  <c r="J423" i="11"/>
  <c r="G417" i="11"/>
  <c r="F427" i="11"/>
  <c r="G411" i="11"/>
  <c r="J450" i="11"/>
  <c r="L447" i="11"/>
  <c r="G446" i="11"/>
  <c r="L444" i="11"/>
  <c r="G443" i="11"/>
  <c r="I413" i="11"/>
  <c r="I429" i="11"/>
  <c r="I452" i="11"/>
  <c r="H529" i="11"/>
  <c r="E561" i="11"/>
  <c r="E552" i="11"/>
  <c r="H462" i="11"/>
  <c r="H478" i="11"/>
  <c r="H494" i="11"/>
  <c r="I517" i="11"/>
  <c r="I533" i="11"/>
  <c r="I549" i="11"/>
  <c r="F493" i="11"/>
  <c r="G544" i="11"/>
  <c r="J462" i="11"/>
  <c r="J486" i="11"/>
  <c r="H516" i="11"/>
  <c r="H532" i="11"/>
  <c r="H548" i="11"/>
  <c r="H564" i="11"/>
  <c r="K474" i="11"/>
  <c r="K490" i="11"/>
  <c r="K506" i="11"/>
  <c r="I528" i="11"/>
  <c r="I544" i="11"/>
  <c r="I560" i="11"/>
  <c r="L470" i="11"/>
  <c r="L486" i="11"/>
  <c r="L502" i="11"/>
  <c r="G547" i="11"/>
  <c r="G464" i="11"/>
  <c r="G488" i="11"/>
  <c r="K516" i="11"/>
  <c r="K532" i="11"/>
  <c r="K548" i="11"/>
  <c r="K564" i="11"/>
  <c r="K473" i="11"/>
  <c r="K489" i="11"/>
  <c r="K505" i="11"/>
  <c r="L528" i="11"/>
  <c r="L544" i="11"/>
  <c r="L560" i="11"/>
  <c r="L311" i="11"/>
  <c r="H483" i="11"/>
  <c r="E411" i="11"/>
  <c r="K379" i="11"/>
  <c r="J389" i="11"/>
  <c r="J356" i="11"/>
  <c r="L407" i="11"/>
  <c r="E412" i="11"/>
  <c r="L404" i="11"/>
  <c r="I374" i="11"/>
  <c r="H356" i="11"/>
  <c r="H388" i="11"/>
  <c r="J385" i="11"/>
  <c r="E517" i="11"/>
  <c r="F425" i="11"/>
  <c r="F430" i="11"/>
  <c r="G430" i="11"/>
  <c r="J417" i="11"/>
  <c r="G449" i="11"/>
  <c r="I446" i="11"/>
  <c r="J443" i="11"/>
  <c r="I443" i="11"/>
  <c r="J440" i="11"/>
  <c r="L414" i="11"/>
  <c r="L430" i="11"/>
  <c r="J528" i="11"/>
  <c r="F541" i="11"/>
  <c r="H562" i="11"/>
  <c r="H553" i="11"/>
  <c r="K463" i="11"/>
  <c r="K479" i="11"/>
  <c r="K495" i="11"/>
  <c r="L518" i="11"/>
  <c r="L534" i="11"/>
  <c r="L550" i="11"/>
  <c r="I494" i="11"/>
  <c r="J545" i="11"/>
  <c r="G465" i="11"/>
  <c r="G489" i="11"/>
  <c r="K517" i="11"/>
  <c r="K533" i="11"/>
  <c r="K549" i="11"/>
  <c r="E460" i="11"/>
  <c r="E476" i="11"/>
  <c r="E492" i="11"/>
  <c r="E508" i="11"/>
  <c r="L529" i="11"/>
  <c r="L545" i="11"/>
  <c r="L561" i="11"/>
  <c r="F472" i="11"/>
  <c r="F488" i="11"/>
  <c r="F504" i="11"/>
  <c r="J548" i="11"/>
  <c r="J465" i="11"/>
  <c r="J489" i="11"/>
  <c r="E518" i="11"/>
  <c r="E534" i="11"/>
  <c r="E550" i="11"/>
  <c r="E459" i="11"/>
  <c r="E475" i="11"/>
  <c r="E491" i="11"/>
  <c r="E507" i="11"/>
  <c r="F530" i="11"/>
  <c r="F546" i="11"/>
  <c r="F562" i="11"/>
  <c r="F303" i="11"/>
  <c r="E498" i="11"/>
  <c r="H444" i="11"/>
  <c r="K363" i="11"/>
  <c r="L381" i="11"/>
  <c r="L372" i="11"/>
  <c r="I410" i="11"/>
  <c r="F415" i="11"/>
  <c r="J404" i="11"/>
  <c r="J376" i="11"/>
  <c r="E362" i="11"/>
  <c r="K393" i="11"/>
  <c r="I388" i="11"/>
  <c r="G482" i="11"/>
  <c r="E430" i="11"/>
  <c r="F403" i="11"/>
  <c r="L431" i="11"/>
  <c r="G419" i="11"/>
  <c r="J446" i="11"/>
  <c r="F445" i="11"/>
  <c r="G442" i="11"/>
  <c r="F442" i="11"/>
  <c r="G439" i="11"/>
  <c r="F416" i="11"/>
  <c r="F432" i="11"/>
  <c r="G528" i="11"/>
  <c r="G521" i="11"/>
  <c r="K563" i="11"/>
  <c r="K554" i="11"/>
  <c r="E465" i="11"/>
  <c r="E481" i="11"/>
  <c r="E497" i="11"/>
  <c r="F520" i="11"/>
  <c r="F536" i="11"/>
  <c r="F552" i="11"/>
  <c r="L495" i="11"/>
  <c r="G548" i="11"/>
  <c r="J466" i="11"/>
  <c r="J490" i="11"/>
  <c r="E519" i="11"/>
  <c r="E535" i="11"/>
  <c r="E551" i="11"/>
  <c r="H461" i="11"/>
  <c r="H477" i="11"/>
  <c r="H493" i="11"/>
  <c r="F515" i="11"/>
  <c r="F531" i="11"/>
  <c r="F547" i="11"/>
  <c r="F563" i="11"/>
  <c r="I473" i="11"/>
  <c r="I489" i="11"/>
  <c r="I505" i="11"/>
  <c r="G551" i="11"/>
  <c r="G468" i="11"/>
  <c r="G492" i="11"/>
  <c r="H519" i="11"/>
  <c r="H535" i="11"/>
  <c r="H551" i="11"/>
  <c r="H460" i="11"/>
  <c r="H476" i="11"/>
  <c r="H492" i="11"/>
  <c r="I515" i="11"/>
  <c r="I531" i="11"/>
  <c r="I547" i="11"/>
  <c r="I563" i="11"/>
  <c r="F337" i="11"/>
  <c r="I460" i="11"/>
  <c r="F545" i="11"/>
  <c r="J430" i="11"/>
  <c r="K347" i="11"/>
  <c r="E371" i="11"/>
  <c r="J420" i="11"/>
  <c r="F362" i="11"/>
  <c r="E355" i="11"/>
  <c r="K404" i="11"/>
  <c r="I379" i="11"/>
  <c r="K380" i="11"/>
  <c r="I396" i="11"/>
  <c r="I391" i="11"/>
  <c r="F482" i="11"/>
  <c r="J431" i="11"/>
  <c r="G406" i="11"/>
  <c r="H433" i="11"/>
  <c r="H422" i="11"/>
  <c r="G445" i="11"/>
  <c r="L443" i="11"/>
  <c r="J439" i="11"/>
  <c r="L440" i="11"/>
  <c r="J436" i="11"/>
  <c r="I417" i="11"/>
  <c r="I433" i="11"/>
  <c r="F557" i="11"/>
  <c r="J524" i="11"/>
  <c r="E540" i="11"/>
  <c r="E556" i="11"/>
  <c r="H466" i="11"/>
  <c r="H482" i="11"/>
  <c r="H498" i="11"/>
  <c r="I521" i="11"/>
  <c r="I537" i="11"/>
  <c r="I553" i="11"/>
  <c r="F497" i="11"/>
  <c r="J549" i="11"/>
  <c r="G469" i="11"/>
  <c r="G493" i="11"/>
  <c r="H520" i="11"/>
  <c r="H536" i="11"/>
  <c r="H552" i="11"/>
  <c r="K462" i="11"/>
  <c r="K478" i="11"/>
  <c r="K494" i="11"/>
  <c r="I516" i="11"/>
  <c r="I532" i="11"/>
  <c r="I548" i="11"/>
  <c r="I564" i="11"/>
  <c r="L474" i="11"/>
  <c r="L490" i="11"/>
  <c r="L506" i="11"/>
  <c r="J552" i="11"/>
  <c r="J469" i="11"/>
  <c r="J493" i="11"/>
  <c r="K520" i="11"/>
  <c r="K536" i="11"/>
  <c r="K552" i="11"/>
  <c r="K461" i="11"/>
  <c r="K477" i="11"/>
  <c r="K493" i="11"/>
  <c r="L516" i="11"/>
  <c r="L532" i="11"/>
  <c r="L548" i="11"/>
  <c r="G291" i="11"/>
  <c r="H550" i="11"/>
  <c r="I562" i="11"/>
  <c r="K408" i="11"/>
  <c r="E379" i="11"/>
  <c r="K361" i="11"/>
  <c r="J357" i="11"/>
  <c r="E392" i="11"/>
  <c r="L357" i="11"/>
  <c r="E404" i="11"/>
  <c r="G382" i="11"/>
  <c r="G348" i="11"/>
  <c r="H348" i="11"/>
  <c r="F426" i="11"/>
  <c r="J525" i="11"/>
  <c r="F433" i="11"/>
  <c r="H409" i="11"/>
  <c r="F494" i="11"/>
  <c r="J425" i="11"/>
  <c r="J442" i="11"/>
  <c r="I442" i="11"/>
  <c r="G438" i="11"/>
  <c r="I439" i="11"/>
  <c r="G435" i="11"/>
  <c r="L418" i="11"/>
  <c r="I436" i="11"/>
  <c r="J520" i="11"/>
  <c r="G524" i="11"/>
  <c r="H541" i="11"/>
  <c r="H557" i="11"/>
  <c r="K467" i="11"/>
  <c r="K483" i="11"/>
  <c r="K499" i="11"/>
  <c r="L522" i="11"/>
  <c r="L538" i="11"/>
  <c r="L554" i="11"/>
  <c r="I498" i="11"/>
  <c r="G552" i="11"/>
  <c r="J470" i="11"/>
  <c r="J494" i="11"/>
  <c r="K521" i="11"/>
  <c r="K537" i="11"/>
  <c r="K553" i="11"/>
  <c r="E464" i="11"/>
  <c r="E480" i="11"/>
  <c r="E496" i="11"/>
  <c r="L517" i="11"/>
  <c r="L533" i="11"/>
  <c r="L549" i="11"/>
  <c r="F460" i="11"/>
  <c r="F476" i="11"/>
  <c r="F492" i="11"/>
  <c r="F508" i="11"/>
  <c r="G555" i="11"/>
  <c r="G472" i="11"/>
  <c r="G496" i="11"/>
  <c r="E522" i="11"/>
  <c r="E538" i="11"/>
  <c r="E554" i="11"/>
  <c r="E463" i="11"/>
  <c r="E479" i="11"/>
  <c r="E495" i="11"/>
  <c r="F518" i="11"/>
  <c r="F534" i="11"/>
  <c r="F550" i="11"/>
  <c r="I314" i="11"/>
  <c r="H507" i="11"/>
  <c r="F475" i="11"/>
  <c r="G550" i="11"/>
  <c r="E445" i="11"/>
  <c r="F354" i="11"/>
  <c r="H395" i="11"/>
  <c r="F379" i="11"/>
  <c r="I415" i="11"/>
  <c r="J360" i="11"/>
  <c r="H421" i="11"/>
  <c r="K390" i="11"/>
  <c r="G350" i="11"/>
  <c r="I350" i="11"/>
  <c r="G429" i="11"/>
  <c r="H525" i="11"/>
  <c r="F406" i="11"/>
  <c r="F411" i="11"/>
  <c r="G553" i="11"/>
  <c r="G427" i="11"/>
  <c r="G441" i="11"/>
  <c r="F441" i="11"/>
  <c r="J435" i="11"/>
  <c r="F438" i="11"/>
  <c r="F404" i="11"/>
  <c r="F420" i="11"/>
  <c r="K438" i="11"/>
  <c r="G520" i="11"/>
  <c r="H521" i="11"/>
  <c r="K542" i="11"/>
  <c r="K558" i="11"/>
  <c r="E469" i="11"/>
  <c r="E485" i="11"/>
  <c r="E501" i="11"/>
  <c r="F524" i="11"/>
  <c r="F540" i="11"/>
  <c r="F556" i="11"/>
  <c r="L499" i="11"/>
  <c r="J553" i="11"/>
  <c r="G473" i="11"/>
  <c r="G497" i="11"/>
  <c r="E523" i="11"/>
  <c r="E539" i="11"/>
  <c r="E555" i="11"/>
  <c r="H465" i="11"/>
  <c r="H481" i="11"/>
  <c r="H497" i="11"/>
  <c r="F519" i="11"/>
  <c r="F535" i="11"/>
  <c r="F551" i="11"/>
  <c r="I461" i="11"/>
  <c r="I477" i="11"/>
  <c r="I493" i="11"/>
  <c r="J532" i="11"/>
  <c r="J556" i="11"/>
  <c r="J473" i="11"/>
  <c r="J497" i="11"/>
  <c r="H523" i="11"/>
  <c r="H539" i="11"/>
  <c r="H555" i="11"/>
  <c r="J479" i="11"/>
  <c r="J495" i="11"/>
  <c r="G431" i="11"/>
  <c r="I378" i="11"/>
  <c r="E391" i="11"/>
  <c r="F393" i="11"/>
  <c r="L415" i="11"/>
  <c r="K365" i="11"/>
  <c r="F348" i="11"/>
  <c r="J393" i="11"/>
  <c r="E358" i="11"/>
  <c r="E356" i="11"/>
  <c r="I418" i="11"/>
  <c r="G525" i="11"/>
  <c r="F422" i="11"/>
  <c r="G414" i="11"/>
  <c r="F553" i="11"/>
  <c r="H430" i="11"/>
  <c r="J438" i="11"/>
  <c r="L439" i="11"/>
  <c r="L452" i="11"/>
  <c r="L436" i="11"/>
  <c r="I405" i="11"/>
  <c r="I421" i="11"/>
  <c r="I440" i="11"/>
  <c r="F473" i="11"/>
  <c r="E524" i="11"/>
  <c r="E544" i="11"/>
  <c r="E560" i="11"/>
  <c r="H470" i="11"/>
  <c r="H486" i="11"/>
  <c r="H502" i="11"/>
  <c r="I525" i="11"/>
  <c r="I541" i="11"/>
  <c r="I557" i="11"/>
  <c r="F501" i="11"/>
  <c r="G556" i="11"/>
  <c r="J474" i="11"/>
  <c r="J498" i="11"/>
  <c r="H524" i="11"/>
  <c r="H540" i="11"/>
  <c r="H556" i="11"/>
  <c r="K466" i="11"/>
  <c r="K482" i="11"/>
  <c r="K498" i="11"/>
  <c r="I520" i="11"/>
  <c r="I536" i="11"/>
  <c r="I552" i="11"/>
  <c r="L462" i="11"/>
  <c r="L478" i="11"/>
  <c r="L494" i="11"/>
  <c r="G535" i="11"/>
  <c r="G559" i="11"/>
  <c r="G476" i="11"/>
  <c r="G500" i="11"/>
  <c r="K524" i="11"/>
  <c r="K540" i="11"/>
  <c r="K556" i="11"/>
  <c r="K465" i="11"/>
  <c r="K481" i="11"/>
  <c r="K497" i="11"/>
  <c r="L520" i="11"/>
  <c r="L536" i="11"/>
  <c r="L552" i="11"/>
  <c r="G522" i="11"/>
  <c r="F478" i="11"/>
  <c r="K394" i="11"/>
  <c r="F352" i="11"/>
  <c r="K378" i="11"/>
  <c r="F470" i="11"/>
  <c r="H415" i="11"/>
  <c r="H371" i="11"/>
  <c r="L352" i="11"/>
  <c r="H396" i="11"/>
  <c r="L360" i="11"/>
  <c r="L366" i="11"/>
  <c r="H423" i="11"/>
  <c r="E406" i="11"/>
  <c r="K423" i="11"/>
  <c r="H417" i="11"/>
  <c r="E553" i="11"/>
  <c r="J433" i="11"/>
  <c r="G437" i="11"/>
  <c r="I438" i="11"/>
  <c r="I451" i="11"/>
  <c r="J452" i="11"/>
  <c r="L406" i="11"/>
  <c r="L422" i="11"/>
  <c r="K442" i="11"/>
  <c r="F485" i="11"/>
  <c r="E533" i="11"/>
  <c r="H545" i="11"/>
  <c r="H561" i="11"/>
  <c r="K471" i="11"/>
  <c r="K487" i="11"/>
  <c r="K503" i="11"/>
  <c r="L526" i="11"/>
  <c r="L542" i="11"/>
  <c r="L558" i="11"/>
  <c r="I502" i="11"/>
  <c r="J557" i="11"/>
  <c r="G477" i="11"/>
  <c r="G501" i="11"/>
  <c r="K525" i="11"/>
  <c r="K541" i="11"/>
  <c r="K557" i="11"/>
  <c r="E468" i="11"/>
  <c r="E484" i="11"/>
  <c r="E500" i="11"/>
  <c r="L521" i="11"/>
  <c r="L537" i="11"/>
  <c r="L553" i="11"/>
  <c r="F464" i="11"/>
  <c r="F480" i="11"/>
  <c r="F496" i="11"/>
  <c r="J536" i="11"/>
  <c r="J560" i="11"/>
  <c r="J477" i="11"/>
  <c r="J501" i="11"/>
  <c r="E526" i="11"/>
  <c r="E542" i="11"/>
  <c r="E558" i="11"/>
  <c r="E467" i="11"/>
  <c r="E483" i="11"/>
  <c r="E499" i="11"/>
  <c r="F522" i="11"/>
  <c r="F538" i="11"/>
  <c r="F554" i="11"/>
  <c r="I459" i="11"/>
  <c r="E452" i="11"/>
  <c r="J472" i="11"/>
  <c r="I428" i="11"/>
  <c r="K392" i="11"/>
  <c r="F366" i="11"/>
  <c r="K354" i="11"/>
  <c r="L354" i="11"/>
  <c r="H379" i="11"/>
  <c r="F355" i="11"/>
  <c r="K405" i="11"/>
  <c r="K368" i="11"/>
  <c r="L368" i="11"/>
  <c r="I426" i="11"/>
  <c r="F409" i="11"/>
  <c r="G425" i="11"/>
  <c r="F419" i="11"/>
  <c r="E409" i="11"/>
  <c r="I430" i="11"/>
  <c r="J434" i="11"/>
  <c r="F437" i="11"/>
  <c r="F450" i="11"/>
  <c r="G451" i="11"/>
  <c r="F408" i="11"/>
  <c r="F424" i="11"/>
  <c r="I444" i="11"/>
  <c r="E521" i="11"/>
  <c r="K555" i="11"/>
  <c r="K546" i="11"/>
  <c r="K562" i="11"/>
  <c r="E473" i="11"/>
  <c r="E489" i="11"/>
  <c r="E505" i="11"/>
  <c r="F528" i="11"/>
  <c r="F544" i="11"/>
  <c r="F560" i="11"/>
  <c r="L503" i="11"/>
  <c r="G560" i="11"/>
  <c r="J478" i="11"/>
  <c r="J502" i="11"/>
  <c r="E527" i="11"/>
  <c r="E543" i="11"/>
  <c r="E559" i="11"/>
  <c r="H469" i="11"/>
  <c r="H485" i="11"/>
  <c r="H501" i="11"/>
  <c r="F523" i="11"/>
  <c r="F539" i="11"/>
  <c r="F555" i="11"/>
  <c r="I465" i="11"/>
  <c r="I481" i="11"/>
  <c r="I497" i="11"/>
  <c r="G539" i="11"/>
  <c r="G563" i="11"/>
  <c r="G480" i="11"/>
  <c r="G504" i="11"/>
  <c r="H527" i="11"/>
  <c r="H543" i="11"/>
  <c r="H559" i="11"/>
  <c r="H468" i="11"/>
  <c r="H484" i="11"/>
  <c r="H500" i="11"/>
  <c r="I523" i="11"/>
  <c r="I539" i="11"/>
  <c r="I555" i="11"/>
  <c r="I522" i="11"/>
  <c r="L371" i="11"/>
  <c r="I425" i="11"/>
  <c r="F505" i="11"/>
  <c r="I556" i="11"/>
  <c r="K469" i="11"/>
  <c r="I294" i="11"/>
  <c r="G299" i="11"/>
  <c r="F321" i="11"/>
  <c r="G314" i="11"/>
  <c r="J312" i="11"/>
  <c r="L331" i="11"/>
  <c r="F317" i="11"/>
  <c r="H298" i="11"/>
  <c r="H314" i="11"/>
  <c r="H330" i="11"/>
  <c r="G301" i="11"/>
  <c r="G325" i="11"/>
  <c r="H297" i="11"/>
  <c r="H313" i="11"/>
  <c r="H329" i="11"/>
  <c r="F296" i="11"/>
  <c r="F312" i="11"/>
  <c r="F328" i="11"/>
  <c r="G296" i="11"/>
  <c r="G320" i="11"/>
  <c r="H292" i="11"/>
  <c r="H308" i="11"/>
  <c r="H324" i="11"/>
  <c r="H340" i="11"/>
  <c r="L325" i="11"/>
  <c r="G315" i="11"/>
  <c r="J517" i="11"/>
  <c r="K446" i="11"/>
  <c r="J561" i="11"/>
  <c r="L466" i="11"/>
  <c r="H480" i="11"/>
  <c r="J303" i="11"/>
  <c r="I304" i="11"/>
  <c r="L291" i="11"/>
  <c r="I322" i="11"/>
  <c r="I318" i="11"/>
  <c r="G338" i="11"/>
  <c r="F329" i="11"/>
  <c r="K299" i="11"/>
  <c r="K315" i="11"/>
  <c r="K331" i="11"/>
  <c r="J302" i="11"/>
  <c r="J326" i="11"/>
  <c r="K298" i="11"/>
  <c r="K314" i="11"/>
  <c r="K330" i="11"/>
  <c r="I297" i="11"/>
  <c r="I313" i="11"/>
  <c r="I329" i="11"/>
  <c r="J297" i="11"/>
  <c r="J321" i="11"/>
  <c r="K293" i="11"/>
  <c r="K309" i="11"/>
  <c r="K325" i="11"/>
  <c r="F311" i="11"/>
  <c r="F327" i="11"/>
  <c r="E462" i="11"/>
  <c r="E414" i="11"/>
  <c r="G529" i="11"/>
  <c r="G481" i="11"/>
  <c r="L482" i="11"/>
  <c r="K485" i="11"/>
  <c r="J311" i="11"/>
  <c r="L315" i="11"/>
  <c r="G310" i="11"/>
  <c r="J296" i="11"/>
  <c r="I292" i="11"/>
  <c r="I330" i="11"/>
  <c r="I326" i="11"/>
  <c r="E301" i="11"/>
  <c r="E317" i="11"/>
  <c r="E333" i="11"/>
  <c r="G305" i="11"/>
  <c r="G329" i="11"/>
  <c r="E300" i="11"/>
  <c r="E316" i="11"/>
  <c r="E332" i="11"/>
  <c r="L298" i="11"/>
  <c r="L314" i="11"/>
  <c r="L330" i="11"/>
  <c r="G300" i="11"/>
  <c r="G324" i="11"/>
  <c r="E295" i="11"/>
  <c r="E311" i="11"/>
  <c r="E327" i="11"/>
  <c r="I312" i="11"/>
  <c r="I328" i="11"/>
  <c r="G362" i="11"/>
  <c r="L465" i="11"/>
  <c r="E557" i="11"/>
  <c r="G505" i="11"/>
  <c r="L498" i="11"/>
  <c r="H496" i="11"/>
  <c r="G334" i="11"/>
  <c r="L340" i="11"/>
  <c r="F307" i="11"/>
  <c r="L299" i="11"/>
  <c r="L293" i="11"/>
  <c r="I338" i="11"/>
  <c r="H302" i="11"/>
  <c r="H318" i="11"/>
  <c r="H334" i="11"/>
  <c r="J306" i="11"/>
  <c r="J330" i="11"/>
  <c r="H301" i="11"/>
  <c r="H317" i="11"/>
  <c r="H333" i="11"/>
  <c r="F300" i="11"/>
  <c r="F316" i="11"/>
  <c r="F332" i="11"/>
  <c r="J301" i="11"/>
  <c r="J325" i="11"/>
  <c r="H296" i="11"/>
  <c r="H312" i="11"/>
  <c r="H328" i="11"/>
  <c r="L313" i="11"/>
  <c r="L329" i="11"/>
  <c r="J320" i="11"/>
  <c r="H377" i="11"/>
  <c r="G422" i="11"/>
  <c r="E548" i="11"/>
  <c r="H528" i="11"/>
  <c r="J540" i="11"/>
  <c r="K501" i="11"/>
  <c r="G298" i="11"/>
  <c r="G295" i="11"/>
  <c r="F313" i="11"/>
  <c r="L303" i="11"/>
  <c r="F297" i="11"/>
  <c r="F291" i="11"/>
  <c r="L301" i="11"/>
  <c r="K303" i="11"/>
  <c r="K319" i="11"/>
  <c r="K335" i="11"/>
  <c r="G309" i="11"/>
  <c r="G333" i="11"/>
  <c r="K302" i="11"/>
  <c r="K318" i="11"/>
  <c r="K334" i="11"/>
  <c r="I301" i="11"/>
  <c r="I317" i="11"/>
  <c r="I333" i="11"/>
  <c r="G304" i="11"/>
  <c r="G328" i="11"/>
  <c r="K297" i="11"/>
  <c r="K313" i="11"/>
  <c r="K329" i="11"/>
  <c r="F315" i="11"/>
  <c r="F331" i="11"/>
  <c r="G323" i="11"/>
  <c r="E294" i="11"/>
  <c r="E310" i="11"/>
  <c r="E326" i="11"/>
  <c r="I291" i="11"/>
  <c r="I307" i="11"/>
  <c r="I323" i="11"/>
  <c r="I339" i="11"/>
  <c r="H355" i="11"/>
  <c r="G409" i="11"/>
  <c r="E564" i="11"/>
  <c r="H544" i="11"/>
  <c r="J564" i="11"/>
  <c r="I519" i="11"/>
  <c r="I308" i="11"/>
  <c r="J299" i="11"/>
  <c r="G302" i="11"/>
  <c r="L307" i="11"/>
  <c r="J300" i="11"/>
  <c r="I298" i="11"/>
  <c r="L305" i="11"/>
  <c r="E305" i="11"/>
  <c r="E321" i="11"/>
  <c r="E337" i="11"/>
  <c r="J310" i="11"/>
  <c r="J334" i="11"/>
  <c r="E304" i="11"/>
  <c r="E320" i="11"/>
  <c r="E336" i="11"/>
  <c r="L302" i="11"/>
  <c r="L318" i="11"/>
  <c r="L334" i="11"/>
  <c r="J305" i="11"/>
  <c r="J329" i="11"/>
  <c r="E299" i="11"/>
  <c r="E315" i="11"/>
  <c r="E331" i="11"/>
  <c r="I316" i="11"/>
  <c r="I332" i="11"/>
  <c r="F376" i="11"/>
  <c r="L477" i="11"/>
  <c r="H474" i="11"/>
  <c r="H560" i="11"/>
  <c r="J481" i="11"/>
  <c r="L524" i="11"/>
  <c r="F299" i="11"/>
  <c r="J335" i="11"/>
  <c r="G307" i="11"/>
  <c r="G318" i="11"/>
  <c r="J304" i="11"/>
  <c r="I302" i="11"/>
  <c r="F305" i="11"/>
  <c r="H306" i="11"/>
  <c r="H322" i="11"/>
  <c r="H338" i="11"/>
  <c r="G313" i="11"/>
  <c r="G337" i="11"/>
  <c r="H305" i="11"/>
  <c r="H321" i="11"/>
  <c r="H337" i="11"/>
  <c r="F304" i="11"/>
  <c r="F320" i="11"/>
  <c r="F336" i="11"/>
  <c r="G308" i="11"/>
  <c r="G332" i="11"/>
  <c r="H300" i="11"/>
  <c r="H316" i="11"/>
  <c r="H332" i="11"/>
  <c r="L317" i="11"/>
  <c r="L333" i="11"/>
  <c r="G327" i="11"/>
  <c r="H412" i="11"/>
  <c r="L451" i="11"/>
  <c r="H490" i="11"/>
  <c r="K470" i="11"/>
  <c r="J505" i="11"/>
  <c r="I535" i="11"/>
  <c r="F325" i="11"/>
  <c r="J295" i="11"/>
  <c r="G322" i="11"/>
  <c r="L323" i="11"/>
  <c r="J308" i="11"/>
  <c r="I306" i="11"/>
  <c r="F382" i="11"/>
  <c r="J451" i="11"/>
  <c r="H506" i="11"/>
  <c r="K486" i="11"/>
  <c r="K528" i="11"/>
  <c r="L540" i="11"/>
  <c r="I334" i="11"/>
  <c r="G311" i="11"/>
  <c r="L339" i="11"/>
  <c r="G330" i="11"/>
  <c r="J319" i="11"/>
  <c r="I310" i="11"/>
  <c r="F309" i="11"/>
  <c r="E293" i="11"/>
  <c r="E309" i="11"/>
  <c r="E325" i="11"/>
  <c r="G293" i="11"/>
  <c r="G317" i="11"/>
  <c r="E292" i="11"/>
  <c r="E308" i="11"/>
  <c r="E324" i="11"/>
  <c r="E340" i="11"/>
  <c r="L306" i="11"/>
  <c r="L322" i="11"/>
  <c r="L338" i="11"/>
  <c r="G312" i="11"/>
  <c r="G336" i="11"/>
  <c r="E303" i="11"/>
  <c r="E319" i="11"/>
  <c r="E335" i="11"/>
  <c r="I320" i="11"/>
  <c r="I336" i="11"/>
  <c r="K360" i="11"/>
  <c r="L448" i="11"/>
  <c r="I529" i="11"/>
  <c r="K502" i="11"/>
  <c r="K544" i="11"/>
  <c r="I551" i="11"/>
  <c r="G303" i="11"/>
  <c r="L327" i="11"/>
  <c r="F293" i="11"/>
  <c r="L335" i="11"/>
  <c r="J331" i="11"/>
  <c r="J315" i="11"/>
  <c r="H294" i="11"/>
  <c r="H310" i="11"/>
  <c r="H326" i="11"/>
  <c r="J294" i="11"/>
  <c r="J318" i="11"/>
  <c r="H293" i="11"/>
  <c r="H309" i="11"/>
  <c r="H325" i="11"/>
  <c r="F292" i="11"/>
  <c r="F308" i="11"/>
  <c r="F324" i="11"/>
  <c r="F340" i="11"/>
  <c r="J313" i="11"/>
  <c r="J337" i="11"/>
  <c r="H304" i="11"/>
  <c r="H320" i="11"/>
  <c r="H336" i="11"/>
  <c r="L321" i="11"/>
  <c r="L337" i="11"/>
  <c r="L405" i="11"/>
  <c r="J448" i="11"/>
  <c r="I545" i="11"/>
  <c r="I524" i="11"/>
  <c r="K560" i="11"/>
  <c r="L556" i="11"/>
  <c r="J323" i="11"/>
  <c r="J291" i="11"/>
  <c r="L297" i="11"/>
  <c r="J292" i="11"/>
  <c r="L319" i="11"/>
  <c r="J327" i="11"/>
  <c r="K295" i="11"/>
  <c r="K311" i="11"/>
  <c r="K327" i="11"/>
  <c r="G297" i="11"/>
  <c r="G321" i="11"/>
  <c r="K294" i="11"/>
  <c r="K310" i="11"/>
  <c r="K326" i="11"/>
  <c r="I293" i="11"/>
  <c r="I309" i="11"/>
  <c r="I325" i="11"/>
  <c r="G292" i="11"/>
  <c r="G316" i="11"/>
  <c r="G340" i="11"/>
  <c r="K305" i="11"/>
  <c r="K321" i="11"/>
  <c r="K337" i="11"/>
  <c r="F323" i="11"/>
  <c r="F339" i="11"/>
  <c r="G335" i="11"/>
  <c r="E302" i="11"/>
  <c r="E318" i="11"/>
  <c r="E334" i="11"/>
  <c r="I299" i="11"/>
  <c r="I315" i="11"/>
  <c r="I331" i="11"/>
  <c r="J371" i="11"/>
  <c r="K307" i="11"/>
  <c r="K322" i="11"/>
  <c r="J333" i="11"/>
  <c r="J316" i="11"/>
  <c r="K296" i="11"/>
  <c r="H315" i="11"/>
  <c r="H335" i="11"/>
  <c r="I303" i="11"/>
  <c r="F322" i="11"/>
  <c r="I409" i="11"/>
  <c r="E313" i="11"/>
  <c r="E328" i="11"/>
  <c r="E291" i="11"/>
  <c r="G319" i="11"/>
  <c r="E298" i="11"/>
  <c r="K316" i="11"/>
  <c r="K336" i="11"/>
  <c r="L304" i="11"/>
  <c r="L324" i="11"/>
  <c r="I561" i="11"/>
  <c r="K323" i="11"/>
  <c r="K338" i="11"/>
  <c r="K301" i="11"/>
  <c r="J324" i="11"/>
  <c r="H299" i="11"/>
  <c r="H319" i="11"/>
  <c r="E338" i="11"/>
  <c r="F306" i="11"/>
  <c r="F326" i="11"/>
  <c r="I540" i="11"/>
  <c r="E329" i="11"/>
  <c r="L294" i="11"/>
  <c r="E307" i="11"/>
  <c r="J328" i="11"/>
  <c r="K300" i="11"/>
  <c r="K320" i="11"/>
  <c r="H339" i="11"/>
  <c r="L308" i="11"/>
  <c r="I327" i="11"/>
  <c r="H464" i="11"/>
  <c r="F295" i="11"/>
  <c r="K339" i="11"/>
  <c r="I305" i="11"/>
  <c r="K317" i="11"/>
  <c r="G331" i="11"/>
  <c r="H303" i="11"/>
  <c r="E322" i="11"/>
  <c r="K340" i="11"/>
  <c r="F310" i="11"/>
  <c r="L328" i="11"/>
  <c r="F301" i="11"/>
  <c r="J298" i="11"/>
  <c r="L310" i="11"/>
  <c r="E323" i="11"/>
  <c r="J332" i="11"/>
  <c r="K304" i="11"/>
  <c r="H323" i="11"/>
  <c r="L292" i="11"/>
  <c r="I311" i="11"/>
  <c r="F330" i="11"/>
  <c r="J307" i="11"/>
  <c r="L309" i="11"/>
  <c r="J314" i="11"/>
  <c r="I321" i="11"/>
  <c r="K333" i="11"/>
  <c r="J336" i="11"/>
  <c r="E306" i="11"/>
  <c r="K324" i="11"/>
  <c r="F294" i="11"/>
  <c r="L312" i="11"/>
  <c r="L332" i="11"/>
  <c r="I296" i="11"/>
  <c r="J322" i="11"/>
  <c r="L326" i="11"/>
  <c r="E339" i="11"/>
  <c r="G339" i="11"/>
  <c r="H307" i="11"/>
  <c r="H327" i="11"/>
  <c r="I295" i="11"/>
  <c r="F314" i="11"/>
  <c r="F334" i="11"/>
  <c r="G326" i="11"/>
  <c r="J338" i="11"/>
  <c r="I337" i="11"/>
  <c r="F319" i="11"/>
  <c r="J340" i="11"/>
  <c r="K308" i="11"/>
  <c r="K328" i="11"/>
  <c r="L296" i="11"/>
  <c r="L316" i="11"/>
  <c r="I335" i="11"/>
  <c r="J339" i="11"/>
  <c r="E296" i="11"/>
  <c r="J293" i="11"/>
  <c r="I324" i="11"/>
  <c r="H291" i="11"/>
  <c r="H311" i="11"/>
  <c r="E330" i="11"/>
  <c r="F298" i="11"/>
  <c r="F318" i="11"/>
  <c r="L336" i="11"/>
  <c r="K291" i="11"/>
  <c r="K306" i="11"/>
  <c r="J309" i="11"/>
  <c r="F335" i="11"/>
  <c r="K292" i="11"/>
  <c r="K312" i="11"/>
  <c r="H331" i="11"/>
  <c r="L300" i="11"/>
  <c r="I319" i="11"/>
  <c r="F338" i="11"/>
  <c r="F302" i="11"/>
  <c r="L320" i="11"/>
  <c r="E297" i="11"/>
  <c r="E312" i="11"/>
  <c r="J317" i="11"/>
  <c r="I340" i="11"/>
  <c r="H295" i="11"/>
  <c r="E314" i="11"/>
  <c r="K332" i="11"/>
  <c r="C510" i="21" l="1"/>
  <c r="C566" i="21"/>
  <c r="C457" i="20"/>
  <c r="C458" i="20"/>
  <c r="C513" i="20"/>
  <c r="C514" i="20"/>
  <c r="C566" i="20"/>
  <c r="C510" i="20"/>
  <c r="C454" i="20"/>
  <c r="C297" i="20"/>
  <c r="E361" i="21"/>
  <c r="C303" i="20"/>
  <c r="C11" i="20"/>
  <c r="C184" i="20"/>
  <c r="C302" i="20"/>
  <c r="C362" i="20"/>
  <c r="C69" i="20"/>
  <c r="F341" i="21"/>
  <c r="C300" i="20"/>
  <c r="C14" i="20"/>
  <c r="H117" i="20"/>
  <c r="C41" i="21"/>
  <c r="C333" i="20"/>
  <c r="C219" i="20"/>
  <c r="C284" i="20"/>
  <c r="C355" i="20"/>
  <c r="C226" i="20"/>
  <c r="C153" i="20"/>
  <c r="C187" i="21"/>
  <c r="C187" i="20"/>
  <c r="C242" i="20"/>
  <c r="C295" i="21"/>
  <c r="C90" i="21"/>
  <c r="F581" i="20"/>
  <c r="C572" i="20"/>
  <c r="C296" i="21"/>
  <c r="C188" i="21"/>
  <c r="H581" i="20"/>
  <c r="G581" i="20"/>
  <c r="C240" i="21"/>
  <c r="C292" i="20"/>
  <c r="C16" i="21"/>
  <c r="C249" i="20"/>
  <c r="C32" i="20"/>
  <c r="C142" i="21"/>
  <c r="C33" i="20"/>
  <c r="C34" i="20"/>
  <c r="C387" i="21"/>
  <c r="C374" i="21"/>
  <c r="C323" i="21"/>
  <c r="C209" i="21"/>
  <c r="C377" i="21"/>
  <c r="C265" i="21"/>
  <c r="C194" i="20"/>
  <c r="C571" i="20"/>
  <c r="C574" i="20"/>
  <c r="C338" i="21"/>
  <c r="C273" i="20"/>
  <c r="C311" i="21"/>
  <c r="C27" i="21"/>
  <c r="C309" i="21"/>
  <c r="C33" i="21"/>
  <c r="C310" i="21"/>
  <c r="I397" i="20"/>
  <c r="C280" i="20"/>
  <c r="C116" i="20"/>
  <c r="C575" i="20"/>
  <c r="F397" i="20"/>
  <c r="C304" i="20"/>
  <c r="C244" i="21"/>
  <c r="C26" i="21"/>
  <c r="C354" i="21"/>
  <c r="C291" i="20"/>
  <c r="C254" i="21"/>
  <c r="C12" i="20"/>
  <c r="C380" i="21"/>
  <c r="C395" i="20"/>
  <c r="C257" i="20"/>
  <c r="F341" i="20"/>
  <c r="C43" i="21"/>
  <c r="C208" i="20"/>
  <c r="C52" i="21"/>
  <c r="C267" i="20"/>
  <c r="C206" i="20"/>
  <c r="C75" i="20"/>
  <c r="C166" i="20"/>
  <c r="C172" i="20"/>
  <c r="C275" i="21"/>
  <c r="C222" i="21"/>
  <c r="C169" i="21"/>
  <c r="C228" i="20"/>
  <c r="I173" i="20"/>
  <c r="C277" i="21"/>
  <c r="C203" i="21"/>
  <c r="C201" i="21"/>
  <c r="C313" i="20"/>
  <c r="C340" i="20"/>
  <c r="C321" i="20"/>
  <c r="C160" i="21"/>
  <c r="C396" i="20"/>
  <c r="C377" i="20"/>
  <c r="C378" i="20"/>
  <c r="J581" i="20"/>
  <c r="C169" i="20"/>
  <c r="C214" i="20"/>
  <c r="C60" i="20"/>
  <c r="C207" i="20"/>
  <c r="H61" i="20"/>
  <c r="C576" i="20"/>
  <c r="C580" i="20"/>
  <c r="C245" i="20"/>
  <c r="I229" i="20"/>
  <c r="C251" i="20"/>
  <c r="C361" i="20"/>
  <c r="H285" i="20"/>
  <c r="G61" i="20"/>
  <c r="C239" i="20"/>
  <c r="C77" i="20"/>
  <c r="C239" i="21"/>
  <c r="C240" i="20"/>
  <c r="G341" i="20"/>
  <c r="C320" i="21"/>
  <c r="C24" i="20"/>
  <c r="C266" i="21"/>
  <c r="C149" i="20"/>
  <c r="E581" i="20"/>
  <c r="C247" i="20"/>
  <c r="C314" i="20"/>
  <c r="C579" i="21"/>
  <c r="C353" i="20"/>
  <c r="C83" i="20"/>
  <c r="C179" i="20"/>
  <c r="C194" i="21"/>
  <c r="G397" i="20"/>
  <c r="C34" i="21"/>
  <c r="C577" i="20"/>
  <c r="C126" i="20"/>
  <c r="F229" i="20"/>
  <c r="C359" i="20"/>
  <c r="C53" i="21"/>
  <c r="C352" i="21"/>
  <c r="C198" i="21"/>
  <c r="G229" i="20"/>
  <c r="C16" i="20"/>
  <c r="H173" i="20"/>
  <c r="C189" i="20"/>
  <c r="C192" i="20"/>
  <c r="G285" i="20"/>
  <c r="C189" i="21"/>
  <c r="H341" i="20"/>
  <c r="H229" i="20"/>
  <c r="F61" i="20"/>
  <c r="C28" i="21"/>
  <c r="C317" i="21"/>
  <c r="C224" i="20"/>
  <c r="C271" i="21"/>
  <c r="C155" i="20"/>
  <c r="C370" i="20"/>
  <c r="C105" i="21"/>
  <c r="C165" i="20"/>
  <c r="E453" i="21"/>
  <c r="C453" i="21" s="1"/>
  <c r="C265" i="20"/>
  <c r="C38" i="21"/>
  <c r="C113" i="20"/>
  <c r="C578" i="20"/>
  <c r="C358" i="20"/>
  <c r="C236" i="20"/>
  <c r="C181" i="20"/>
  <c r="C191" i="21"/>
  <c r="C180" i="21"/>
  <c r="C237" i="20"/>
  <c r="C353" i="21"/>
  <c r="C86" i="20"/>
  <c r="C70" i="20"/>
  <c r="C73" i="20"/>
  <c r="C84" i="20"/>
  <c r="C241" i="20"/>
  <c r="C301" i="21"/>
  <c r="C243" i="20"/>
  <c r="C307" i="21"/>
  <c r="C74" i="21"/>
  <c r="C254" i="20"/>
  <c r="J61" i="20"/>
  <c r="C135" i="20"/>
  <c r="C250" i="21"/>
  <c r="C309" i="20"/>
  <c r="J173" i="20"/>
  <c r="L173" i="20"/>
  <c r="C31" i="21"/>
  <c r="C52" i="20"/>
  <c r="C326" i="21"/>
  <c r="C53" i="20"/>
  <c r="C321" i="21"/>
  <c r="C379" i="21"/>
  <c r="C256" i="21"/>
  <c r="C156" i="20"/>
  <c r="C213" i="21"/>
  <c r="C196" i="20"/>
  <c r="C270" i="21"/>
  <c r="C159" i="20"/>
  <c r="C212" i="21"/>
  <c r="C226" i="21"/>
  <c r="C279" i="21"/>
  <c r="C225" i="21"/>
  <c r="C159" i="21"/>
  <c r="C392" i="20"/>
  <c r="C331" i="20"/>
  <c r="C98" i="21"/>
  <c r="C222" i="20"/>
  <c r="C164" i="21"/>
  <c r="C379" i="20"/>
  <c r="C317" i="20"/>
  <c r="C154" i="21"/>
  <c r="C391" i="20"/>
  <c r="C92" i="21"/>
  <c r="C106" i="21"/>
  <c r="C148" i="21"/>
  <c r="C49" i="21"/>
  <c r="C259" i="20"/>
  <c r="C270" i="20"/>
  <c r="C325" i="21"/>
  <c r="E61" i="20"/>
  <c r="K581" i="20"/>
  <c r="C357" i="21"/>
  <c r="C19" i="20"/>
  <c r="C30" i="20"/>
  <c r="C20" i="20"/>
  <c r="C29" i="20"/>
  <c r="C125" i="20"/>
  <c r="C354" i="20"/>
  <c r="C360" i="21"/>
  <c r="K61" i="20"/>
  <c r="C85" i="21"/>
  <c r="F117" i="20"/>
  <c r="C81" i="20"/>
  <c r="C124" i="20"/>
  <c r="C393" i="21"/>
  <c r="C123" i="20"/>
  <c r="C47" i="20"/>
  <c r="C381" i="21"/>
  <c r="C370" i="21"/>
  <c r="C382" i="21"/>
  <c r="C315" i="21"/>
  <c r="C258" i="21"/>
  <c r="C383" i="21"/>
  <c r="C387" i="20"/>
  <c r="C203" i="20"/>
  <c r="C278" i="21"/>
  <c r="C283" i="21"/>
  <c r="C146" i="20"/>
  <c r="C210" i="21"/>
  <c r="C171" i="20"/>
  <c r="C373" i="20"/>
  <c r="C269" i="20"/>
  <c r="C166" i="21"/>
  <c r="C88" i="21"/>
  <c r="C147" i="20"/>
  <c r="C94" i="21"/>
  <c r="C385" i="20"/>
  <c r="C101" i="21"/>
  <c r="C101" i="20"/>
  <c r="C262" i="20"/>
  <c r="C13" i="20"/>
  <c r="C140" i="20"/>
  <c r="C138" i="20"/>
  <c r="C132" i="20"/>
  <c r="C238" i="20"/>
  <c r="C17" i="21"/>
  <c r="C125" i="21"/>
  <c r="C365" i="20"/>
  <c r="C191" i="20"/>
  <c r="C186" i="20"/>
  <c r="C18" i="20"/>
  <c r="J397" i="20"/>
  <c r="C78" i="21"/>
  <c r="C349" i="20"/>
  <c r="C298" i="20"/>
  <c r="C308" i="20"/>
  <c r="C316" i="21"/>
  <c r="C59" i="20"/>
  <c r="C331" i="21"/>
  <c r="C204" i="20"/>
  <c r="C170" i="20"/>
  <c r="C38" i="20"/>
  <c r="C318" i="21"/>
  <c r="C378" i="21"/>
  <c r="E228" i="21"/>
  <c r="C44" i="20"/>
  <c r="C216" i="20"/>
  <c r="C394" i="20"/>
  <c r="C152" i="20"/>
  <c r="C262" i="21"/>
  <c r="C200" i="20"/>
  <c r="C160" i="20"/>
  <c r="C272" i="21"/>
  <c r="C219" i="21"/>
  <c r="C257" i="21"/>
  <c r="C185" i="20"/>
  <c r="C271" i="20"/>
  <c r="C108" i="21"/>
  <c r="C167" i="21"/>
  <c r="C99" i="21"/>
  <c r="C145" i="21"/>
  <c r="C322" i="20"/>
  <c r="C162" i="20"/>
  <c r="C155" i="21"/>
  <c r="C112" i="21"/>
  <c r="E116" i="21"/>
  <c r="C149" i="21"/>
  <c r="C200" i="21"/>
  <c r="C102" i="20"/>
  <c r="C56" i="21"/>
  <c r="C279" i="20"/>
  <c r="C42" i="21"/>
  <c r="C94" i="20"/>
  <c r="C264" i="20"/>
  <c r="C46" i="21"/>
  <c r="C54" i="21"/>
  <c r="C573" i="20"/>
  <c r="C70" i="21"/>
  <c r="C130" i="20"/>
  <c r="C250" i="20"/>
  <c r="C83" i="21"/>
  <c r="I117" i="20"/>
  <c r="C311" i="20"/>
  <c r="C360" i="20"/>
  <c r="C72" i="20"/>
  <c r="J229" i="20"/>
  <c r="C140" i="21"/>
  <c r="C142" i="20"/>
  <c r="L61" i="20"/>
  <c r="C252" i="20"/>
  <c r="C199" i="21"/>
  <c r="C80" i="21"/>
  <c r="C68" i="20"/>
  <c r="C351" i="20"/>
  <c r="C136" i="20"/>
  <c r="C22" i="21"/>
  <c r="K173" i="20"/>
  <c r="C76" i="21"/>
  <c r="C253" i="20"/>
  <c r="C251" i="21"/>
  <c r="C141" i="21"/>
  <c r="C40" i="20"/>
  <c r="C334" i="21"/>
  <c r="C388" i="21"/>
  <c r="C324" i="21"/>
  <c r="C314" i="21"/>
  <c r="C395" i="21"/>
  <c r="C337" i="21"/>
  <c r="C385" i="21"/>
  <c r="C295" i="20"/>
  <c r="C215" i="21"/>
  <c r="C146" i="21"/>
  <c r="C225" i="20"/>
  <c r="C260" i="21"/>
  <c r="C204" i="21"/>
  <c r="C282" i="21"/>
  <c r="C168" i="21"/>
  <c r="C260" i="20"/>
  <c r="C165" i="21"/>
  <c r="C152" i="21"/>
  <c r="C93" i="21"/>
  <c r="C110" i="20"/>
  <c r="C97" i="21"/>
  <c r="C368" i="20"/>
  <c r="C274" i="20"/>
  <c r="C102" i="21"/>
  <c r="C109" i="21"/>
  <c r="C97" i="20"/>
  <c r="C282" i="20"/>
  <c r="C193" i="20"/>
  <c r="C109" i="20"/>
  <c r="C100" i="20"/>
  <c r="C50" i="21"/>
  <c r="C161" i="20"/>
  <c r="C268" i="20"/>
  <c r="C281" i="20"/>
  <c r="L117" i="20"/>
  <c r="I581" i="20"/>
  <c r="E173" i="20"/>
  <c r="E285" i="20"/>
  <c r="C578" i="21"/>
  <c r="C76" i="20"/>
  <c r="L397" i="20"/>
  <c r="C127" i="20"/>
  <c r="K397" i="20"/>
  <c r="C74" i="20"/>
  <c r="C181" i="21"/>
  <c r="C190" i="21"/>
  <c r="L285" i="20"/>
  <c r="C248" i="20"/>
  <c r="C238" i="21"/>
  <c r="C71" i="20"/>
  <c r="C241" i="21"/>
  <c r="C235" i="21"/>
  <c r="C132" i="21"/>
  <c r="C183" i="21"/>
  <c r="C15" i="20"/>
  <c r="C347" i="20"/>
  <c r="E397" i="20"/>
  <c r="C182" i="21"/>
  <c r="C305" i="20"/>
  <c r="C25" i="20"/>
  <c r="C28" i="20"/>
  <c r="C373" i="21"/>
  <c r="C313" i="21"/>
  <c r="C37" i="20"/>
  <c r="C330" i="21"/>
  <c r="C333" i="21"/>
  <c r="C55" i="20"/>
  <c r="C58" i="20"/>
  <c r="C328" i="21"/>
  <c r="C386" i="21"/>
  <c r="C264" i="21"/>
  <c r="C218" i="21"/>
  <c r="C276" i="21"/>
  <c r="C107" i="21"/>
  <c r="C115" i="21"/>
  <c r="C195" i="20"/>
  <c r="C369" i="20"/>
  <c r="C374" i="20"/>
  <c r="C89" i="21"/>
  <c r="C108" i="20"/>
  <c r="C103" i="20"/>
  <c r="C201" i="20"/>
  <c r="C212" i="20"/>
  <c r="C36" i="21"/>
  <c r="C55" i="21"/>
  <c r="C91" i="21"/>
  <c r="C115" i="20"/>
  <c r="E173" i="21"/>
  <c r="I341" i="20"/>
  <c r="K341" i="20"/>
  <c r="C22" i="20"/>
  <c r="C306" i="20"/>
  <c r="C29" i="21"/>
  <c r="C87" i="21"/>
  <c r="F285" i="20"/>
  <c r="C199" i="20"/>
  <c r="C349" i="21"/>
  <c r="C136" i="21"/>
  <c r="C253" i="21"/>
  <c r="C24" i="21"/>
  <c r="C196" i="21"/>
  <c r="C296" i="20"/>
  <c r="C348" i="20"/>
  <c r="C197" i="20"/>
  <c r="C82" i="20"/>
  <c r="C350" i="20"/>
  <c r="C86" i="21"/>
  <c r="C134" i="20"/>
  <c r="C291" i="21"/>
  <c r="C143" i="21"/>
  <c r="C23" i="20"/>
  <c r="C327" i="21"/>
  <c r="C151" i="20"/>
  <c r="C384" i="21"/>
  <c r="C319" i="21"/>
  <c r="C56" i="20"/>
  <c r="C49" i="20"/>
  <c r="C267" i="21"/>
  <c r="C261" i="21"/>
  <c r="C144" i="21"/>
  <c r="C150" i="20"/>
  <c r="C220" i="21"/>
  <c r="C217" i="20"/>
  <c r="C273" i="21"/>
  <c r="C280" i="21"/>
  <c r="C263" i="21"/>
  <c r="C221" i="20"/>
  <c r="C375" i="20"/>
  <c r="C206" i="21"/>
  <c r="C170" i="21"/>
  <c r="C150" i="21"/>
  <c r="C113" i="21"/>
  <c r="C95" i="20"/>
  <c r="C151" i="21"/>
  <c r="C95" i="21"/>
  <c r="C376" i="20"/>
  <c r="C168" i="20"/>
  <c r="C330" i="20"/>
  <c r="C202" i="20"/>
  <c r="C384" i="20"/>
  <c r="C339" i="20"/>
  <c r="C209" i="20"/>
  <c r="C32" i="21"/>
  <c r="C114" i="21"/>
  <c r="C277" i="20"/>
  <c r="I285" i="20"/>
  <c r="C48" i="21"/>
  <c r="C256" i="20"/>
  <c r="C111" i="20"/>
  <c r="C30" i="21"/>
  <c r="J341" i="20"/>
  <c r="C180" i="20"/>
  <c r="C183" i="20"/>
  <c r="C135" i="21"/>
  <c r="C301" i="20"/>
  <c r="C78" i="20"/>
  <c r="C67" i="21"/>
  <c r="C139" i="20"/>
  <c r="C79" i="21"/>
  <c r="C310" i="20"/>
  <c r="C348" i="21"/>
  <c r="C31" i="20"/>
  <c r="C298" i="21"/>
  <c r="C223" i="20"/>
  <c r="C244" i="20"/>
  <c r="C182" i="20"/>
  <c r="C130" i="21"/>
  <c r="C19" i="21"/>
  <c r="C294" i="20"/>
  <c r="C77" i="21"/>
  <c r="C252" i="21"/>
  <c r="C371" i="21"/>
  <c r="C336" i="21"/>
  <c r="C46" i="20"/>
  <c r="C368" i="21"/>
  <c r="C39" i="20"/>
  <c r="E396" i="21"/>
  <c r="C154" i="20"/>
  <c r="C148" i="20"/>
  <c r="C217" i="21"/>
  <c r="C145" i="20"/>
  <c r="C224" i="21"/>
  <c r="C220" i="20"/>
  <c r="C153" i="21"/>
  <c r="C205" i="21"/>
  <c r="C227" i="20"/>
  <c r="C269" i="21"/>
  <c r="C214" i="21"/>
  <c r="C104" i="21"/>
  <c r="C110" i="21"/>
  <c r="L341" i="20"/>
  <c r="C68" i="21"/>
  <c r="C386" i="20"/>
  <c r="C337" i="20"/>
  <c r="C380" i="20"/>
  <c r="C223" i="21"/>
  <c r="C328" i="20"/>
  <c r="C312" i="20"/>
  <c r="C390" i="20"/>
  <c r="C319" i="20"/>
  <c r="C93" i="20"/>
  <c r="C205" i="20"/>
  <c r="C157" i="20"/>
  <c r="C272" i="20"/>
  <c r="C258" i="20"/>
  <c r="C112" i="20"/>
  <c r="C579" i="20"/>
  <c r="C192" i="21"/>
  <c r="C137" i="20"/>
  <c r="C357" i="20"/>
  <c r="C366" i="20"/>
  <c r="C350" i="21"/>
  <c r="C351" i="21"/>
  <c r="C246" i="20"/>
  <c r="C73" i="21"/>
  <c r="C36" i="20"/>
  <c r="G173" i="20"/>
  <c r="C188" i="20"/>
  <c r="C131" i="20"/>
  <c r="C197" i="21"/>
  <c r="C195" i="21"/>
  <c r="C394" i="21"/>
  <c r="C51" i="20"/>
  <c r="C372" i="21"/>
  <c r="C57" i="20"/>
  <c r="C327" i="20"/>
  <c r="C45" i="20"/>
  <c r="C392" i="21"/>
  <c r="C312" i="21"/>
  <c r="C171" i="21"/>
  <c r="C211" i="20"/>
  <c r="C259" i="21"/>
  <c r="C207" i="21"/>
  <c r="C221" i="21"/>
  <c r="C157" i="21"/>
  <c r="C100" i="21"/>
  <c r="C91" i="20"/>
  <c r="C332" i="20"/>
  <c r="C388" i="20"/>
  <c r="C326" i="20"/>
  <c r="C161" i="21"/>
  <c r="C334" i="20"/>
  <c r="C58" i="21"/>
  <c r="C318" i="20"/>
  <c r="C144" i="20"/>
  <c r="C40" i="21"/>
  <c r="C45" i="21"/>
  <c r="C278" i="20"/>
  <c r="C98" i="20"/>
  <c r="C114" i="20"/>
  <c r="C89" i="20"/>
  <c r="C92" i="20"/>
  <c r="C35" i="21"/>
  <c r="C21" i="20"/>
  <c r="E341" i="20"/>
  <c r="L581" i="20"/>
  <c r="C580" i="21"/>
  <c r="C179" i="21"/>
  <c r="C87" i="20"/>
  <c r="C367" i="20"/>
  <c r="C67" i="20"/>
  <c r="K285" i="20"/>
  <c r="C20" i="21"/>
  <c r="H397" i="20"/>
  <c r="C129" i="20"/>
  <c r="C80" i="20"/>
  <c r="C363" i="20"/>
  <c r="C358" i="21"/>
  <c r="C213" i="20"/>
  <c r="C50" i="20"/>
  <c r="C329" i="21"/>
  <c r="C339" i="21"/>
  <c r="C389" i="21"/>
  <c r="C390" i="21"/>
  <c r="C163" i="21"/>
  <c r="C382" i="20"/>
  <c r="C164" i="20"/>
  <c r="C211" i="21"/>
  <c r="C268" i="21"/>
  <c r="C227" i="21"/>
  <c r="C299" i="20"/>
  <c r="C336" i="20"/>
  <c r="C338" i="20"/>
  <c r="C218" i="20"/>
  <c r="C381" i="20"/>
  <c r="C316" i="20"/>
  <c r="C325" i="20"/>
  <c r="C283" i="20"/>
  <c r="C329" i="20"/>
  <c r="C266" i="20"/>
  <c r="C276" i="20"/>
  <c r="C106" i="20"/>
  <c r="C275" i="20"/>
  <c r="C190" i="20"/>
  <c r="C88" i="20"/>
  <c r="C99" i="20"/>
  <c r="C59" i="21"/>
  <c r="E229" i="20"/>
  <c r="C137" i="21"/>
  <c r="C141" i="20"/>
  <c r="K229" i="20"/>
  <c r="C235" i="20"/>
  <c r="C294" i="21"/>
  <c r="I61" i="20"/>
  <c r="C143" i="20"/>
  <c r="C356" i="20"/>
  <c r="C85" i="20"/>
  <c r="C25" i="21"/>
  <c r="F173" i="20"/>
  <c r="C79" i="20"/>
  <c r="C293" i="20"/>
  <c r="C23" i="21"/>
  <c r="C237" i="21"/>
  <c r="C131" i="21"/>
  <c r="C249" i="21"/>
  <c r="C139" i="21"/>
  <c r="C215" i="20"/>
  <c r="C369" i="21"/>
  <c r="C322" i="21"/>
  <c r="C41" i="20"/>
  <c r="C391" i="21"/>
  <c r="C376" i="21"/>
  <c r="C162" i="21"/>
  <c r="C208" i="21"/>
  <c r="C111" i="21"/>
  <c r="C128" i="20"/>
  <c r="C372" i="20"/>
  <c r="C323" i="20"/>
  <c r="C320" i="20"/>
  <c r="C103" i="21"/>
  <c r="C156" i="21"/>
  <c r="C393" i="20"/>
  <c r="C335" i="20"/>
  <c r="C105" i="20"/>
  <c r="C47" i="21"/>
  <c r="C96" i="20"/>
  <c r="C44" i="21"/>
  <c r="C107" i="20"/>
  <c r="E117" i="20"/>
  <c r="C18" i="21"/>
  <c r="C84" i="21"/>
  <c r="C138" i="21"/>
  <c r="J285" i="20"/>
  <c r="C198" i="20"/>
  <c r="C133" i="21"/>
  <c r="C364" i="20"/>
  <c r="C255" i="21"/>
  <c r="L229" i="20"/>
  <c r="C255" i="20"/>
  <c r="C307" i="20"/>
  <c r="C27" i="20"/>
  <c r="C81" i="21"/>
  <c r="C17" i="20"/>
  <c r="C82" i="21"/>
  <c r="G117" i="20"/>
  <c r="C21" i="21"/>
  <c r="C193" i="21"/>
  <c r="C26" i="20"/>
  <c r="C352" i="20"/>
  <c r="K117" i="20"/>
  <c r="C75" i="21"/>
  <c r="J117" i="20"/>
  <c r="C48" i="20"/>
  <c r="C42" i="20"/>
  <c r="C54" i="20"/>
  <c r="C158" i="21"/>
  <c r="C335" i="21"/>
  <c r="C35" i="20"/>
  <c r="C43" i="20"/>
  <c r="C332" i="21"/>
  <c r="C375" i="21"/>
  <c r="C274" i="21"/>
  <c r="C216" i="21"/>
  <c r="C202" i="21"/>
  <c r="C210" i="20"/>
  <c r="C167" i="20"/>
  <c r="C158" i="20"/>
  <c r="C281" i="21"/>
  <c r="C163" i="20"/>
  <c r="C383" i="20"/>
  <c r="C324" i="20"/>
  <c r="C315" i="20"/>
  <c r="C133" i="20"/>
  <c r="C147" i="21"/>
  <c r="C371" i="20"/>
  <c r="C96" i="21"/>
  <c r="C389" i="20"/>
  <c r="C261" i="20"/>
  <c r="C51" i="21"/>
  <c r="C37" i="21"/>
  <c r="C263" i="20"/>
  <c r="C90" i="20"/>
  <c r="C104" i="20"/>
  <c r="C39" i="21"/>
  <c r="C57" i="21"/>
  <c r="G117" i="15"/>
  <c r="C128" i="21"/>
  <c r="C242" i="21"/>
  <c r="C127" i="21"/>
  <c r="C71" i="21"/>
  <c r="C13" i="21"/>
  <c r="C184" i="21"/>
  <c r="C123" i="21"/>
  <c r="C245" i="21"/>
  <c r="C12" i="21"/>
  <c r="C69" i="21"/>
  <c r="C11" i="21"/>
  <c r="C126" i="21"/>
  <c r="C129" i="21"/>
  <c r="C236" i="21"/>
  <c r="C292" i="21"/>
  <c r="C355" i="21"/>
  <c r="C300" i="21"/>
  <c r="C359" i="21"/>
  <c r="C297" i="21"/>
  <c r="C299" i="21"/>
  <c r="C303" i="21"/>
  <c r="C306" i="21"/>
  <c r="C70" i="15"/>
  <c r="C303" i="15"/>
  <c r="C132" i="15"/>
  <c r="C334" i="15"/>
  <c r="C184" i="15"/>
  <c r="C300" i="15"/>
  <c r="C436" i="15"/>
  <c r="E341" i="21"/>
  <c r="C319" i="15"/>
  <c r="C386" i="15"/>
  <c r="C561" i="15"/>
  <c r="C318" i="15"/>
  <c r="C11" i="15"/>
  <c r="C222" i="15"/>
  <c r="C338" i="15"/>
  <c r="C507" i="15"/>
  <c r="L565" i="15"/>
  <c r="C246" i="15"/>
  <c r="C155" i="15"/>
  <c r="C30" i="15"/>
  <c r="C237" i="15"/>
  <c r="C51" i="15"/>
  <c r="C325" i="15"/>
  <c r="C225" i="15"/>
  <c r="C467" i="15"/>
  <c r="C490" i="15"/>
  <c r="C164" i="15"/>
  <c r="C90" i="15"/>
  <c r="C45" i="15"/>
  <c r="C242" i="15"/>
  <c r="C297" i="15"/>
  <c r="C187" i="15"/>
  <c r="C354" i="15"/>
  <c r="C157" i="15"/>
  <c r="C492" i="15"/>
  <c r="C281" i="15"/>
  <c r="C314" i="15"/>
  <c r="C470" i="15"/>
  <c r="C412" i="15"/>
  <c r="C102" i="15"/>
  <c r="C78" i="15"/>
  <c r="C553" i="15"/>
  <c r="C265" i="15"/>
  <c r="C551" i="15"/>
  <c r="C248" i="15"/>
  <c r="C254" i="15"/>
  <c r="C33" i="15"/>
  <c r="C364" i="15"/>
  <c r="C506" i="15"/>
  <c r="C162" i="15"/>
  <c r="C140" i="15"/>
  <c r="C485" i="15"/>
  <c r="C480" i="15"/>
  <c r="F173" i="15"/>
  <c r="C441" i="15"/>
  <c r="C435" i="15"/>
  <c r="C550" i="15"/>
  <c r="C358" i="15"/>
  <c r="C40" i="15"/>
  <c r="C371" i="15"/>
  <c r="C578" i="15"/>
  <c r="C577" i="15"/>
  <c r="C532" i="15"/>
  <c r="C446" i="15"/>
  <c r="C250" i="15"/>
  <c r="C356" i="15"/>
  <c r="C502" i="15"/>
  <c r="C501" i="15"/>
  <c r="C503" i="15"/>
  <c r="F117" i="21"/>
  <c r="C87" i="15"/>
  <c r="C433" i="15"/>
  <c r="C415" i="15"/>
  <c r="C548" i="15"/>
  <c r="C291" i="15"/>
  <c r="E341" i="15"/>
  <c r="C308" i="15"/>
  <c r="C320" i="15"/>
  <c r="C223" i="15"/>
  <c r="C134" i="15"/>
  <c r="C160" i="15"/>
  <c r="C479" i="15"/>
  <c r="G509" i="15"/>
  <c r="C53" i="15"/>
  <c r="C497" i="15"/>
  <c r="C163" i="15"/>
  <c r="C505" i="15"/>
  <c r="C349" i="15"/>
  <c r="I565" i="15"/>
  <c r="C34" i="15"/>
  <c r="C367" i="15"/>
  <c r="C24" i="15"/>
  <c r="J397" i="15"/>
  <c r="C37" i="15"/>
  <c r="C348" i="15"/>
  <c r="I509" i="15"/>
  <c r="C217" i="15"/>
  <c r="C227" i="15"/>
  <c r="C312" i="15"/>
  <c r="C207" i="15"/>
  <c r="C499" i="15"/>
  <c r="C469" i="15"/>
  <c r="H509" i="15"/>
  <c r="C240" i="15"/>
  <c r="G453" i="15"/>
  <c r="C419" i="15"/>
  <c r="C434" i="15"/>
  <c r="C526" i="15"/>
  <c r="C36" i="15"/>
  <c r="C256" i="15"/>
  <c r="C355" i="15"/>
  <c r="C278" i="15"/>
  <c r="C50" i="15"/>
  <c r="L397" i="15"/>
  <c r="C21" i="15"/>
  <c r="C329" i="15"/>
  <c r="C23" i="15"/>
  <c r="C211" i="15"/>
  <c r="C366" i="15"/>
  <c r="K341" i="15"/>
  <c r="C219" i="15"/>
  <c r="C382" i="15"/>
  <c r="C226" i="15"/>
  <c r="C43" i="15"/>
  <c r="L341" i="15"/>
  <c r="C171" i="15"/>
  <c r="C326" i="15"/>
  <c r="C335" i="15"/>
  <c r="C471" i="15"/>
  <c r="C210" i="15"/>
  <c r="C476" i="15"/>
  <c r="C16" i="15"/>
  <c r="C165" i="15"/>
  <c r="C20" i="15"/>
  <c r="C487" i="15"/>
  <c r="C498" i="15"/>
  <c r="C488" i="15"/>
  <c r="K397" i="15"/>
  <c r="C97" i="15"/>
  <c r="C67" i="15"/>
  <c r="C414" i="15"/>
  <c r="C220" i="15"/>
  <c r="C407" i="15"/>
  <c r="C267" i="15"/>
  <c r="C424" i="15"/>
  <c r="C416" i="15"/>
  <c r="C418" i="15"/>
  <c r="C559" i="15"/>
  <c r="C536" i="15"/>
  <c r="C557" i="15"/>
  <c r="C253" i="15"/>
  <c r="C450" i="15"/>
  <c r="C272" i="15"/>
  <c r="C42" i="15"/>
  <c r="C276" i="15"/>
  <c r="C258" i="15"/>
  <c r="C377" i="15"/>
  <c r="C261" i="15"/>
  <c r="C260" i="15"/>
  <c r="C216" i="15"/>
  <c r="C384" i="15"/>
  <c r="C370" i="15"/>
  <c r="C49" i="15"/>
  <c r="C389" i="15"/>
  <c r="C214" i="15"/>
  <c r="C381" i="15"/>
  <c r="C205" i="15"/>
  <c r="C309" i="15"/>
  <c r="C202" i="15"/>
  <c r="C148" i="15"/>
  <c r="C472" i="15"/>
  <c r="F341" i="15"/>
  <c r="C159" i="15"/>
  <c r="C152" i="15"/>
  <c r="C25" i="15"/>
  <c r="C124" i="15"/>
  <c r="C478" i="15"/>
  <c r="C493" i="15"/>
  <c r="C110" i="15"/>
  <c r="C406" i="15"/>
  <c r="C79" i="15"/>
  <c r="C533" i="15"/>
  <c r="C71" i="15"/>
  <c r="C405" i="15"/>
  <c r="C112" i="15"/>
  <c r="C417" i="15"/>
  <c r="H565" i="15"/>
  <c r="C452" i="15"/>
  <c r="C411" i="15"/>
  <c r="C523" i="15"/>
  <c r="C46" i="15"/>
  <c r="C13" i="15"/>
  <c r="C91" i="15"/>
  <c r="C554" i="15"/>
  <c r="C269" i="15"/>
  <c r="C241" i="15"/>
  <c r="C252" i="15"/>
  <c r="C249" i="15"/>
  <c r="C394" i="15"/>
  <c r="C357" i="15"/>
  <c r="C27" i="15"/>
  <c r="C96" i="15"/>
  <c r="C170" i="15"/>
  <c r="C396" i="15"/>
  <c r="C295" i="15"/>
  <c r="C391" i="15"/>
  <c r="C353" i="15"/>
  <c r="C298" i="15"/>
  <c r="C55" i="15"/>
  <c r="C352" i="15"/>
  <c r="C191" i="15"/>
  <c r="C321" i="15"/>
  <c r="C158" i="15"/>
  <c r="C340" i="15"/>
  <c r="C484" i="15"/>
  <c r="C156" i="15"/>
  <c r="C494" i="15"/>
  <c r="C143" i="15"/>
  <c r="C26" i="15"/>
  <c r="C141" i="15"/>
  <c r="C108" i="15"/>
  <c r="C149" i="15"/>
  <c r="G61" i="15"/>
  <c r="C449" i="15"/>
  <c r="C422" i="15"/>
  <c r="K565" i="15"/>
  <c r="C529" i="15"/>
  <c r="C439" i="15"/>
  <c r="C109" i="15"/>
  <c r="C347" i="15"/>
  <c r="E397" i="15"/>
  <c r="C375" i="15"/>
  <c r="C147" i="15"/>
  <c r="C213" i="15"/>
  <c r="C221" i="15"/>
  <c r="C38" i="15"/>
  <c r="C302" i="15"/>
  <c r="C301" i="15"/>
  <c r="C339" i="15"/>
  <c r="C206" i="15"/>
  <c r="C331" i="15"/>
  <c r="C12" i="15"/>
  <c r="C483" i="15"/>
  <c r="F509" i="15"/>
  <c r="C107" i="15"/>
  <c r="H341" i="15"/>
  <c r="C464" i="15"/>
  <c r="C444" i="15"/>
  <c r="C92" i="15"/>
  <c r="C82" i="15"/>
  <c r="C48" i="15"/>
  <c r="C408" i="15"/>
  <c r="C410" i="15"/>
  <c r="F397" i="15"/>
  <c r="C387" i="15"/>
  <c r="C270" i="15"/>
  <c r="I397" i="15"/>
  <c r="C142" i="15"/>
  <c r="C18" i="15"/>
  <c r="C395" i="15"/>
  <c r="C322" i="15"/>
  <c r="C83" i="15"/>
  <c r="C385" i="15"/>
  <c r="C310" i="15"/>
  <c r="G341" i="15"/>
  <c r="C323" i="15"/>
  <c r="C153" i="15"/>
  <c r="C489" i="15"/>
  <c r="C161" i="15"/>
  <c r="C477" i="15"/>
  <c r="K509" i="15"/>
  <c r="C168" i="15"/>
  <c r="C430" i="15"/>
  <c r="C542" i="15"/>
  <c r="C15" i="15"/>
  <c r="C576" i="15"/>
  <c r="C420" i="15"/>
  <c r="C94" i="15"/>
  <c r="C438" i="15"/>
  <c r="C560" i="15"/>
  <c r="H453" i="15"/>
  <c r="C275" i="15"/>
  <c r="C100" i="15"/>
  <c r="C428" i="15"/>
  <c r="C413" i="15"/>
  <c r="C518" i="15"/>
  <c r="C522" i="15"/>
  <c r="C251" i="15"/>
  <c r="C47" i="15"/>
  <c r="C41" i="15"/>
  <c r="C259" i="15"/>
  <c r="C277" i="15"/>
  <c r="C263" i="15"/>
  <c r="C262" i="15"/>
  <c r="C365" i="15"/>
  <c r="C359" i="15"/>
  <c r="C316" i="15"/>
  <c r="C31" i="15"/>
  <c r="C361" i="15"/>
  <c r="C299" i="15"/>
  <c r="C350" i="15"/>
  <c r="C292" i="15"/>
  <c r="C52" i="15"/>
  <c r="C388" i="15"/>
  <c r="C461" i="15"/>
  <c r="C379" i="15"/>
  <c r="C374" i="15"/>
  <c r="C293" i="15"/>
  <c r="C466" i="15"/>
  <c r="C327" i="15"/>
  <c r="C208" i="15"/>
  <c r="C135" i="15"/>
  <c r="C495" i="15"/>
  <c r="C14" i="15"/>
  <c r="C462" i="15"/>
  <c r="H397" i="15"/>
  <c r="E453" i="15"/>
  <c r="C403" i="15"/>
  <c r="C440" i="15"/>
  <c r="C443" i="15"/>
  <c r="C93" i="15"/>
  <c r="C563" i="15"/>
  <c r="C427" i="15"/>
  <c r="C437" i="15"/>
  <c r="C111" i="15"/>
  <c r="J565" i="15"/>
  <c r="C115" i="15"/>
  <c r="C85" i="15"/>
  <c r="C151" i="15"/>
  <c r="C431" i="15"/>
  <c r="C448" i="15"/>
  <c r="C540" i="15"/>
  <c r="C360" i="15"/>
  <c r="C274" i="15"/>
  <c r="C32" i="15"/>
  <c r="C531" i="15"/>
  <c r="C516" i="15"/>
  <c r="C280" i="15"/>
  <c r="C390" i="15"/>
  <c r="C519" i="15"/>
  <c r="C380" i="15"/>
  <c r="C185" i="15"/>
  <c r="C368" i="15"/>
  <c r="C209" i="15"/>
  <c r="C35" i="15"/>
  <c r="G397" i="15"/>
  <c r="C333" i="15"/>
  <c r="C336" i="15"/>
  <c r="C305" i="15"/>
  <c r="C224" i="15"/>
  <c r="C307" i="15"/>
  <c r="C200" i="15"/>
  <c r="E509" i="15"/>
  <c r="C459" i="15"/>
  <c r="C128" i="15"/>
  <c r="C154" i="15"/>
  <c r="C145" i="15"/>
  <c r="C166" i="15"/>
  <c r="C500" i="15"/>
  <c r="C17" i="15"/>
  <c r="C313" i="15"/>
  <c r="C139" i="15"/>
  <c r="C541" i="15"/>
  <c r="K453" i="15"/>
  <c r="C426" i="15"/>
  <c r="C69" i="15"/>
  <c r="C544" i="15"/>
  <c r="C527" i="15"/>
  <c r="C429" i="15"/>
  <c r="C409" i="15"/>
  <c r="F453" i="15"/>
  <c r="C530" i="15"/>
  <c r="C421" i="15"/>
  <c r="C442" i="15"/>
  <c r="C101" i="15"/>
  <c r="C556" i="15"/>
  <c r="C28" i="15"/>
  <c r="C103" i="15"/>
  <c r="C106" i="15"/>
  <c r="C268" i="15"/>
  <c r="C86" i="15"/>
  <c r="C524" i="15"/>
  <c r="C283" i="15"/>
  <c r="C558" i="15"/>
  <c r="C383" i="15"/>
  <c r="C243" i="15"/>
  <c r="C257" i="15"/>
  <c r="C271" i="15"/>
  <c r="C29" i="15"/>
  <c r="C528" i="15"/>
  <c r="C255" i="15"/>
  <c r="C549" i="15"/>
  <c r="C534" i="15"/>
  <c r="C537" i="15"/>
  <c r="C392" i="15"/>
  <c r="C315" i="15"/>
  <c r="C54" i="15"/>
  <c r="C378" i="15"/>
  <c r="C294" i="15"/>
  <c r="C324" i="15"/>
  <c r="C77" i="15"/>
  <c r="C474" i="15"/>
  <c r="C179" i="15"/>
  <c r="C204" i="15"/>
  <c r="C212" i="15"/>
  <c r="C468" i="15"/>
  <c r="C218" i="15"/>
  <c r="C496" i="15"/>
  <c r="C105" i="15"/>
  <c r="C123" i="15"/>
  <c r="C423" i="15"/>
  <c r="C475" i="15"/>
  <c r="C580" i="15"/>
  <c r="C113" i="15"/>
  <c r="C545" i="15"/>
  <c r="I453" i="15"/>
  <c r="C535" i="15"/>
  <c r="C114" i="15"/>
  <c r="C445" i="15"/>
  <c r="C447" i="15"/>
  <c r="C84" i="15"/>
  <c r="C404" i="15"/>
  <c r="C520" i="15"/>
  <c r="C59" i="15"/>
  <c r="C99" i="15"/>
  <c r="L453" i="15"/>
  <c r="C244" i="15"/>
  <c r="C104" i="15"/>
  <c r="E565" i="15"/>
  <c r="C515" i="15"/>
  <c r="C58" i="15"/>
  <c r="C539" i="15"/>
  <c r="C521" i="15"/>
  <c r="C39" i="15"/>
  <c r="C273" i="15"/>
  <c r="I341" i="15"/>
  <c r="C525" i="15"/>
  <c r="C372" i="15"/>
  <c r="C247" i="15"/>
  <c r="C546" i="15"/>
  <c r="C56" i="15"/>
  <c r="C296" i="15"/>
  <c r="C236" i="15"/>
  <c r="C552" i="15"/>
  <c r="C264" i="15"/>
  <c r="C311" i="15"/>
  <c r="C266" i="15"/>
  <c r="C555" i="15"/>
  <c r="C337" i="15"/>
  <c r="C393" i="15"/>
  <c r="C376" i="15"/>
  <c r="C373" i="15"/>
  <c r="J341" i="15"/>
  <c r="C351" i="15"/>
  <c r="C306" i="15"/>
  <c r="C197" i="15"/>
  <c r="C304" i="15"/>
  <c r="C460" i="15"/>
  <c r="C169" i="15"/>
  <c r="C463" i="15"/>
  <c r="C146" i="15"/>
  <c r="C68" i="15"/>
  <c r="C481" i="15"/>
  <c r="C482" i="15"/>
  <c r="C473" i="15"/>
  <c r="C508" i="15"/>
  <c r="C486" i="15"/>
  <c r="C432" i="15"/>
  <c r="C57" i="15"/>
  <c r="J509" i="15"/>
  <c r="F61" i="15"/>
  <c r="C579" i="15"/>
  <c r="J453" i="15"/>
  <c r="C425" i="15"/>
  <c r="C562" i="15"/>
  <c r="F565" i="15"/>
  <c r="C95" i="15"/>
  <c r="C451" i="15"/>
  <c r="C98" i="15"/>
  <c r="C547" i="15"/>
  <c r="C517" i="15"/>
  <c r="G565" i="15"/>
  <c r="C538" i="15"/>
  <c r="C245" i="15"/>
  <c r="C543" i="15"/>
  <c r="C328" i="15"/>
  <c r="C564" i="15"/>
  <c r="C282" i="15"/>
  <c r="C279" i="15"/>
  <c r="E285" i="15"/>
  <c r="C239" i="15"/>
  <c r="C238" i="15"/>
  <c r="C44" i="15"/>
  <c r="C362" i="15"/>
  <c r="C363" i="15"/>
  <c r="C317" i="15"/>
  <c r="C330" i="15"/>
  <c r="C369" i="15"/>
  <c r="C194" i="15"/>
  <c r="C332" i="15"/>
  <c r="C167" i="15"/>
  <c r="C491" i="15"/>
  <c r="C215" i="15"/>
  <c r="C150" i="15"/>
  <c r="C465" i="15"/>
  <c r="C504" i="15"/>
  <c r="L509" i="15"/>
  <c r="E248" i="21"/>
  <c r="C248" i="21" s="1"/>
  <c r="C499" i="11"/>
  <c r="C140" i="11"/>
  <c r="C358" i="11"/>
  <c r="C329" i="11"/>
  <c r="C297" i="11"/>
  <c r="C59" i="11"/>
  <c r="G229" i="11"/>
  <c r="C195" i="11"/>
  <c r="C24" i="11"/>
  <c r="C296" i="11"/>
  <c r="C207" i="11"/>
  <c r="C124" i="11"/>
  <c r="C38" i="11"/>
  <c r="C130" i="11"/>
  <c r="C203" i="11"/>
  <c r="C51" i="11"/>
  <c r="C307" i="11"/>
  <c r="C129" i="11"/>
  <c r="C209" i="11"/>
  <c r="C101" i="11"/>
  <c r="C303" i="11"/>
  <c r="C325" i="11"/>
  <c r="C98" i="11"/>
  <c r="C94" i="11"/>
  <c r="C82" i="11"/>
  <c r="C113" i="11"/>
  <c r="C315" i="11"/>
  <c r="C337" i="11"/>
  <c r="C257" i="11"/>
  <c r="C197" i="11"/>
  <c r="C241" i="11"/>
  <c r="C71" i="11"/>
  <c r="C243" i="11"/>
  <c r="C86" i="11"/>
  <c r="C521" i="11"/>
  <c r="C463" i="11"/>
  <c r="C518" i="11"/>
  <c r="C476" i="11"/>
  <c r="C412" i="11"/>
  <c r="C531" i="11"/>
  <c r="C466" i="11"/>
  <c r="C452" i="11"/>
  <c r="C483" i="11"/>
  <c r="C526" i="11"/>
  <c r="C75" i="11"/>
  <c r="C222" i="11"/>
  <c r="C406" i="11"/>
  <c r="C386" i="11"/>
  <c r="C53" i="11"/>
  <c r="C489" i="11"/>
  <c r="C116" i="11"/>
  <c r="C26" i="11"/>
  <c r="C190" i="11"/>
  <c r="C183" i="11"/>
  <c r="C170" i="11"/>
  <c r="C245" i="11"/>
  <c r="C484" i="11"/>
  <c r="C224" i="11"/>
  <c r="C322" i="11"/>
  <c r="C262" i="11"/>
  <c r="C169" i="11"/>
  <c r="C165" i="11"/>
  <c r="C488" i="11"/>
  <c r="G581" i="11"/>
  <c r="C29" i="11"/>
  <c r="L341" i="11"/>
  <c r="C215" i="11"/>
  <c r="C301" i="11"/>
  <c r="C481" i="11"/>
  <c r="C410" i="11"/>
  <c r="C580" i="11"/>
  <c r="C575" i="11"/>
  <c r="C578" i="11"/>
  <c r="J581" i="11"/>
  <c r="C314" i="11"/>
  <c r="C41" i="11"/>
  <c r="C20" i="11"/>
  <c r="J61" i="11"/>
  <c r="C27" i="11"/>
  <c r="L61" i="11"/>
  <c r="C179" i="11"/>
  <c r="E229" i="11"/>
  <c r="K341" i="11"/>
  <c r="C134" i="11"/>
  <c r="C172" i="11"/>
  <c r="C191" i="11"/>
  <c r="C54" i="11"/>
  <c r="C323" i="11"/>
  <c r="C17" i="11"/>
  <c r="C187" i="11"/>
  <c r="C33" i="11"/>
  <c r="C30" i="11"/>
  <c r="C199" i="11"/>
  <c r="I173" i="11"/>
  <c r="F285" i="11"/>
  <c r="G173" i="11"/>
  <c r="C36" i="11"/>
  <c r="C12" i="11"/>
  <c r="H173" i="11"/>
  <c r="C573" i="11"/>
  <c r="F581" i="11"/>
  <c r="C579" i="11"/>
  <c r="C574" i="11"/>
  <c r="C57" i="11"/>
  <c r="C136" i="11"/>
  <c r="C218" i="11"/>
  <c r="K229" i="11"/>
  <c r="C18" i="11"/>
  <c r="C152" i="11"/>
  <c r="L229" i="11"/>
  <c r="C213" i="11"/>
  <c r="G509" i="11"/>
  <c r="C15" i="11"/>
  <c r="E581" i="11"/>
  <c r="C571" i="11"/>
  <c r="C44" i="11"/>
  <c r="C14" i="11"/>
  <c r="C55" i="11"/>
  <c r="C58" i="11"/>
  <c r="C139" i="11"/>
  <c r="C202" i="11"/>
  <c r="C128" i="11"/>
  <c r="C221" i="11"/>
  <c r="C168" i="11"/>
  <c r="C244" i="11"/>
  <c r="C226" i="11"/>
  <c r="G565" i="11"/>
  <c r="C142" i="11"/>
  <c r="C248" i="11"/>
  <c r="C21" i="11"/>
  <c r="C45" i="11"/>
  <c r="C186" i="11"/>
  <c r="C217" i="11"/>
  <c r="C131" i="11"/>
  <c r="I229" i="11"/>
  <c r="C160" i="11"/>
  <c r="C210" i="11"/>
  <c r="C155" i="11"/>
  <c r="C318" i="11"/>
  <c r="J117" i="11"/>
  <c r="J397" i="11"/>
  <c r="C577" i="11"/>
  <c r="I581" i="11"/>
  <c r="G61" i="11"/>
  <c r="C32" i="11"/>
  <c r="C23" i="11"/>
  <c r="C146" i="11"/>
  <c r="F173" i="11"/>
  <c r="C214" i="11"/>
  <c r="C255" i="11"/>
  <c r="G453" i="11"/>
  <c r="E61" i="11"/>
  <c r="C11" i="11"/>
  <c r="C185" i="11"/>
  <c r="H61" i="11"/>
  <c r="C35" i="11"/>
  <c r="K581" i="11"/>
  <c r="C312" i="11"/>
  <c r="C228" i="11"/>
  <c r="C167" i="11"/>
  <c r="C330" i="11"/>
  <c r="C52" i="11"/>
  <c r="C123" i="11"/>
  <c r="E173" i="11"/>
  <c r="C198" i="11"/>
  <c r="C163" i="11"/>
  <c r="C162" i="11"/>
  <c r="K509" i="11"/>
  <c r="C39" i="11"/>
  <c r="C138" i="11"/>
  <c r="C212" i="11"/>
  <c r="C166" i="11"/>
  <c r="C182" i="11"/>
  <c r="C37" i="11"/>
  <c r="C220" i="11"/>
  <c r="C338" i="11"/>
  <c r="I285" i="11"/>
  <c r="C72" i="11"/>
  <c r="C308" i="11"/>
  <c r="J173" i="11"/>
  <c r="C69" i="11"/>
  <c r="C147" i="11"/>
  <c r="C208" i="11"/>
  <c r="L173" i="11"/>
  <c r="C216" i="11"/>
  <c r="C154" i="11"/>
  <c r="C292" i="11"/>
  <c r="I61" i="11"/>
  <c r="C304" i="11"/>
  <c r="C43" i="11"/>
  <c r="C110" i="11"/>
  <c r="C327" i="11"/>
  <c r="C291" i="11"/>
  <c r="E341" i="11"/>
  <c r="H581" i="11"/>
  <c r="L581" i="11"/>
  <c r="F61" i="11"/>
  <c r="H341" i="11"/>
  <c r="C204" i="11"/>
  <c r="C126" i="11"/>
  <c r="C50" i="11"/>
  <c r="C206" i="11"/>
  <c r="C141" i="11"/>
  <c r="C143" i="11"/>
  <c r="C227" i="11"/>
  <c r="C180" i="11"/>
  <c r="C60" i="11"/>
  <c r="C153" i="11"/>
  <c r="C192" i="11"/>
  <c r="C306" i="11"/>
  <c r="C149" i="11"/>
  <c r="C188" i="11"/>
  <c r="C48" i="11"/>
  <c r="C572" i="11"/>
  <c r="C157" i="11"/>
  <c r="C196" i="11"/>
  <c r="C132" i="11"/>
  <c r="C576" i="11"/>
  <c r="C225" i="11"/>
  <c r="C47" i="11"/>
  <c r="C125" i="11"/>
  <c r="C211" i="11"/>
  <c r="C42" i="11"/>
  <c r="K173" i="11"/>
  <c r="C135" i="11"/>
  <c r="C137" i="11"/>
  <c r="C223" i="11"/>
  <c r="C339" i="11"/>
  <c r="C156" i="11"/>
  <c r="C56" i="11"/>
  <c r="C133" i="11"/>
  <c r="C219" i="11"/>
  <c r="C127" i="11"/>
  <c r="F229" i="11"/>
  <c r="C328" i="11"/>
  <c r="C83" i="11"/>
  <c r="C247" i="11"/>
  <c r="C309" i="11"/>
  <c r="C80" i="11"/>
  <c r="E285" i="11"/>
  <c r="C235" i="11"/>
  <c r="C95" i="11"/>
  <c r="C299" i="11"/>
  <c r="C321" i="11"/>
  <c r="I341" i="11"/>
  <c r="C273" i="11"/>
  <c r="C271" i="11"/>
  <c r="C266" i="11"/>
  <c r="C261" i="11"/>
  <c r="C259" i="11"/>
  <c r="C68" i="11"/>
  <c r="C201" i="11"/>
  <c r="C554" i="11"/>
  <c r="C551" i="11"/>
  <c r="C465" i="11"/>
  <c r="C460" i="11"/>
  <c r="C552" i="11"/>
  <c r="C351" i="11"/>
  <c r="C515" i="11"/>
  <c r="E565" i="11"/>
  <c r="G397" i="11"/>
  <c r="F397" i="11"/>
  <c r="C434" i="11"/>
  <c r="C388" i="11"/>
  <c r="C384" i="11"/>
  <c r="C359" i="11"/>
  <c r="C366" i="11"/>
  <c r="H397" i="11"/>
  <c r="C368" i="11"/>
  <c r="K565" i="11"/>
  <c r="C313" i="11"/>
  <c r="C189" i="11"/>
  <c r="J341" i="11"/>
  <c r="C263" i="11"/>
  <c r="C293" i="11"/>
  <c r="C249" i="11"/>
  <c r="K285" i="11"/>
  <c r="C251" i="11"/>
  <c r="C77" i="11"/>
  <c r="C305" i="11"/>
  <c r="C237" i="11"/>
  <c r="C326" i="11"/>
  <c r="J229" i="11"/>
  <c r="C272" i="11"/>
  <c r="C277" i="11"/>
  <c r="C270" i="11"/>
  <c r="C275" i="11"/>
  <c r="I509" i="11"/>
  <c r="C467" i="11"/>
  <c r="C501" i="11"/>
  <c r="C538" i="11"/>
  <c r="C496" i="11"/>
  <c r="C404" i="11"/>
  <c r="C114" i="11"/>
  <c r="C535" i="11"/>
  <c r="C561" i="11"/>
  <c r="C49" i="11"/>
  <c r="C97" i="11"/>
  <c r="C349" i="11"/>
  <c r="C387" i="11"/>
  <c r="K61" i="11"/>
  <c r="J509" i="11"/>
  <c r="C427" i="11"/>
  <c r="C361" i="11"/>
  <c r="C451" i="11"/>
  <c r="C529" i="11"/>
  <c r="L565" i="11"/>
  <c r="G285" i="11"/>
  <c r="C164" i="11"/>
  <c r="C254" i="11"/>
  <c r="C265" i="11"/>
  <c r="C279" i="11"/>
  <c r="C269" i="11"/>
  <c r="C267" i="11"/>
  <c r="C310" i="11"/>
  <c r="C548" i="11"/>
  <c r="C274" i="11"/>
  <c r="C268" i="11"/>
  <c r="C280" i="11"/>
  <c r="C260" i="11"/>
  <c r="C558" i="11"/>
  <c r="C485" i="11"/>
  <c r="C522" i="11"/>
  <c r="C480" i="11"/>
  <c r="C96" i="11"/>
  <c r="C519" i="11"/>
  <c r="F453" i="11"/>
  <c r="C67" i="11"/>
  <c r="E117" i="11"/>
  <c r="C31" i="11"/>
  <c r="C541" i="11"/>
  <c r="C365" i="11"/>
  <c r="C442" i="11"/>
  <c r="C486" i="11"/>
  <c r="C382" i="11"/>
  <c r="H453" i="11"/>
  <c r="C420" i="11"/>
  <c r="C347" i="11"/>
  <c r="E397" i="11"/>
  <c r="C405" i="11"/>
  <c r="C528" i="11"/>
  <c r="C364" i="11"/>
  <c r="C537" i="11"/>
  <c r="C377" i="11"/>
  <c r="J565" i="11"/>
  <c r="C144" i="11"/>
  <c r="C334" i="11"/>
  <c r="C236" i="11"/>
  <c r="C281" i="11"/>
  <c r="C278" i="11"/>
  <c r="C258" i="11"/>
  <c r="C253" i="11"/>
  <c r="C242" i="11"/>
  <c r="C283" i="11"/>
  <c r="C294" i="11"/>
  <c r="C557" i="11"/>
  <c r="C284" i="11"/>
  <c r="C256" i="11"/>
  <c r="C542" i="11"/>
  <c r="C500" i="11"/>
  <c r="C555" i="11"/>
  <c r="C469" i="11"/>
  <c r="C464" i="11"/>
  <c r="C392" i="11"/>
  <c r="C355" i="11"/>
  <c r="C78" i="11"/>
  <c r="C73" i="11"/>
  <c r="C430" i="11"/>
  <c r="C503" i="11"/>
  <c r="C381" i="11"/>
  <c r="C440" i="11"/>
  <c r="C408" i="11"/>
  <c r="C470" i="11"/>
  <c r="C444" i="11"/>
  <c r="C357" i="11"/>
  <c r="C432" i="11"/>
  <c r="C348" i="11"/>
  <c r="K453" i="11"/>
  <c r="C415" i="11"/>
  <c r="C393" i="11"/>
  <c r="C433" i="11"/>
  <c r="C449" i="11"/>
  <c r="L285" i="11"/>
  <c r="C246" i="11"/>
  <c r="C84" i="11"/>
  <c r="C332" i="11"/>
  <c r="C102" i="11"/>
  <c r="C414" i="11"/>
  <c r="C103" i="11"/>
  <c r="C151" i="11"/>
  <c r="C539" i="11"/>
  <c r="I565" i="11"/>
  <c r="C498" i="11"/>
  <c r="C70" i="11"/>
  <c r="C411" i="11"/>
  <c r="C487" i="11"/>
  <c r="F509" i="11"/>
  <c r="C474" i="11"/>
  <c r="C545" i="11"/>
  <c r="C363" i="11"/>
  <c r="C350" i="11"/>
  <c r="C373" i="11"/>
  <c r="I397" i="11"/>
  <c r="C372" i="11"/>
  <c r="C490" i="11"/>
  <c r="C16" i="11"/>
  <c r="C194" i="11"/>
  <c r="C302" i="11"/>
  <c r="C264" i="11"/>
  <c r="C252" i="11"/>
  <c r="C340" i="11"/>
  <c r="C240" i="11"/>
  <c r="C111" i="11"/>
  <c r="C564" i="11"/>
  <c r="C238" i="11"/>
  <c r="C205" i="11"/>
  <c r="C34" i="11"/>
  <c r="C276" i="11"/>
  <c r="C316" i="11"/>
  <c r="C81" i="11"/>
  <c r="C462" i="11"/>
  <c r="C99" i="11"/>
  <c r="C505" i="11"/>
  <c r="C468" i="11"/>
  <c r="C28" i="11"/>
  <c r="C560" i="11"/>
  <c r="C391" i="11"/>
  <c r="C523" i="11"/>
  <c r="C40" i="11"/>
  <c r="C150" i="11"/>
  <c r="C507" i="11"/>
  <c r="C517" i="11"/>
  <c r="C471" i="11"/>
  <c r="C25" i="11"/>
  <c r="C394" i="11"/>
  <c r="C436" i="11"/>
  <c r="C425" i="11"/>
  <c r="C389" i="11"/>
  <c r="C438" i="11"/>
  <c r="C525" i="11"/>
  <c r="C439" i="11"/>
  <c r="L397" i="11"/>
  <c r="C413" i="11"/>
  <c r="C520" i="11"/>
  <c r="C367" i="11"/>
  <c r="C158" i="11"/>
  <c r="C93" i="11"/>
  <c r="C324" i="11"/>
  <c r="C90" i="11"/>
  <c r="C336" i="11"/>
  <c r="C108" i="11"/>
  <c r="C193" i="11"/>
  <c r="C300" i="11"/>
  <c r="H229" i="11"/>
  <c r="C106" i="11"/>
  <c r="C181" i="11"/>
  <c r="C544" i="11"/>
  <c r="C445" i="11"/>
  <c r="C379" i="11"/>
  <c r="C556" i="11"/>
  <c r="C371" i="11"/>
  <c r="C491" i="11"/>
  <c r="C562" i="11"/>
  <c r="C422" i="11"/>
  <c r="C536" i="11"/>
  <c r="C506" i="11"/>
  <c r="C378" i="11"/>
  <c r="C419" i="11"/>
  <c r="C447" i="11"/>
  <c r="C374" i="11"/>
  <c r="C360" i="11"/>
  <c r="C352" i="11"/>
  <c r="C396" i="11"/>
  <c r="C446" i="11"/>
  <c r="I117" i="11"/>
  <c r="C320" i="11"/>
  <c r="F341" i="11"/>
  <c r="C282" i="11"/>
  <c r="C109" i="11"/>
  <c r="C559" i="11"/>
  <c r="C473" i="11"/>
  <c r="C553" i="11"/>
  <c r="C85" i="11"/>
  <c r="C524" i="11"/>
  <c r="C79" i="11"/>
  <c r="C540" i="11"/>
  <c r="K397" i="11"/>
  <c r="C362" i="11"/>
  <c r="C475" i="11"/>
  <c r="C546" i="11"/>
  <c r="C504" i="11"/>
  <c r="C390" i="11"/>
  <c r="H509" i="11"/>
  <c r="C426" i="11"/>
  <c r="C418" i="11"/>
  <c r="C383" i="11"/>
  <c r="C482" i="11"/>
  <c r="C423" i="11"/>
  <c r="C428" i="11"/>
  <c r="C424" i="11"/>
  <c r="C431" i="11"/>
  <c r="H117" i="11"/>
  <c r="C543" i="11"/>
  <c r="C409" i="11"/>
  <c r="C76" i="11"/>
  <c r="L117" i="11"/>
  <c r="F565" i="11"/>
  <c r="E509" i="11"/>
  <c r="C459" i="11"/>
  <c r="C13" i="11"/>
  <c r="H565" i="11"/>
  <c r="C493" i="11"/>
  <c r="C530" i="11"/>
  <c r="C448" i="11"/>
  <c r="C354" i="11"/>
  <c r="C370" i="11"/>
  <c r="C353" i="11"/>
  <c r="C417" i="11"/>
  <c r="C376" i="11"/>
  <c r="C421" i="11"/>
  <c r="C443" i="11"/>
  <c r="C148" i="11"/>
  <c r="C161" i="11"/>
  <c r="C200" i="11"/>
  <c r="C298" i="11"/>
  <c r="C171" i="11"/>
  <c r="C335" i="11"/>
  <c r="C92" i="11"/>
  <c r="F117" i="11"/>
  <c r="C311" i="11"/>
  <c r="C333" i="11"/>
  <c r="C107" i="11"/>
  <c r="C112" i="11"/>
  <c r="C100" i="11"/>
  <c r="C105" i="11"/>
  <c r="C527" i="11"/>
  <c r="C88" i="11"/>
  <c r="C533" i="11"/>
  <c r="C495" i="11"/>
  <c r="G341" i="11"/>
  <c r="K117" i="11"/>
  <c r="C550" i="11"/>
  <c r="C508" i="11"/>
  <c r="G117" i="11"/>
  <c r="H285" i="11"/>
  <c r="C563" i="11"/>
  <c r="C477" i="11"/>
  <c r="C429" i="11"/>
  <c r="C472" i="11"/>
  <c r="L509" i="11"/>
  <c r="C369" i="11"/>
  <c r="C516" i="11"/>
  <c r="C450" i="11"/>
  <c r="E453" i="11"/>
  <c r="C403" i="11"/>
  <c r="C435" i="11"/>
  <c r="C502" i="11"/>
  <c r="C250" i="11"/>
  <c r="C395" i="11"/>
  <c r="C549" i="11"/>
  <c r="C22" i="11"/>
  <c r="C375" i="11"/>
  <c r="C145" i="11"/>
  <c r="C184" i="11"/>
  <c r="C319" i="11"/>
  <c r="J285" i="11"/>
  <c r="C331" i="11"/>
  <c r="C74" i="11"/>
  <c r="C239" i="11"/>
  <c r="C295" i="11"/>
  <c r="C317" i="11"/>
  <c r="C89" i="11"/>
  <c r="C46" i="11"/>
  <c r="C104" i="11"/>
  <c r="C87" i="11"/>
  <c r="C91" i="11"/>
  <c r="C356" i="11"/>
  <c r="C19" i="11"/>
  <c r="C479" i="11"/>
  <c r="C497" i="11"/>
  <c r="C534" i="11"/>
  <c r="C492" i="11"/>
  <c r="C159" i="11"/>
  <c r="C547" i="11"/>
  <c r="C461" i="11"/>
  <c r="C115" i="11"/>
  <c r="C380" i="11"/>
  <c r="C441" i="11"/>
  <c r="C437" i="11"/>
  <c r="C385" i="11"/>
  <c r="C416" i="11"/>
  <c r="J453" i="11"/>
  <c r="C478" i="11"/>
  <c r="C407" i="11"/>
  <c r="I453" i="11"/>
  <c r="L453" i="11"/>
  <c r="C532" i="11"/>
  <c r="C494" i="11"/>
  <c r="F356" i="21" l="1"/>
  <c r="J62" i="20"/>
  <c r="G362" i="21"/>
  <c r="C362" i="21" s="1"/>
  <c r="E188" i="15"/>
  <c r="C188" i="15" s="1"/>
  <c r="E193" i="15"/>
  <c r="C193" i="15" s="1"/>
  <c r="F247" i="21"/>
  <c r="E367" i="21"/>
  <c r="F366" i="21"/>
  <c r="F367" i="21"/>
  <c r="F118" i="20"/>
  <c r="G361" i="21"/>
  <c r="E137" i="15"/>
  <c r="C137" i="15" s="1"/>
  <c r="G365" i="21"/>
  <c r="E201" i="15"/>
  <c r="G572" i="21"/>
  <c r="G72" i="21"/>
  <c r="G117" i="21" s="1"/>
  <c r="G118" i="21" s="1"/>
  <c r="F185" i="21"/>
  <c r="E366" i="21"/>
  <c r="F246" i="21"/>
  <c r="E356" i="21"/>
  <c r="F573" i="21"/>
  <c r="F124" i="21"/>
  <c r="L398" i="11"/>
  <c r="E72" i="21"/>
  <c r="H342" i="11"/>
  <c r="F62" i="20"/>
  <c r="E185" i="21"/>
  <c r="J582" i="20"/>
  <c r="H118" i="20"/>
  <c r="I118" i="20"/>
  <c r="F342" i="20"/>
  <c r="H286" i="20"/>
  <c r="I174" i="20"/>
  <c r="G342" i="20"/>
  <c r="K230" i="20"/>
  <c r="H62" i="20"/>
  <c r="F230" i="20"/>
  <c r="I398" i="20"/>
  <c r="F582" i="20"/>
  <c r="G582" i="20"/>
  <c r="H230" i="20"/>
  <c r="I230" i="20"/>
  <c r="H342" i="20"/>
  <c r="L174" i="20"/>
  <c r="H582" i="20"/>
  <c r="I582" i="20"/>
  <c r="F398" i="20"/>
  <c r="K342" i="20"/>
  <c r="G62" i="20"/>
  <c r="H174" i="20"/>
  <c r="L118" i="20"/>
  <c r="C61" i="20"/>
  <c r="C341" i="20"/>
  <c r="C397" i="20"/>
  <c r="J398" i="20"/>
  <c r="J286" i="20"/>
  <c r="J174" i="20"/>
  <c r="H398" i="20"/>
  <c r="G398" i="20"/>
  <c r="C117" i="20"/>
  <c r="L286" i="20"/>
  <c r="C285" i="20"/>
  <c r="J230" i="20"/>
  <c r="K118" i="20"/>
  <c r="C229" i="20"/>
  <c r="J118" i="20"/>
  <c r="G230" i="20"/>
  <c r="L230" i="20"/>
  <c r="F454" i="21"/>
  <c r="C454" i="21" s="1"/>
  <c r="C192" i="15"/>
  <c r="L62" i="20"/>
  <c r="K62" i="20"/>
  <c r="E199" i="15"/>
  <c r="C199" i="15" s="1"/>
  <c r="F286" i="20"/>
  <c r="F174" i="20"/>
  <c r="I286" i="20"/>
  <c r="L342" i="20"/>
  <c r="I62" i="20"/>
  <c r="E247" i="21"/>
  <c r="G286" i="20"/>
  <c r="J342" i="20"/>
  <c r="L582" i="20"/>
  <c r="K582" i="20"/>
  <c r="C173" i="20"/>
  <c r="K286" i="20"/>
  <c r="G174" i="20"/>
  <c r="K398" i="20"/>
  <c r="K174" i="20"/>
  <c r="I342" i="20"/>
  <c r="E572" i="21"/>
  <c r="L398" i="20"/>
  <c r="G118" i="20"/>
  <c r="E574" i="21"/>
  <c r="C133" i="15"/>
  <c r="C304" i="21"/>
  <c r="H117" i="21"/>
  <c r="H229" i="21"/>
  <c r="H61" i="21"/>
  <c r="H173" i="21"/>
  <c r="C134" i="21"/>
  <c r="F342" i="21"/>
  <c r="H285" i="21"/>
  <c r="E136" i="15"/>
  <c r="C136" i="15" s="1"/>
  <c r="C305" i="21"/>
  <c r="C302" i="21"/>
  <c r="K566" i="15"/>
  <c r="G62" i="15"/>
  <c r="K342" i="15"/>
  <c r="C125" i="15"/>
  <c r="L566" i="15"/>
  <c r="I510" i="15"/>
  <c r="L398" i="15"/>
  <c r="J398" i="15"/>
  <c r="H566" i="15"/>
  <c r="J342" i="15"/>
  <c r="H398" i="15"/>
  <c r="H454" i="15"/>
  <c r="G398" i="15"/>
  <c r="L454" i="15"/>
  <c r="J566" i="15"/>
  <c r="L510" i="15"/>
  <c r="L342" i="15"/>
  <c r="J454" i="15"/>
  <c r="G342" i="15"/>
  <c r="C397" i="15"/>
  <c r="F398" i="15"/>
  <c r="C346" i="15"/>
  <c r="C345" i="15"/>
  <c r="C453" i="15"/>
  <c r="C402" i="15"/>
  <c r="F454" i="15"/>
  <c r="C401" i="15"/>
  <c r="G454" i="15"/>
  <c r="I454" i="15"/>
  <c r="G566" i="15"/>
  <c r="C565" i="15"/>
  <c r="C513" i="15"/>
  <c r="F566" i="15"/>
  <c r="C514" i="15"/>
  <c r="F342" i="15"/>
  <c r="C289" i="15"/>
  <c r="C341" i="15"/>
  <c r="C290" i="15"/>
  <c r="I398" i="15"/>
  <c r="K454" i="15"/>
  <c r="J510" i="15"/>
  <c r="F510" i="15"/>
  <c r="C458" i="15"/>
  <c r="C509" i="15"/>
  <c r="C457" i="15"/>
  <c r="H510" i="15"/>
  <c r="I342" i="15"/>
  <c r="K510" i="15"/>
  <c r="K398" i="15"/>
  <c r="H342" i="15"/>
  <c r="G510" i="15"/>
  <c r="I566" i="15"/>
  <c r="E198" i="15"/>
  <c r="C198" i="15" s="1"/>
  <c r="F365" i="21"/>
  <c r="J229" i="15"/>
  <c r="G230" i="11"/>
  <c r="L62" i="11"/>
  <c r="K342" i="11"/>
  <c r="I230" i="11"/>
  <c r="I286" i="11"/>
  <c r="I174" i="11"/>
  <c r="J454" i="11"/>
  <c r="L286" i="11"/>
  <c r="H454" i="11"/>
  <c r="G174" i="11"/>
  <c r="J566" i="11"/>
  <c r="G62" i="11"/>
  <c r="K230" i="11"/>
  <c r="G582" i="11"/>
  <c r="L174" i="11"/>
  <c r="I118" i="11"/>
  <c r="K398" i="11"/>
  <c r="G342" i="11"/>
  <c r="J342" i="11"/>
  <c r="H582" i="11"/>
  <c r="H62" i="11"/>
  <c r="H510" i="11"/>
  <c r="J510" i="11"/>
  <c r="L118" i="11"/>
  <c r="G118" i="11"/>
  <c r="J118" i="11"/>
  <c r="I398" i="11"/>
  <c r="H286" i="11"/>
  <c r="K582" i="11"/>
  <c r="K454" i="11"/>
  <c r="I566" i="11"/>
  <c r="K174" i="11"/>
  <c r="K566" i="11"/>
  <c r="C61" i="11"/>
  <c r="C10" i="11"/>
  <c r="C9" i="11"/>
  <c r="F62" i="11"/>
  <c r="K118" i="11"/>
  <c r="C117" i="11"/>
  <c r="C66" i="11"/>
  <c r="C65" i="11"/>
  <c r="F118" i="11"/>
  <c r="F398" i="11"/>
  <c r="C345" i="11"/>
  <c r="C397" i="11"/>
  <c r="C346" i="11"/>
  <c r="L510" i="11"/>
  <c r="G566" i="11"/>
  <c r="I582" i="11"/>
  <c r="J286" i="11"/>
  <c r="I62" i="11"/>
  <c r="H230" i="11"/>
  <c r="G286" i="11"/>
  <c r="L342" i="11"/>
  <c r="F454" i="11"/>
  <c r="C402" i="11"/>
  <c r="C401" i="11"/>
  <c r="C453" i="11"/>
  <c r="K62" i="11"/>
  <c r="I342" i="11"/>
  <c r="J62" i="11"/>
  <c r="J398" i="11"/>
  <c r="L582" i="11"/>
  <c r="H566" i="11"/>
  <c r="I510" i="11"/>
  <c r="L454" i="11"/>
  <c r="G398" i="11"/>
  <c r="J230" i="11"/>
  <c r="J174" i="11"/>
  <c r="F230" i="11"/>
  <c r="C229" i="11"/>
  <c r="C178" i="11"/>
  <c r="C177" i="11"/>
  <c r="C457" i="11"/>
  <c r="C509" i="11"/>
  <c r="C458" i="11"/>
  <c r="F510" i="11"/>
  <c r="G454" i="11"/>
  <c r="F286" i="11"/>
  <c r="C285" i="11"/>
  <c r="C234" i="11"/>
  <c r="C233" i="11"/>
  <c r="I454" i="11"/>
  <c r="H398" i="11"/>
  <c r="F582" i="11"/>
  <c r="K286" i="11"/>
  <c r="L230" i="11"/>
  <c r="C514" i="11"/>
  <c r="C513" i="11"/>
  <c r="F566" i="11"/>
  <c r="C565" i="11"/>
  <c r="F342" i="11"/>
  <c r="C341" i="11"/>
  <c r="C290" i="11"/>
  <c r="C289" i="11"/>
  <c r="C121" i="11"/>
  <c r="C173" i="11"/>
  <c r="C122" i="11"/>
  <c r="F174" i="11"/>
  <c r="J582" i="11"/>
  <c r="H174" i="11"/>
  <c r="H118" i="11"/>
  <c r="G510" i="11"/>
  <c r="K510" i="11"/>
  <c r="L566" i="11"/>
  <c r="E130" i="15" l="1"/>
  <c r="C130" i="15" s="1"/>
  <c r="F14" i="21"/>
  <c r="E181" i="15"/>
  <c r="E89" i="15"/>
  <c r="C89" i="15" s="1"/>
  <c r="F201" i="15"/>
  <c r="C201" i="15" s="1"/>
  <c r="E195" i="15"/>
  <c r="E203" i="15"/>
  <c r="C203" i="15" s="1"/>
  <c r="G247" i="21"/>
  <c r="C247" i="21" s="1"/>
  <c r="E88" i="15"/>
  <c r="C88" i="15" s="1"/>
  <c r="E365" i="21"/>
  <c r="C365" i="21" s="1"/>
  <c r="G366" i="21"/>
  <c r="C366" i="21" s="1"/>
  <c r="G367" i="21"/>
  <c r="C367" i="21" s="1"/>
  <c r="F173" i="21"/>
  <c r="E364" i="21"/>
  <c r="E74" i="15"/>
  <c r="C74" i="15" s="1"/>
  <c r="G573" i="21"/>
  <c r="G124" i="21"/>
  <c r="G173" i="21" s="1"/>
  <c r="H174" i="21" s="1"/>
  <c r="F15" i="21"/>
  <c r="E14" i="21"/>
  <c r="F364" i="21"/>
  <c r="F574" i="21"/>
  <c r="C72" i="21"/>
  <c r="H118" i="21"/>
  <c r="E127" i="15"/>
  <c r="G356" i="21"/>
  <c r="C356" i="21" s="1"/>
  <c r="E243" i="21"/>
  <c r="F186" i="21"/>
  <c r="F229" i="21" s="1"/>
  <c r="E180" i="15"/>
  <c r="G185" i="21"/>
  <c r="C185" i="21" s="1"/>
  <c r="G246" i="21"/>
  <c r="C246" i="21" s="1"/>
  <c r="E117" i="21"/>
  <c r="F118" i="21" s="1"/>
  <c r="E229" i="21"/>
  <c r="C342" i="20"/>
  <c r="C286" i="20"/>
  <c r="C118" i="20"/>
  <c r="C230" i="20"/>
  <c r="C398" i="20"/>
  <c r="C174" i="20"/>
  <c r="C62" i="20"/>
  <c r="E60" i="15"/>
  <c r="E571" i="21"/>
  <c r="E15" i="21"/>
  <c r="E577" i="21"/>
  <c r="C138" i="15"/>
  <c r="E144" i="15"/>
  <c r="C144" i="15" s="1"/>
  <c r="C76" i="15"/>
  <c r="E80" i="15"/>
  <c r="C80" i="15" s="1"/>
  <c r="E575" i="21"/>
  <c r="C126" i="15"/>
  <c r="C72" i="15"/>
  <c r="J173" i="15"/>
  <c r="J117" i="15"/>
  <c r="C361" i="21"/>
  <c r="G173" i="15"/>
  <c r="G174" i="15" s="1"/>
  <c r="I61" i="21"/>
  <c r="I62" i="21" s="1"/>
  <c r="H397" i="21"/>
  <c r="H341" i="21"/>
  <c r="I117" i="21"/>
  <c r="I118" i="21" s="1"/>
  <c r="C190" i="15"/>
  <c r="H61" i="15"/>
  <c r="H62" i="15" s="1"/>
  <c r="G285" i="15"/>
  <c r="I229" i="21"/>
  <c r="I230" i="21" s="1"/>
  <c r="K397" i="21"/>
  <c r="J229" i="21"/>
  <c r="I117" i="15"/>
  <c r="C510" i="15"/>
  <c r="C454" i="15"/>
  <c r="C342" i="15"/>
  <c r="C566" i="15"/>
  <c r="C398" i="15"/>
  <c r="K173" i="21"/>
  <c r="K61" i="15"/>
  <c r="K285" i="15"/>
  <c r="C62" i="11"/>
  <c r="C118" i="11"/>
  <c r="C174" i="11"/>
  <c r="C454" i="11"/>
  <c r="C342" i="11"/>
  <c r="C566" i="11"/>
  <c r="C286" i="11"/>
  <c r="C398" i="11"/>
  <c r="C510" i="11"/>
  <c r="C230" i="11"/>
  <c r="G347" i="21" l="1"/>
  <c r="F196" i="15"/>
  <c r="C196" i="15" s="1"/>
  <c r="G308" i="21"/>
  <c r="C308" i="21" s="1"/>
  <c r="F75" i="15"/>
  <c r="F117" i="15" s="1"/>
  <c r="G118" i="15" s="1"/>
  <c r="F572" i="15"/>
  <c r="F574" i="15"/>
  <c r="G363" i="21"/>
  <c r="C363" i="21" s="1"/>
  <c r="F195" i="15"/>
  <c r="F235" i="15"/>
  <c r="F285" i="15" s="1"/>
  <c r="F286" i="15" s="1"/>
  <c r="F575" i="15"/>
  <c r="F575" i="21"/>
  <c r="E81" i="15"/>
  <c r="C81" i="15" s="1"/>
  <c r="G14" i="21"/>
  <c r="C14" i="21" s="1"/>
  <c r="G577" i="21"/>
  <c r="F243" i="21"/>
  <c r="F285" i="21" s="1"/>
  <c r="E397" i="21"/>
  <c r="F347" i="21"/>
  <c r="E75" i="15"/>
  <c r="E73" i="15"/>
  <c r="C73" i="15" s="1"/>
  <c r="G243" i="21"/>
  <c r="G285" i="21" s="1"/>
  <c r="H286" i="21" s="1"/>
  <c r="E183" i="15"/>
  <c r="C183" i="15" s="1"/>
  <c r="G575" i="21"/>
  <c r="G574" i="21"/>
  <c r="C574" i="21" s="1"/>
  <c r="G576" i="21"/>
  <c r="G293" i="21"/>
  <c r="C364" i="21"/>
  <c r="F230" i="21"/>
  <c r="E189" i="15"/>
  <c r="C189" i="15" s="1"/>
  <c r="G571" i="21"/>
  <c r="G15" i="21"/>
  <c r="G186" i="21"/>
  <c r="C186" i="21" s="1"/>
  <c r="E285" i="21"/>
  <c r="G174" i="21"/>
  <c r="F174" i="21"/>
  <c r="C124" i="21"/>
  <c r="F577" i="21"/>
  <c r="E22" i="15"/>
  <c r="C22" i="15" s="1"/>
  <c r="E131" i="15"/>
  <c r="C131" i="15" s="1"/>
  <c r="E571" i="15"/>
  <c r="E581" i="21"/>
  <c r="E172" i="15"/>
  <c r="E573" i="15"/>
  <c r="E228" i="15"/>
  <c r="E574" i="15"/>
  <c r="K229" i="15"/>
  <c r="K230" i="15" s="1"/>
  <c r="F60" i="21"/>
  <c r="F61" i="21" s="1"/>
  <c r="F571" i="21"/>
  <c r="E116" i="15"/>
  <c r="E572" i="15"/>
  <c r="C127" i="15"/>
  <c r="E129" i="15"/>
  <c r="C129" i="15" s="1"/>
  <c r="C181" i="15"/>
  <c r="E182" i="15"/>
  <c r="C182" i="15" s="1"/>
  <c r="E61" i="21"/>
  <c r="K61" i="21"/>
  <c r="H117" i="15"/>
  <c r="H118" i="15" s="1"/>
  <c r="H285" i="15"/>
  <c r="H286" i="15" s="1"/>
  <c r="K117" i="15"/>
  <c r="K118" i="15" s="1"/>
  <c r="C186" i="15"/>
  <c r="C19" i="15"/>
  <c r="H229" i="15"/>
  <c r="K173" i="15"/>
  <c r="K174" i="15" s="1"/>
  <c r="J285" i="15"/>
  <c r="K286" i="15" s="1"/>
  <c r="J118" i="15"/>
  <c r="K285" i="21"/>
  <c r="K117" i="21"/>
  <c r="J230" i="21"/>
  <c r="C180" i="15"/>
  <c r="H581" i="21"/>
  <c r="I341" i="21"/>
  <c r="I342" i="21" s="1"/>
  <c r="G581" i="15"/>
  <c r="I173" i="21"/>
  <c r="I174" i="21" s="1"/>
  <c r="J117" i="21"/>
  <c r="J118" i="21" s="1"/>
  <c r="J61" i="21"/>
  <c r="H173" i="15"/>
  <c r="H174" i="15" s="1"/>
  <c r="I61" i="15"/>
  <c r="I62" i="15" s="1"/>
  <c r="G229" i="15"/>
  <c r="I285" i="21"/>
  <c r="I286" i="21" s="1"/>
  <c r="J173" i="21"/>
  <c r="J397" i="21"/>
  <c r="K398" i="21" s="1"/>
  <c r="L397" i="21"/>
  <c r="L398" i="21" s="1"/>
  <c r="I397" i="21"/>
  <c r="J341" i="21"/>
  <c r="J285" i="21"/>
  <c r="J61" i="15"/>
  <c r="K62" i="15" s="1"/>
  <c r="I285" i="15"/>
  <c r="I229" i="15"/>
  <c r="I173" i="15"/>
  <c r="L341" i="21"/>
  <c r="L285" i="21"/>
  <c r="K341" i="21"/>
  <c r="L61" i="15"/>
  <c r="L62" i="15" s="1"/>
  <c r="L285" i="15"/>
  <c r="L117" i="15"/>
  <c r="K229" i="21"/>
  <c r="C347" i="21" l="1"/>
  <c r="G397" i="21"/>
  <c r="H398" i="21" s="1"/>
  <c r="C75" i="15"/>
  <c r="F229" i="15"/>
  <c r="G230" i="15" s="1"/>
  <c r="F581" i="15"/>
  <c r="G582" i="15" s="1"/>
  <c r="C235" i="15"/>
  <c r="C195" i="15"/>
  <c r="G286" i="15"/>
  <c r="G61" i="21"/>
  <c r="H62" i="21" s="1"/>
  <c r="F286" i="21"/>
  <c r="F397" i="21"/>
  <c r="F398" i="21" s="1"/>
  <c r="E117" i="15"/>
  <c r="F118" i="15" s="1"/>
  <c r="C243" i="21"/>
  <c r="G286" i="21"/>
  <c r="F581" i="21"/>
  <c r="C293" i="21"/>
  <c r="G341" i="21"/>
  <c r="C341" i="21" s="1"/>
  <c r="G581" i="21"/>
  <c r="H582" i="21" s="1"/>
  <c r="G229" i="21"/>
  <c r="C15" i="21"/>
  <c r="E61" i="15"/>
  <c r="F62" i="15" s="1"/>
  <c r="F62" i="21"/>
  <c r="C572" i="21"/>
  <c r="K62" i="21"/>
  <c r="L118" i="15"/>
  <c r="I118" i="15"/>
  <c r="E173" i="15"/>
  <c r="F174" i="15" s="1"/>
  <c r="E581" i="15"/>
  <c r="E229" i="15"/>
  <c r="C572" i="15"/>
  <c r="J581" i="15"/>
  <c r="K581" i="15"/>
  <c r="I581" i="21"/>
  <c r="I582" i="21" s="1"/>
  <c r="C571" i="15"/>
  <c r="H230" i="15"/>
  <c r="C60" i="21"/>
  <c r="J62" i="21"/>
  <c r="C571" i="21"/>
  <c r="K118" i="21"/>
  <c r="H581" i="15"/>
  <c r="H582" i="15" s="1"/>
  <c r="C172" i="21"/>
  <c r="C576" i="21"/>
  <c r="C577" i="21"/>
  <c r="C575" i="21"/>
  <c r="J174" i="21"/>
  <c r="J342" i="21"/>
  <c r="I174" i="15"/>
  <c r="C396" i="21"/>
  <c r="C340" i="21"/>
  <c r="L117" i="21"/>
  <c r="C117" i="21" s="1"/>
  <c r="C116" i="21"/>
  <c r="C573" i="21"/>
  <c r="C284" i="21"/>
  <c r="L229" i="21"/>
  <c r="C228" i="21"/>
  <c r="J286" i="21"/>
  <c r="C285" i="21"/>
  <c r="C285" i="15"/>
  <c r="C574" i="15"/>
  <c r="C573" i="15"/>
  <c r="C575" i="15"/>
  <c r="K581" i="21"/>
  <c r="K174" i="21"/>
  <c r="J174" i="15"/>
  <c r="J398" i="21"/>
  <c r="I398" i="21"/>
  <c r="J581" i="21"/>
  <c r="I581" i="15"/>
  <c r="K286" i="21"/>
  <c r="J62" i="15"/>
  <c r="I230" i="15"/>
  <c r="J230" i="15"/>
  <c r="J286" i="15"/>
  <c r="I286" i="15"/>
  <c r="L342" i="21"/>
  <c r="K342" i="21"/>
  <c r="L581" i="21"/>
  <c r="C60" i="15"/>
  <c r="L286" i="15"/>
  <c r="C284" i="15"/>
  <c r="C233" i="15"/>
  <c r="L173" i="15"/>
  <c r="C172" i="15"/>
  <c r="K230" i="21"/>
  <c r="L173" i="21"/>
  <c r="C173" i="21" s="1"/>
  <c r="L286" i="21"/>
  <c r="C234" i="15"/>
  <c r="C116" i="15"/>
  <c r="L229" i="15"/>
  <c r="C228" i="15"/>
  <c r="L581" i="15"/>
  <c r="L61" i="21"/>
  <c r="F230" i="15" l="1"/>
  <c r="F582" i="15"/>
  <c r="G62" i="21"/>
  <c r="C61" i="21"/>
  <c r="C397" i="21"/>
  <c r="G398" i="21"/>
  <c r="C398" i="21" s="1"/>
  <c r="C66" i="15"/>
  <c r="C117" i="15"/>
  <c r="C65" i="15"/>
  <c r="C229" i="21"/>
  <c r="G582" i="21"/>
  <c r="F582" i="21"/>
  <c r="H230" i="21"/>
  <c r="G230" i="21"/>
  <c r="H342" i="21"/>
  <c r="G342" i="21"/>
  <c r="C10" i="15"/>
  <c r="C9" i="15"/>
  <c r="C61" i="15"/>
  <c r="C62" i="15"/>
  <c r="J582" i="21"/>
  <c r="C118" i="15"/>
  <c r="L582" i="15"/>
  <c r="K582" i="15"/>
  <c r="I582" i="15"/>
  <c r="L118" i="21"/>
  <c r="C118" i="21" s="1"/>
  <c r="L230" i="21"/>
  <c r="C286" i="21"/>
  <c r="J582" i="15"/>
  <c r="L582" i="21"/>
  <c r="K582" i="21"/>
  <c r="C286" i="15"/>
  <c r="C177" i="15"/>
  <c r="C178" i="15"/>
  <c r="C229" i="15"/>
  <c r="L230" i="15"/>
  <c r="L174" i="15"/>
  <c r="C174" i="15" s="1"/>
  <c r="C121" i="15"/>
  <c r="C122" i="15"/>
  <c r="C173" i="15"/>
  <c r="L174" i="21"/>
  <c r="C174" i="21" s="1"/>
  <c r="L62" i="21"/>
  <c r="C230" i="15" l="1"/>
  <c r="C62" i="21"/>
  <c r="C342" i="21"/>
  <c r="C230" i="21"/>
</calcChain>
</file>

<file path=xl/sharedStrings.xml><?xml version="1.0" encoding="utf-8"?>
<sst xmlns="http://schemas.openxmlformats.org/spreadsheetml/2006/main" count="9796" uniqueCount="306">
  <si>
    <t>QNum</t>
    <phoneticPr fontId="4"/>
  </si>
  <si>
    <t>NumQ</t>
    <phoneticPr fontId="4"/>
  </si>
  <si>
    <t>JDI</t>
  </si>
  <si>
    <t>SDC</t>
  </si>
  <si>
    <t>Sharp</t>
  </si>
  <si>
    <t>#</t>
    <phoneticPr fontId="14"/>
  </si>
  <si>
    <t>Sony</t>
  </si>
  <si>
    <t>R1</t>
  </si>
  <si>
    <t>2019</t>
  </si>
  <si>
    <t>2020</t>
  </si>
  <si>
    <t>2021</t>
  </si>
  <si>
    <t>2022</t>
  </si>
  <si>
    <t>2023</t>
  </si>
  <si>
    <t>2024</t>
  </si>
  <si>
    <t>2025</t>
  </si>
  <si>
    <t>LCD</t>
  </si>
  <si>
    <t>Brand</t>
  </si>
  <si>
    <t>Product</t>
  </si>
  <si>
    <t>Application</t>
  </si>
  <si>
    <t>Category</t>
  </si>
  <si>
    <t>Release Date</t>
  </si>
  <si>
    <t>Year</t>
  </si>
  <si>
    <t>Panel Type</t>
  </si>
  <si>
    <t>PPI</t>
  </si>
  <si>
    <t>Max Hz</t>
  </si>
  <si>
    <t>PlayStation VR</t>
  </si>
  <si>
    <t>VR</t>
  </si>
  <si>
    <t>Tethered</t>
  </si>
  <si>
    <t>AMOLED</t>
  </si>
  <si>
    <t>Oculus</t>
  </si>
  <si>
    <t>Quest</t>
  </si>
  <si>
    <t>Standalone</t>
  </si>
  <si>
    <t>Quest 2</t>
  </si>
  <si>
    <t>Rift S</t>
  </si>
  <si>
    <t>HP</t>
  </si>
  <si>
    <t>Reverb</t>
  </si>
  <si>
    <t>Unknown</t>
  </si>
  <si>
    <t>Reverb G2</t>
  </si>
  <si>
    <t>Valve</t>
  </si>
  <si>
    <t>Index</t>
  </si>
  <si>
    <t>Unknwon</t>
  </si>
  <si>
    <t>HTC</t>
  </si>
  <si>
    <t>OLED VR headset</t>
  </si>
  <si>
    <t>Lynx</t>
  </si>
  <si>
    <t>AR passthrough</t>
  </si>
  <si>
    <t>ALL</t>
  </si>
  <si>
    <t>1x AMOLED</t>
  </si>
  <si>
    <t>2x AMOLED</t>
  </si>
  <si>
    <t>1x LCD</t>
  </si>
  <si>
    <t>2x LCD</t>
  </si>
  <si>
    <t>2x SiOLED</t>
  </si>
  <si>
    <t>SiOLED</t>
  </si>
  <si>
    <t>Panel Shipments (Millions)</t>
    <phoneticPr fontId="4"/>
  </si>
  <si>
    <t>Panel Supplier</t>
    <phoneticPr fontId="4"/>
  </si>
  <si>
    <t>Alt Panel Supplier</t>
    <phoneticPr fontId="4"/>
  </si>
  <si>
    <t>Size (inch)</t>
    <phoneticPr fontId="4"/>
  </si>
  <si>
    <t>H</t>
    <phoneticPr fontId="4"/>
  </si>
  <si>
    <t>V</t>
    <phoneticPr fontId="4"/>
  </si>
  <si>
    <t>Panels per Device</t>
    <phoneticPr fontId="4"/>
  </si>
  <si>
    <t xml:space="preserve"> Panel Shipments (Millions)</t>
  </si>
  <si>
    <t>Grand Total</t>
  </si>
  <si>
    <t>Microsoft</t>
  </si>
  <si>
    <t>HoloLens 2</t>
  </si>
  <si>
    <t>AR see-through</t>
  </si>
  <si>
    <t>LBS</t>
  </si>
  <si>
    <t>Magic Leap</t>
  </si>
  <si>
    <t>ML One</t>
  </si>
  <si>
    <t>LCoS</t>
  </si>
  <si>
    <t>Vuzix</t>
  </si>
  <si>
    <t>Blade</t>
  </si>
  <si>
    <t>DLP</t>
  </si>
  <si>
    <t>Google</t>
  </si>
  <si>
    <t>Kopin</t>
  </si>
  <si>
    <t>Epson</t>
  </si>
  <si>
    <t>Moverio</t>
  </si>
  <si>
    <t>LCoS glasses</t>
  </si>
  <si>
    <t>DLP glasses</t>
  </si>
  <si>
    <t>Lenovo</t>
  </si>
  <si>
    <t>ThinkReality A3</t>
  </si>
  <si>
    <t>SiOLED glasses</t>
  </si>
  <si>
    <t>LBS glasses</t>
  </si>
  <si>
    <t>1x DLP</t>
  </si>
  <si>
    <t>2x LBS</t>
  </si>
  <si>
    <t>2x LCoS</t>
  </si>
  <si>
    <t>2x MicroLED</t>
  </si>
  <si>
    <t>Product</t>
    <phoneticPr fontId="4"/>
  </si>
  <si>
    <t>2026</t>
  </si>
  <si>
    <t>Total</t>
    <phoneticPr fontId="4"/>
  </si>
  <si>
    <t>Growth</t>
    <phoneticPr fontId="4"/>
  </si>
  <si>
    <t>Year</t>
    <phoneticPr fontId="4"/>
  </si>
  <si>
    <t>Ser#</t>
    <phoneticPr fontId="4"/>
  </si>
  <si>
    <t xml:space="preserve"> Panel Revenues ($ Millions)</t>
  </si>
  <si>
    <t>Panel Revenues ($ Millions)</t>
    <phoneticPr fontId="4"/>
  </si>
  <si>
    <t>AR Products</t>
    <phoneticPr fontId="4"/>
  </si>
  <si>
    <t>VR Proeducts</t>
    <phoneticPr fontId="4"/>
  </si>
  <si>
    <t>VR_Panel Configulation</t>
    <phoneticPr fontId="4"/>
  </si>
  <si>
    <t>AR_Panel Configulation</t>
    <phoneticPr fontId="4"/>
  </si>
  <si>
    <t>Others</t>
  </si>
  <si>
    <t>Panel Configuration</t>
  </si>
  <si>
    <t>VR Panel Shipments by Panel Configuration (Millions)</t>
  </si>
  <si>
    <t>AR Display Engine Shipments by Panel Configuration (Millions)</t>
  </si>
  <si>
    <t>AR Display Engine Revenues by Panel Configuration ($ Millions)</t>
    <phoneticPr fontId="4"/>
  </si>
  <si>
    <t>VR Panel Revenues by Panel Configuration ($ Millions)</t>
    <phoneticPr fontId="4"/>
  </si>
  <si>
    <t>Pivot Tables and Flat Tables</t>
    <phoneticPr fontId="4"/>
  </si>
  <si>
    <t>Number Format</t>
    <phoneticPr fontId="4"/>
  </si>
  <si>
    <t>Convert to Text Format</t>
    <phoneticPr fontId="4"/>
  </si>
  <si>
    <t>DPVR</t>
  </si>
  <si>
    <t>P1 family</t>
  </si>
  <si>
    <t>Pimax</t>
  </si>
  <si>
    <t>Pimax VR</t>
  </si>
  <si>
    <t>Pico</t>
  </si>
  <si>
    <t>Dual LCD VR headset</t>
  </si>
  <si>
    <t>Meta</t>
  </si>
  <si>
    <t>Quest Pro</t>
  </si>
  <si>
    <t>Arpara</t>
  </si>
  <si>
    <t>5K VR</t>
  </si>
  <si>
    <t>SeeYa</t>
  </si>
  <si>
    <t>ML 2</t>
  </si>
  <si>
    <t>Oppo</t>
  </si>
  <si>
    <t>Air Glass</t>
  </si>
  <si>
    <t>MicroLED</t>
  </si>
  <si>
    <t>Monocular MicroLED</t>
  </si>
  <si>
    <t>Shield</t>
  </si>
  <si>
    <t>Binocular MicroLED</t>
  </si>
  <si>
    <t>1x MicroLED</t>
  </si>
  <si>
    <t>2027</t>
  </si>
  <si>
    <t>PlayStation VR2</t>
  </si>
  <si>
    <t>AR_or_VR</t>
  </si>
  <si>
    <t>AR_or_VR</t>
    <phoneticPr fontId="4"/>
  </si>
  <si>
    <t>AR</t>
  </si>
  <si>
    <t>Glass</t>
  </si>
  <si>
    <t>T1</t>
  </si>
  <si>
    <t>Rokid</t>
  </si>
  <si>
    <t>Air</t>
  </si>
  <si>
    <t>Pico 4</t>
  </si>
  <si>
    <t>TCL</t>
  </si>
  <si>
    <t>NXTWear</t>
  </si>
  <si>
    <t>Quest 3</t>
  </si>
  <si>
    <t>Dual SiOLED headset</t>
  </si>
  <si>
    <t>Shiftall</t>
  </si>
  <si>
    <t>MeganeX</t>
  </si>
  <si>
    <t>Apple</t>
  </si>
  <si>
    <t>2028</t>
  </si>
  <si>
    <t xml:space="preserve"> </t>
  </si>
  <si>
    <t>JBD</t>
  </si>
  <si>
    <t>BOE</t>
  </si>
  <si>
    <t>Innolux</t>
  </si>
  <si>
    <t>Panel ASPs</t>
    <phoneticPr fontId="4"/>
  </si>
  <si>
    <t>ARVR_Y_PC_PR</t>
    <phoneticPr fontId="4"/>
  </si>
  <si>
    <t>ARVR_Y_PC</t>
    <phoneticPr fontId="4"/>
  </si>
  <si>
    <t>ARVR</t>
    <phoneticPr fontId="4"/>
  </si>
  <si>
    <t>Y</t>
    <phoneticPr fontId="4"/>
  </si>
  <si>
    <t>BR</t>
    <phoneticPr fontId="4"/>
  </si>
  <si>
    <t>PC</t>
    <phoneticPr fontId="4"/>
  </si>
  <si>
    <t>Model</t>
    <phoneticPr fontId="4"/>
  </si>
  <si>
    <t>PS</t>
    <phoneticPr fontId="4"/>
  </si>
  <si>
    <t>PShip</t>
    <phoneticPr fontId="4"/>
  </si>
  <si>
    <t>PRev</t>
    <phoneticPr fontId="4"/>
  </si>
  <si>
    <t>APP</t>
    <phoneticPr fontId="4"/>
  </si>
  <si>
    <t>Type</t>
    <phoneticPr fontId="4"/>
  </si>
  <si>
    <t>Max</t>
  </si>
  <si>
    <t>Single LCD VR headset</t>
  </si>
  <si>
    <t>Neo 3 / G3</t>
  </si>
  <si>
    <t>ThinkReality VRX</t>
  </si>
  <si>
    <t>Bigscreen</t>
  </si>
  <si>
    <t>Beyond</t>
  </si>
  <si>
    <t>Sharp/BOE</t>
  </si>
  <si>
    <t>Ver.01</t>
    <phoneticPr fontId="3"/>
  </si>
  <si>
    <t>Micro LCD</t>
  </si>
  <si>
    <t>Vision Pro</t>
  </si>
  <si>
    <t>1x Micro LCD</t>
  </si>
  <si>
    <t>Lakeside</t>
  </si>
  <si>
    <t>TI</t>
  </si>
  <si>
    <t>Current Year</t>
    <phoneticPr fontId="4"/>
  </si>
  <si>
    <t>Quarter</t>
    <phoneticPr fontId="4"/>
  </si>
  <si>
    <t>Q</t>
    <phoneticPr fontId="4"/>
  </si>
  <si>
    <t>Q1</t>
  </si>
  <si>
    <t>Q2</t>
  </si>
  <si>
    <t>Vive LCD headsets</t>
  </si>
  <si>
    <t>Q3</t>
  </si>
  <si>
    <t>Varjo</t>
  </si>
  <si>
    <t>Bionic models</t>
  </si>
  <si>
    <t>Q4</t>
  </si>
  <si>
    <t>Aero</t>
  </si>
  <si>
    <t>XR-4</t>
  </si>
  <si>
    <t>2029</t>
  </si>
  <si>
    <t>XREAL</t>
  </si>
  <si>
    <t>Light</t>
  </si>
  <si>
    <t>Air 2</t>
  </si>
  <si>
    <t>Meizu</t>
  </si>
  <si>
    <t>MYVU</t>
  </si>
  <si>
    <t>INMO</t>
  </si>
  <si>
    <t>Go</t>
  </si>
  <si>
    <t>Max 2</t>
  </si>
  <si>
    <t>Even Realities</t>
  </si>
  <si>
    <t>G1</t>
  </si>
  <si>
    <t>Quest 3S</t>
  </si>
  <si>
    <t>Go 2</t>
  </si>
  <si>
    <t>Air 3</t>
  </si>
  <si>
    <t>Glasses</t>
  </si>
  <si>
    <t>One</t>
  </si>
  <si>
    <t>One Pro</t>
  </si>
  <si>
    <t>Copyright © 2025 Counterpoint Research </t>
  </si>
  <si>
    <t xml:space="preserve">All Rights Reserved. Proprietary and Confidential. This report and all information contained herein is the property of Counterpoint Research </t>
    <phoneticPr fontId="3"/>
  </si>
  <si>
    <t xml:space="preserve">and is provided for the confidential use of Counterpoint clients only, in accordance with Counterpoint’s Terms and Conditions. </t>
    <phoneticPr fontId="3"/>
  </si>
  <si>
    <t xml:space="preserve">Counterpoint makes no representations or warranties of any kind, express or implied, with respect to this report.  </t>
    <phoneticPr fontId="3"/>
  </si>
  <si>
    <t xml:space="preserve">No reproduction or disclosure of this report, in any manner, in whole or in art, is permitted except as may be expressly authorized in writing by </t>
    <phoneticPr fontId="3"/>
  </si>
  <si>
    <t>Counterpoint and only with attribution of Counterpoint as the source.</t>
  </si>
  <si>
    <t>Extra copies and updates are available at additional cost from</t>
  </si>
  <si>
    <t>Counterpoint Research</t>
    <phoneticPr fontId="3"/>
  </si>
  <si>
    <t>3450 Cahuenga Blvd W Unit 608 Los Angeles, CA, 90068</t>
    <phoneticPr fontId="3"/>
  </si>
  <si>
    <t>www.displaysupplychain.com ▪ info@counterpointresearch.com</t>
    <phoneticPr fontId="3"/>
  </si>
  <si>
    <t>Sourcing Counterpoint Research Information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</si>
  <si>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</si>
  <si>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</si>
  <si>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</si>
  <si>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</si>
  <si>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</si>
  <si>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</si>
  <si>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</si>
  <si>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</si>
  <si>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</si>
  <si>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</si>
  <si>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</si>
  <si>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</si>
  <si>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</si>
  <si>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</si>
  <si>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</si>
  <si>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</si>
  <si>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</si>
  <si>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</si>
  <si>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Q3 2020</t>
  </si>
  <si>
    <t>Q4 2020</t>
  </si>
  <si>
    <t>Q1 2021</t>
  </si>
  <si>
    <t>Q2 2021</t>
  </si>
  <si>
    <t>Q3 2021</t>
  </si>
  <si>
    <t>Q4 2021</t>
  </si>
  <si>
    <t>Q1 2022</t>
  </si>
  <si>
    <t>Q2 2022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</si>
  <si>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</si>
  <si>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</si>
  <si>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</si>
  <si>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</si>
  <si>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</si>
  <si>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</si>
  <si>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</si>
  <si>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</si>
  <si>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</si>
  <si>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</si>
  <si>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</si>
  <si>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</si>
  <si>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</si>
  <si>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</si>
  <si>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</si>
  <si>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</si>
  <si>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</si>
  <si>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</si>
  <si>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</si>
  <si>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</si>
  <si>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</si>
  <si>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</si>
  <si>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</si>
  <si>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</si>
  <si>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</si>
  <si>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</si>
  <si>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</si>
  <si>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</si>
  <si>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</si>
  <si>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</si>
  <si>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</si>
  <si>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</si>
  <si>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</si>
  <si>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</si>
  <si>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Z100</t>
  </si>
  <si>
    <t>Somnium</t>
  </si>
  <si>
    <t>VR1</t>
  </si>
  <si>
    <t>NTT QONOQ</t>
  </si>
  <si>
    <t>MiRZA</t>
  </si>
  <si>
    <t>MeganeX Superlight 8K</t>
  </si>
  <si>
    <t>Monocular LCoS glasses</t>
  </si>
  <si>
    <t>1x LCoS</t>
  </si>
  <si>
    <t>Refer to this report as “Quarterly XR Display Shipments and Forecast Report” in any citations.</t>
  </si>
  <si>
    <t>XR Display Shipments and Forecast Report</t>
  </si>
  <si>
    <t>Viture</t>
  </si>
  <si>
    <t>Viture Pro</t>
  </si>
  <si>
    <t>Meizu StarV View</t>
  </si>
  <si>
    <t>INAIR</t>
  </si>
  <si>
    <t>INAIR 2 Pro</t>
  </si>
  <si>
    <t>INAIR 2</t>
  </si>
  <si>
    <t>Meizu StarV Air 2</t>
  </si>
  <si>
    <t>Lenovo Legion Glasses 2</t>
  </si>
  <si>
    <t>Samsung</t>
  </si>
  <si>
    <t>Project Moohan</t>
  </si>
  <si>
    <t>Q3 2025</t>
    <phoneticPr fontId="3"/>
  </si>
  <si>
    <t>RayNeo</t>
  </si>
  <si>
    <t>Air 3s Pro</t>
  </si>
  <si>
    <t>X3 Pro</t>
  </si>
  <si>
    <t>Galaxy XR</t>
  </si>
  <si>
    <t>Ray-Ban Meta Display</t>
  </si>
  <si>
    <t>Alibaba</t>
  </si>
  <si>
    <t>Quark AI</t>
  </si>
  <si>
    <t>CSOT</t>
  </si>
  <si>
    <t>Omnivision</t>
  </si>
  <si>
    <t>AR_VR_QuarterlyTemplate_2025Q3_YT GC.xlsm</t>
    <phoneticPr fontId="4"/>
  </si>
  <si>
    <t xml:space="preserve">Source: </t>
    <phoneticPr fontId="4"/>
  </si>
  <si>
    <t>Rev.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</si>
</sst>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5" formatCode="[$-409]mmm\-yy;@"/>
    <numFmt numFmtId="166" formatCode="0.00_ "/>
    <numFmt numFmtId="167" formatCode="0.00____"/>
    <numFmt numFmtId="168" formatCode="0____"/>
    <numFmt numFmtId="169" formatCode="\$#,##0;\-\$#,##0"/>
    <numFmt numFmtId="170" formatCode="\$#,##0.00____"/>
    <numFmt numFmtId="171" formatCode="\$#,##0.0__"/>
    <numFmt numFmtId="176" formatCode="0.000____"/>
    <numFmt numFmtId="177" formatCode="#,##0.00_ "/>
    <numFmt numFmtId="178" formatCode="#,##0.00__"/>
    <numFmt numFmtId="179" formatCode="&quot;$&quot;#,##0.0"/>
  </numFmts>
  <fonts count="28">
    <font>
      <sz val="11"/>
      <color theme="1"/>
      <name val="Arial"/>
      <family val="2"/>
    </font>
    <font>
      <sz val="10"/>
      <name val="Arial"/>
      <family val="2"/>
    </font>
    <font>
      <sz val="36"/>
      <name val="Arial"/>
      <family val="2"/>
    </font>
    <font>
      <sz val="6"/>
      <name val="Arial"/>
      <family val="2"/>
      <charset val="128"/>
    </font>
    <font>
      <sz val="6"/>
      <name val="ＭＳ Ｐゴシック"/>
      <family val="3"/>
      <charset val="128"/>
    </font>
    <font>
      <b/>
      <i/>
      <sz val="22"/>
      <color rgb="FFFF0000"/>
      <name val="Times New Roman"/>
      <family val="1"/>
    </font>
    <font>
      <sz val="26"/>
      <color rgb="FFFF0000"/>
      <name val="Arial"/>
      <family val="2"/>
    </font>
    <font>
      <sz val="28"/>
      <name val="Arial"/>
      <family val="2"/>
    </font>
    <font>
      <sz val="11"/>
      <name val="Arial"/>
      <family val="2"/>
    </font>
    <font>
      <sz val="11"/>
      <color indexed="8"/>
      <name val="Arial"/>
      <family val="2"/>
    </font>
    <font>
      <b/>
      <sz val="10"/>
      <color indexed="10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theme="1"/>
      <name val="Arial"/>
      <family val="2"/>
    </font>
    <font>
      <sz val="6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Arial"/>
      <family val="2"/>
    </font>
    <font>
      <sz val="11"/>
      <color theme="1"/>
      <name val="Calibri"/>
      <family val="2"/>
      <scheme val="minor"/>
    </font>
    <font>
      <b/>
      <i/>
      <sz val="11"/>
      <color rgb="FFFF0000"/>
      <name val="Arial"/>
      <family val="2"/>
    </font>
    <font>
      <b/>
      <sz val="12"/>
      <color rgb="FF000000"/>
      <name val="Aptos"/>
      <family val="2"/>
    </font>
    <font>
      <sz val="11"/>
      <color theme="1"/>
      <name val="Calibri"/>
      <family val="3"/>
      <charset val="128"/>
      <scheme val="minor"/>
    </font>
    <font>
      <sz val="12"/>
      <color rgb="FF000000"/>
      <name val="Aptos"/>
      <family val="2"/>
    </font>
    <font>
      <sz val="11"/>
      <color rgb="FFFF0000"/>
      <name val="Arial"/>
      <family val="2"/>
    </font>
    <font>
      <b/>
      <i/>
      <sz val="22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theme="4" tint="0.79998168889431442"/>
      </patternFill>
    </fill>
    <fill>
      <patternFill patternType="solid">
        <fgColor rgb="FFFF66FF"/>
        <bgColor indexed="64"/>
      </patternFill>
    </fill>
    <fill>
      <patternFill patternType="solid">
        <fgColor rgb="FF00B050"/>
        <bgColor indexed="64"/>
      </patternFill>
    </fill>
  </fills>
  <borders count="69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10"/>
      </left>
      <right style="thin">
        <color auto="1"/>
      </right>
      <top style="medium">
        <color indexed="10"/>
      </top>
      <bottom/>
      <diagonal/>
    </border>
    <border>
      <left style="thin">
        <color auto="1"/>
      </left>
      <right style="thin">
        <color auto="1"/>
      </right>
      <top style="medium">
        <color indexed="10"/>
      </top>
      <bottom/>
      <diagonal/>
    </border>
    <border>
      <left style="thin">
        <color auto="1"/>
      </left>
      <right style="medium">
        <color indexed="10"/>
      </right>
      <top style="medium">
        <color indexed="1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indexed="10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10"/>
      </right>
      <top/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indexed="10"/>
      </left>
      <right style="thin">
        <color auto="1"/>
      </right>
      <top/>
      <bottom style="hair">
        <color indexed="10"/>
      </bottom>
      <diagonal/>
    </border>
    <border>
      <left style="thin">
        <color auto="1"/>
      </left>
      <right style="thin">
        <color auto="1"/>
      </right>
      <top/>
      <bottom style="hair">
        <color indexed="10"/>
      </bottom>
      <diagonal/>
    </border>
    <border>
      <left style="thin">
        <color auto="1"/>
      </left>
      <right style="medium">
        <color indexed="10"/>
      </right>
      <top/>
      <bottom style="hair">
        <color indexed="10"/>
      </bottom>
      <diagonal/>
    </border>
    <border>
      <left style="medium">
        <color indexed="10"/>
      </left>
      <right style="thin">
        <color auto="1"/>
      </right>
      <top style="hair">
        <color indexed="10"/>
      </top>
      <bottom/>
      <diagonal/>
    </border>
    <border>
      <left style="thin">
        <color auto="1"/>
      </left>
      <right style="thin">
        <color auto="1"/>
      </right>
      <top style="hair">
        <color indexed="10"/>
      </top>
      <bottom/>
      <diagonal/>
    </border>
    <border>
      <left style="thin">
        <color auto="1"/>
      </left>
      <right style="medium">
        <color indexed="10"/>
      </right>
      <top style="hair">
        <color indexed="1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indexed="10"/>
      </left>
      <right style="thin">
        <color auto="1"/>
      </right>
      <top/>
      <bottom style="medium">
        <color indexed="10"/>
      </bottom>
      <diagonal/>
    </border>
    <border>
      <left style="thin">
        <color auto="1"/>
      </left>
      <right style="thin">
        <color auto="1"/>
      </right>
      <top/>
      <bottom style="medium">
        <color indexed="10"/>
      </bottom>
      <diagonal/>
    </border>
    <border>
      <left style="thin">
        <color auto="1"/>
      </left>
      <right style="medium">
        <color indexed="10"/>
      </right>
      <top/>
      <bottom style="medium">
        <color indexed="1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rgb="FFFF0000"/>
      </left>
      <right style="thin">
        <color auto="1"/>
      </right>
      <top style="thick">
        <color rgb="FFFF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FF0000"/>
      </top>
      <bottom style="medium">
        <color auto="1"/>
      </bottom>
      <diagonal/>
    </border>
    <border>
      <left style="thin">
        <color auto="1"/>
      </left>
      <right style="thick">
        <color rgb="FFFF0000"/>
      </right>
      <top style="thick">
        <color rgb="FFFF0000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ck">
        <color rgb="FFFF0000"/>
      </left>
      <right style="thin">
        <color auto="1"/>
      </right>
      <top/>
      <bottom/>
      <diagonal/>
    </border>
    <border>
      <left style="thin">
        <color auto="1"/>
      </left>
      <right style="thick">
        <color rgb="FFFF0000"/>
      </right>
      <top/>
      <bottom/>
      <diagonal/>
    </border>
    <border>
      <left style="thick">
        <color rgb="FFFF0000"/>
      </left>
      <right style="thin">
        <color auto="1"/>
      </right>
      <top/>
      <bottom style="thick">
        <color rgb="FFFF0000"/>
      </bottom>
      <diagonal/>
    </border>
    <border>
      <left style="thin">
        <color auto="1"/>
      </left>
      <right style="thin">
        <color auto="1"/>
      </right>
      <top/>
      <bottom style="thick">
        <color rgb="FFFF0000"/>
      </bottom>
      <diagonal/>
    </border>
    <border>
      <left style="thin">
        <color auto="1"/>
      </left>
      <right style="thick">
        <color rgb="FFFF0000"/>
      </right>
      <top/>
      <bottom style="thick">
        <color rgb="FFFF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ck">
        <color rgb="FFFF000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ck">
        <color rgb="FFFF0000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theme="1"/>
      </right>
      <top style="medium">
        <color auto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medium">
        <color auto="1"/>
      </right>
      <top/>
      <bottom/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/>
      <right style="thin">
        <color theme="1"/>
      </right>
      <top style="thin">
        <color auto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auto="1"/>
      </top>
      <bottom style="medium">
        <color auto="1"/>
      </bottom>
      <diagonal/>
    </border>
    <border>
      <left style="thin">
        <color theme="1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theme="1" tint="0.499984740745262"/>
      </right>
      <top/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auto="1"/>
      </bottom>
      <diagonal/>
    </border>
    <border>
      <left style="thin">
        <color theme="1" tint="0.499984740745262"/>
      </left>
      <right style="medium">
        <color auto="1"/>
      </right>
      <top/>
      <bottom style="thin">
        <color auto="1"/>
      </bottom>
      <diagonal/>
    </border>
    <border>
      <left/>
      <right style="thin">
        <color theme="1"/>
      </right>
      <top style="medium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medium">
        <color auto="1"/>
      </top>
      <bottom style="thin">
        <color auto="1"/>
      </bottom>
      <diagonal/>
    </border>
    <border>
      <left style="thin">
        <color theme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rgb="FFFF0000"/>
      </right>
      <top/>
      <bottom style="medium">
        <color rgb="FFFF0000"/>
      </bottom>
      <diagonal/>
    </border>
    <border>
      <left style="thin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medium">
        <color rgb="FFFF0000"/>
      </bottom>
      <diagonal/>
    </border>
    <border>
      <left style="double">
        <color rgb="FFFF0000"/>
      </left>
      <right style="double">
        <color rgb="FFFF0000"/>
      </right>
      <top style="medium">
        <color rgb="FFFF0000"/>
      </top>
      <bottom style="double">
        <color rgb="FFFF0000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10">
    <xf numFmtId="0" fontId="0" fillId="0" borderId="0">
      <alignment vertical="center"/>
    </xf>
    <xf numFmtId="0" fontId="1" fillId="0" borderId="0"/>
    <xf numFmtId="0" fontId="1" fillId="0" borderId="0"/>
    <xf numFmtId="38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/>
    <xf numFmtId="38" fontId="21" fillId="0" borderId="0" applyFont="0" applyFill="0" applyBorder="0" applyAlignment="0" applyProtection="0">
      <alignment vertical="center"/>
    </xf>
    <xf numFmtId="0" fontId="24" fillId="0" borderId="0">
      <alignment vertical="center"/>
    </xf>
  </cellStyleXfs>
  <cellXfs count="151">
    <xf numFmtId="0" fontId="0" fillId="0" borderId="0" xfId="0">
      <alignment vertical="center"/>
    </xf>
    <xf numFmtId="0" fontId="1" fillId="2" borderId="0" xfId="1" applyFill="1"/>
    <xf numFmtId="0" fontId="2" fillId="2" borderId="0" xfId="1" applyFont="1" applyFill="1" applyAlignment="1">
      <alignment horizontal="center"/>
    </xf>
    <xf numFmtId="0" fontId="5" fillId="2" borderId="0" xfId="1" applyFont="1" applyFill="1" applyAlignment="1">
      <alignment horizontal="center"/>
    </xf>
    <xf numFmtId="0" fontId="6" fillId="2" borderId="0" xfId="1" applyFont="1" applyFill="1" applyAlignment="1">
      <alignment horizontal="center"/>
    </xf>
    <xf numFmtId="0" fontId="7" fillId="2" borderId="0" xfId="1" applyFont="1" applyFill="1" applyAlignment="1">
      <alignment horizontal="center" vertical="center"/>
    </xf>
    <xf numFmtId="0" fontId="8" fillId="2" borderId="1" xfId="2" applyFont="1" applyFill="1" applyBorder="1"/>
    <xf numFmtId="0" fontId="8" fillId="2" borderId="0" xfId="2" applyFont="1" applyFill="1"/>
    <xf numFmtId="0" fontId="10" fillId="0" borderId="0" xfId="0" applyFont="1" applyAlignment="1" applyProtection="1">
      <alignment horizontal="center" vertical="center"/>
      <protection locked="0"/>
    </xf>
    <xf numFmtId="0" fontId="12" fillId="0" borderId="0" xfId="0" applyFont="1">
      <alignment vertical="center"/>
    </xf>
    <xf numFmtId="0" fontId="2" fillId="2" borderId="0" xfId="1" applyFont="1" applyFill="1" applyAlignment="1">
      <alignment horizontal="center" vertical="center" wrapText="1"/>
    </xf>
    <xf numFmtId="0" fontId="13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3" borderId="20" xfId="0" applyFont="1" applyFill="1" applyBorder="1" applyAlignment="1" applyProtection="1">
      <alignment horizontal="center" vertical="center" wrapText="1"/>
      <protection hidden="1"/>
    </xf>
    <xf numFmtId="0" fontId="8" fillId="3" borderId="21" xfId="0" applyFont="1" applyFill="1" applyBorder="1" applyAlignment="1" applyProtection="1">
      <alignment horizontal="center" vertical="center" wrapText="1"/>
      <protection hidden="1"/>
    </xf>
    <xf numFmtId="0" fontId="8" fillId="3" borderId="22" xfId="0" applyFont="1" applyFill="1" applyBorder="1" applyAlignment="1" applyProtection="1">
      <alignment horizontal="center" vertical="center" wrapText="1"/>
      <protection hidden="1"/>
    </xf>
    <xf numFmtId="0" fontId="8" fillId="4" borderId="24" xfId="0" applyFont="1" applyFill="1" applyBorder="1" applyAlignment="1" applyProtection="1">
      <alignment horizontal="center" vertical="center"/>
      <protection hidden="1"/>
    </xf>
    <xf numFmtId="165" fontId="13" fillId="4" borderId="7" xfId="5" applyNumberFormat="1" applyFont="1" applyFill="1" applyBorder="1" applyAlignment="1">
      <alignment horizontal="center" vertical="center"/>
    </xf>
    <xf numFmtId="0" fontId="13" fillId="4" borderId="7" xfId="5" applyFont="1" applyFill="1" applyBorder="1" applyAlignment="1">
      <alignment horizontal="left" vertical="center"/>
    </xf>
    <xf numFmtId="0" fontId="13" fillId="4" borderId="7" xfId="5" applyFont="1" applyFill="1" applyBorder="1" applyAlignment="1">
      <alignment horizontal="center" vertical="center"/>
    </xf>
    <xf numFmtId="0" fontId="8" fillId="4" borderId="7" xfId="0" applyFont="1" applyFill="1" applyBorder="1" applyAlignment="1" applyProtection="1">
      <alignment horizontal="left" vertical="center"/>
      <protection hidden="1"/>
    </xf>
    <xf numFmtId="0" fontId="8" fillId="4" borderId="28" xfId="0" applyFont="1" applyFill="1" applyBorder="1" applyAlignment="1" applyProtection="1">
      <alignment horizontal="left" vertical="center"/>
      <protection hidden="1"/>
    </xf>
    <xf numFmtId="0" fontId="13" fillId="4" borderId="28" xfId="5" applyFont="1" applyFill="1" applyBorder="1" applyAlignment="1">
      <alignment horizontal="left" vertical="center"/>
    </xf>
    <xf numFmtId="0" fontId="13" fillId="4" borderId="28" xfId="5" applyFont="1" applyFill="1" applyBorder="1" applyAlignment="1">
      <alignment horizontal="center" vertical="center"/>
    </xf>
    <xf numFmtId="165" fontId="13" fillId="4" borderId="28" xfId="5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166" fontId="13" fillId="4" borderId="7" xfId="5" applyNumberFormat="1" applyFont="1" applyFill="1" applyBorder="1" applyAlignment="1">
      <alignment horizontal="center" vertical="center"/>
    </xf>
    <xf numFmtId="166" fontId="13" fillId="4" borderId="28" xfId="5" applyNumberFormat="1" applyFont="1" applyFill="1" applyBorder="1" applyAlignment="1">
      <alignment horizontal="center" vertical="center"/>
    </xf>
    <xf numFmtId="168" fontId="13" fillId="0" borderId="7" xfId="5" applyNumberFormat="1" applyFont="1" applyBorder="1">
      <alignment vertical="center"/>
    </xf>
    <xf numFmtId="168" fontId="13" fillId="0" borderId="28" xfId="5" applyNumberFormat="1" applyFont="1" applyBorder="1">
      <alignment vertical="center"/>
    </xf>
    <xf numFmtId="0" fontId="0" fillId="0" borderId="0" xfId="0" pivotButton="1">
      <alignment vertical="center"/>
    </xf>
    <xf numFmtId="0" fontId="15" fillId="5" borderId="0" xfId="6" applyFill="1">
      <alignment vertical="center"/>
    </xf>
    <xf numFmtId="0" fontId="8" fillId="0" borderId="7" xfId="0" applyFont="1" applyBorder="1" applyAlignment="1" applyProtection="1">
      <alignment horizontal="left" vertical="center"/>
      <protection hidden="1"/>
    </xf>
    <xf numFmtId="0" fontId="8" fillId="0" borderId="28" xfId="0" applyFont="1" applyBorder="1" applyAlignment="1" applyProtection="1">
      <alignment horizontal="left" vertical="center"/>
      <protection hidden="1"/>
    </xf>
    <xf numFmtId="0" fontId="8" fillId="6" borderId="22" xfId="0" applyFont="1" applyFill="1" applyBorder="1" applyAlignment="1" applyProtection="1">
      <alignment horizontal="center" vertical="center" wrapText="1"/>
      <protection hidden="1"/>
    </xf>
    <xf numFmtId="0" fontId="0" fillId="0" borderId="7" xfId="0" applyBorder="1">
      <alignment vertical="center"/>
    </xf>
    <xf numFmtId="0" fontId="0" fillId="0" borderId="32" xfId="0" applyBorder="1">
      <alignment vertical="center"/>
    </xf>
    <xf numFmtId="0" fontId="0" fillId="0" borderId="34" xfId="0" applyBorder="1" applyAlignment="1">
      <alignment horizontal="center" vertical="center"/>
    </xf>
    <xf numFmtId="0" fontId="17" fillId="6" borderId="0" xfId="0" applyFont="1" applyFill="1" applyAlignment="1" applyProtection="1">
      <alignment horizontal="center" vertical="center"/>
      <protection hidden="1"/>
    </xf>
    <xf numFmtId="0" fontId="18" fillId="7" borderId="35" xfId="0" applyFont="1" applyFill="1" applyBorder="1" applyProtection="1">
      <alignment vertical="center"/>
      <protection hidden="1"/>
    </xf>
    <xf numFmtId="0" fontId="18" fillId="7" borderId="36" xfId="0" applyFont="1" applyFill="1" applyBorder="1" applyAlignment="1" applyProtection="1">
      <alignment horizontal="center" vertical="center"/>
      <protection hidden="1"/>
    </xf>
    <xf numFmtId="0" fontId="18" fillId="7" borderId="37" xfId="0" applyFont="1" applyFill="1" applyBorder="1" applyAlignment="1" applyProtection="1">
      <alignment horizontal="center" vertical="center"/>
      <protection hidden="1"/>
    </xf>
    <xf numFmtId="0" fontId="18" fillId="7" borderId="38" xfId="0" applyFont="1" applyFill="1" applyBorder="1" applyAlignment="1" applyProtection="1">
      <alignment horizontal="center" vertical="center"/>
      <protection hidden="1"/>
    </xf>
    <xf numFmtId="0" fontId="18" fillId="8" borderId="39" xfId="0" applyFont="1" applyFill="1" applyBorder="1" applyProtection="1">
      <alignment vertical="center"/>
      <protection hidden="1"/>
    </xf>
    <xf numFmtId="0" fontId="18" fillId="8" borderId="39" xfId="0" applyFont="1" applyFill="1" applyBorder="1" applyAlignment="1" applyProtection="1">
      <alignment horizontal="left" vertical="center"/>
      <protection hidden="1"/>
    </xf>
    <xf numFmtId="0" fontId="18" fillId="8" borderId="42" xfId="0" applyFont="1" applyFill="1" applyBorder="1" applyProtection="1">
      <alignment vertical="center"/>
      <protection hidden="1"/>
    </xf>
    <xf numFmtId="169" fontId="18" fillId="8" borderId="43" xfId="0" applyNumberFormat="1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left" vertical="center"/>
      <protection locked="0"/>
    </xf>
    <xf numFmtId="0" fontId="18" fillId="8" borderId="0" xfId="0" applyFont="1" applyFill="1" applyProtection="1">
      <alignment vertical="center"/>
      <protection hidden="1"/>
    </xf>
    <xf numFmtId="9" fontId="18" fillId="8" borderId="44" xfId="4" applyFont="1" applyFill="1" applyBorder="1" applyAlignment="1" applyProtection="1">
      <alignment horizontal="center" vertical="center"/>
      <protection hidden="1"/>
    </xf>
    <xf numFmtId="9" fontId="18" fillId="8" borderId="45" xfId="4" applyFont="1" applyFill="1" applyBorder="1" applyAlignment="1" applyProtection="1">
      <alignment horizontal="center" vertical="center"/>
      <protection hidden="1"/>
    </xf>
    <xf numFmtId="0" fontId="19" fillId="9" borderId="35" xfId="0" applyFont="1" applyFill="1" applyBorder="1">
      <alignment vertical="center"/>
    </xf>
    <xf numFmtId="0" fontId="18" fillId="8" borderId="46" xfId="0" applyFont="1" applyFill="1" applyBorder="1" applyAlignment="1" applyProtection="1">
      <alignment horizontal="left" vertical="center"/>
      <protection hidden="1"/>
    </xf>
    <xf numFmtId="0" fontId="18" fillId="8" borderId="53" xfId="0" applyFont="1" applyFill="1" applyBorder="1" applyProtection="1">
      <alignment vertical="center"/>
      <protection hidden="1"/>
    </xf>
    <xf numFmtId="169" fontId="18" fillId="8" borderId="0" xfId="0" applyNumberFormat="1" applyFont="1" applyFill="1" applyAlignment="1" applyProtection="1">
      <alignment horizontal="center" vertical="center"/>
      <protection hidden="1"/>
    </xf>
    <xf numFmtId="9" fontId="18" fillId="8" borderId="0" xfId="4" applyFont="1" applyFill="1" applyBorder="1" applyAlignment="1" applyProtection="1">
      <alignment horizontal="center" vertical="center"/>
      <protection hidden="1"/>
    </xf>
    <xf numFmtId="0" fontId="0" fillId="6" borderId="0" xfId="0" applyFill="1" applyAlignment="1">
      <alignment horizontal="center" vertical="center"/>
    </xf>
    <xf numFmtId="0" fontId="16" fillId="0" borderId="0" xfId="0" applyFont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6" xfId="0" applyFill="1" applyBorder="1">
      <alignment vertical="center"/>
    </xf>
    <xf numFmtId="0" fontId="11" fillId="0" borderId="0" xfId="0" applyFont="1" applyProtection="1">
      <alignment vertical="center"/>
      <protection locked="0"/>
    </xf>
    <xf numFmtId="0" fontId="0" fillId="10" borderId="5" xfId="0" applyFill="1" applyBorder="1">
      <alignment vertical="center"/>
    </xf>
    <xf numFmtId="0" fontId="0" fillId="10" borderId="9" xfId="0" applyFill="1" applyBorder="1">
      <alignment vertical="center"/>
    </xf>
    <xf numFmtId="0" fontId="0" fillId="10" borderId="16" xfId="0" applyFill="1" applyBorder="1">
      <alignment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8" fillId="0" borderId="23" xfId="0" applyFont="1" applyBorder="1" applyAlignment="1" applyProtection="1">
      <alignment horizontal="center" vertical="center" wrapText="1"/>
      <protection hidden="1"/>
    </xf>
    <xf numFmtId="170" fontId="13" fillId="0" borderId="26" xfId="5" applyNumberFormat="1" applyFont="1" applyBorder="1">
      <alignment vertical="center"/>
    </xf>
    <xf numFmtId="170" fontId="13" fillId="0" borderId="29" xfId="5" applyNumberFormat="1" applyFont="1" applyBorder="1">
      <alignment vertical="center"/>
    </xf>
    <xf numFmtId="0" fontId="13" fillId="0" borderId="34" xfId="0" applyFont="1" applyBorder="1" applyAlignment="1">
      <alignment horizontal="center" vertical="center" wrapText="1"/>
    </xf>
    <xf numFmtId="0" fontId="13" fillId="0" borderId="7" xfId="0" applyFont="1" applyBorder="1">
      <alignment vertical="center"/>
    </xf>
    <xf numFmtId="0" fontId="13" fillId="0" borderId="32" xfId="0" applyFont="1" applyBorder="1">
      <alignment vertical="center"/>
    </xf>
    <xf numFmtId="171" fontId="17" fillId="8" borderId="40" xfId="0" applyNumberFormat="1" applyFont="1" applyFill="1" applyBorder="1" applyAlignment="1" applyProtection="1">
      <alignment horizontal="right" vertical="center"/>
      <protection hidden="1"/>
    </xf>
    <xf numFmtId="171" fontId="17" fillId="8" borderId="30" xfId="0" applyNumberFormat="1" applyFont="1" applyFill="1" applyBorder="1" applyAlignment="1" applyProtection="1">
      <alignment horizontal="right" vertical="center"/>
      <protection hidden="1"/>
    </xf>
    <xf numFmtId="171" fontId="17" fillId="8" borderId="41" xfId="0" applyNumberFormat="1" applyFont="1" applyFill="1" applyBorder="1" applyAlignment="1" applyProtection="1">
      <alignment horizontal="right" vertical="center"/>
      <protection hidden="1"/>
    </xf>
    <xf numFmtId="171" fontId="17" fillId="8" borderId="47" xfId="0" applyNumberFormat="1" applyFont="1" applyFill="1" applyBorder="1" applyAlignment="1" applyProtection="1">
      <alignment horizontal="right" vertical="center"/>
      <protection hidden="1"/>
    </xf>
    <xf numFmtId="171" fontId="17" fillId="8" borderId="48" xfId="0" applyNumberFormat="1" applyFont="1" applyFill="1" applyBorder="1" applyAlignment="1" applyProtection="1">
      <alignment horizontal="right" vertical="center"/>
      <protection hidden="1"/>
    </xf>
    <xf numFmtId="171" fontId="17" fillId="8" borderId="49" xfId="0" applyNumberFormat="1" applyFont="1" applyFill="1" applyBorder="1" applyAlignment="1" applyProtection="1">
      <alignment horizontal="right" vertical="center"/>
      <protection hidden="1"/>
    </xf>
    <xf numFmtId="171" fontId="18" fillId="8" borderId="50" xfId="0" applyNumberFormat="1" applyFont="1" applyFill="1" applyBorder="1" applyAlignment="1" applyProtection="1">
      <alignment horizontal="right" vertical="center"/>
      <protection hidden="1"/>
    </xf>
    <xf numFmtId="171" fontId="18" fillId="8" borderId="51" xfId="0" applyNumberFormat="1" applyFont="1" applyFill="1" applyBorder="1" applyAlignment="1" applyProtection="1">
      <alignment horizontal="right" vertical="center"/>
      <protection hidden="1"/>
    </xf>
    <xf numFmtId="171" fontId="18" fillId="8" borderId="52" xfId="0" applyNumberFormat="1" applyFont="1" applyFill="1" applyBorder="1" applyAlignment="1" applyProtection="1">
      <alignment horizontal="right" vertical="center"/>
      <protection hidden="1"/>
    </xf>
    <xf numFmtId="171" fontId="0" fillId="0" borderId="0" xfId="0" applyNumberFormat="1" applyAlignment="1">
      <alignment horizontal="right" vertical="center"/>
    </xf>
    <xf numFmtId="0" fontId="20" fillId="11" borderId="62" xfId="0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4" borderId="61" xfId="0" applyFill="1" applyBorder="1" applyAlignment="1">
      <alignment horizontal="center" vertical="center"/>
    </xf>
    <xf numFmtId="0" fontId="0" fillId="4" borderId="54" xfId="0" applyFill="1" applyBorder="1" applyAlignment="1">
      <alignment horizontal="center" vertical="center"/>
    </xf>
    <xf numFmtId="0" fontId="0" fillId="4" borderId="55" xfId="0" applyFill="1" applyBorder="1" applyAlignment="1">
      <alignment horizontal="center" vertical="center"/>
    </xf>
    <xf numFmtId="0" fontId="0" fillId="4" borderId="56" xfId="0" applyFill="1" applyBorder="1" applyAlignment="1">
      <alignment horizontal="center" vertical="center"/>
    </xf>
    <xf numFmtId="0" fontId="0" fillId="4" borderId="57" xfId="0" applyFill="1" applyBorder="1" applyAlignment="1">
      <alignment horizontal="center" vertical="center"/>
    </xf>
    <xf numFmtId="0" fontId="0" fillId="4" borderId="58" xfId="0" applyFill="1" applyBorder="1" applyAlignment="1">
      <alignment horizontal="center" vertical="center"/>
    </xf>
    <xf numFmtId="170" fontId="8" fillId="4" borderId="25" xfId="0" applyNumberFormat="1" applyFont="1" applyFill="1" applyBorder="1" applyAlignment="1" applyProtection="1">
      <alignment horizontal="right" vertical="center"/>
      <protection hidden="1"/>
    </xf>
    <xf numFmtId="170" fontId="8" fillId="4" borderId="31" xfId="0" applyNumberFormat="1" applyFont="1" applyFill="1" applyBorder="1" applyAlignment="1" applyProtection="1">
      <alignment horizontal="right" vertical="center"/>
      <protection hidden="1"/>
    </xf>
    <xf numFmtId="0" fontId="8" fillId="4" borderId="63" xfId="0" applyFont="1" applyFill="1" applyBorder="1" applyAlignment="1" applyProtection="1">
      <alignment horizontal="center" vertical="center"/>
      <protection hidden="1"/>
    </xf>
    <xf numFmtId="0" fontId="8" fillId="4" borderId="25" xfId="0" applyFont="1" applyFill="1" applyBorder="1" applyAlignment="1" applyProtection="1">
      <alignment horizontal="center" vertical="center"/>
      <protection hidden="1"/>
    </xf>
    <xf numFmtId="0" fontId="8" fillId="4" borderId="27" xfId="0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22" fillId="0" borderId="64" xfId="0" applyFont="1" applyBorder="1" applyAlignment="1">
      <alignment horizontal="center" vertical="center"/>
    </xf>
    <xf numFmtId="0" fontId="9" fillId="0" borderId="66" xfId="2" applyFont="1" applyBorder="1" applyAlignment="1">
      <alignment vertical="center"/>
    </xf>
    <xf numFmtId="0" fontId="9" fillId="0" borderId="67" xfId="2" applyFont="1" applyBorder="1" applyAlignment="1">
      <alignment vertical="center"/>
    </xf>
    <xf numFmtId="0" fontId="8" fillId="0" borderId="68" xfId="2" applyFont="1" applyBorder="1" applyAlignment="1">
      <alignment vertical="center"/>
    </xf>
    <xf numFmtId="0" fontId="8" fillId="2" borderId="68" xfId="2" applyFont="1" applyFill="1" applyBorder="1"/>
    <xf numFmtId="0" fontId="20" fillId="11" borderId="0" xfId="0" applyFont="1" applyFill="1" applyAlignment="1">
      <alignment horizontal="center" vertical="center"/>
    </xf>
    <xf numFmtId="176" fontId="8" fillId="4" borderId="7" xfId="3" applyNumberFormat="1" applyFont="1" applyFill="1" applyBorder="1" applyProtection="1">
      <alignment vertical="center"/>
      <protection hidden="1"/>
    </xf>
    <xf numFmtId="176" fontId="8" fillId="4" borderId="28" xfId="3" applyNumberFormat="1" applyFont="1" applyFill="1" applyBorder="1" applyProtection="1">
      <alignment vertical="center"/>
      <protection hidden="1"/>
    </xf>
    <xf numFmtId="0" fontId="8" fillId="3" borderId="33" xfId="0" applyFont="1" applyFill="1" applyBorder="1" applyAlignment="1" applyProtection="1">
      <alignment horizontal="center" vertical="center" wrapText="1"/>
      <protection hidden="1"/>
    </xf>
    <xf numFmtId="0" fontId="8" fillId="12" borderId="22" xfId="0" applyFont="1" applyFill="1" applyBorder="1" applyAlignment="1" applyProtection="1">
      <alignment horizontal="center" vertical="center" wrapText="1"/>
      <protection hidden="1"/>
    </xf>
    <xf numFmtId="177" fontId="0" fillId="0" borderId="0" xfId="0" applyNumberFormat="1">
      <alignment vertical="center"/>
    </xf>
    <xf numFmtId="178" fontId="17" fillId="8" borderId="40" xfId="0" applyNumberFormat="1" applyFont="1" applyFill="1" applyBorder="1" applyAlignment="1" applyProtection="1">
      <alignment horizontal="right" vertical="center"/>
      <protection hidden="1"/>
    </xf>
    <xf numFmtId="178" fontId="17" fillId="8" borderId="30" xfId="0" applyNumberFormat="1" applyFont="1" applyFill="1" applyBorder="1" applyAlignment="1" applyProtection="1">
      <alignment horizontal="right" vertical="center"/>
      <protection hidden="1"/>
    </xf>
    <xf numFmtId="178" fontId="17" fillId="8" borderId="41" xfId="0" applyNumberFormat="1" applyFont="1" applyFill="1" applyBorder="1" applyAlignment="1" applyProtection="1">
      <alignment horizontal="right" vertical="center"/>
      <protection hidden="1"/>
    </xf>
    <xf numFmtId="178" fontId="17" fillId="8" borderId="47" xfId="0" applyNumberFormat="1" applyFont="1" applyFill="1" applyBorder="1" applyAlignment="1" applyProtection="1">
      <alignment horizontal="right" vertical="center"/>
      <protection hidden="1"/>
    </xf>
    <xf numFmtId="178" fontId="17" fillId="8" borderId="48" xfId="0" applyNumberFormat="1" applyFont="1" applyFill="1" applyBorder="1" applyAlignment="1" applyProtection="1">
      <alignment horizontal="right" vertical="center"/>
      <protection hidden="1"/>
    </xf>
    <xf numFmtId="178" fontId="17" fillId="8" borderId="49" xfId="0" applyNumberFormat="1" applyFont="1" applyFill="1" applyBorder="1" applyAlignment="1" applyProtection="1">
      <alignment horizontal="right" vertical="center"/>
      <protection hidden="1"/>
    </xf>
    <xf numFmtId="178" fontId="18" fillId="8" borderId="50" xfId="0" applyNumberFormat="1" applyFont="1" applyFill="1" applyBorder="1" applyAlignment="1" applyProtection="1">
      <alignment horizontal="right" vertical="center"/>
      <protection hidden="1"/>
    </xf>
    <xf numFmtId="178" fontId="18" fillId="8" borderId="51" xfId="0" applyNumberFormat="1" applyFont="1" applyFill="1" applyBorder="1" applyAlignment="1" applyProtection="1">
      <alignment horizontal="right" vertical="center"/>
      <protection hidden="1"/>
    </xf>
    <xf numFmtId="178" fontId="18" fillId="8" borderId="52" xfId="0" applyNumberFormat="1" applyFont="1" applyFill="1" applyBorder="1" applyAlignment="1" applyProtection="1">
      <alignment horizontal="right" vertical="center"/>
      <protection hidden="1"/>
    </xf>
    <xf numFmtId="179" fontId="17" fillId="8" borderId="40" xfId="0" applyNumberFormat="1" applyFont="1" applyFill="1" applyBorder="1" applyAlignment="1" applyProtection="1">
      <alignment horizontal="right" vertical="center"/>
      <protection hidden="1"/>
    </xf>
    <xf numFmtId="179" fontId="17" fillId="8" borderId="30" xfId="0" applyNumberFormat="1" applyFont="1" applyFill="1" applyBorder="1" applyAlignment="1" applyProtection="1">
      <alignment horizontal="right" vertical="center"/>
      <protection hidden="1"/>
    </xf>
    <xf numFmtId="179" fontId="17" fillId="8" borderId="41" xfId="0" applyNumberFormat="1" applyFont="1" applyFill="1" applyBorder="1" applyAlignment="1" applyProtection="1">
      <alignment horizontal="right" vertical="center"/>
      <protection hidden="1"/>
    </xf>
    <xf numFmtId="179" fontId="17" fillId="8" borderId="47" xfId="0" applyNumberFormat="1" applyFont="1" applyFill="1" applyBorder="1" applyAlignment="1" applyProtection="1">
      <alignment horizontal="right" vertical="center"/>
      <protection hidden="1"/>
    </xf>
    <xf numFmtId="179" fontId="17" fillId="8" borderId="48" xfId="0" applyNumberFormat="1" applyFont="1" applyFill="1" applyBorder="1" applyAlignment="1" applyProtection="1">
      <alignment horizontal="right" vertical="center"/>
      <protection hidden="1"/>
    </xf>
    <xf numFmtId="179" fontId="17" fillId="8" borderId="49" xfId="0" applyNumberFormat="1" applyFont="1" applyFill="1" applyBorder="1" applyAlignment="1" applyProtection="1">
      <alignment horizontal="right" vertical="center"/>
      <protection hidden="1"/>
    </xf>
    <xf numFmtId="179" fontId="18" fillId="8" borderId="50" xfId="0" applyNumberFormat="1" applyFont="1" applyFill="1" applyBorder="1" applyAlignment="1" applyProtection="1">
      <alignment horizontal="right" vertical="center"/>
      <protection hidden="1"/>
    </xf>
    <xf numFmtId="179" fontId="18" fillId="8" borderId="51" xfId="0" applyNumberFormat="1" applyFont="1" applyFill="1" applyBorder="1" applyAlignment="1" applyProtection="1">
      <alignment horizontal="right" vertical="center"/>
      <protection hidden="1"/>
    </xf>
    <xf numFmtId="179" fontId="18" fillId="8" borderId="52" xfId="0" applyNumberFormat="1" applyFont="1" applyFill="1" applyBorder="1" applyAlignment="1" applyProtection="1">
      <alignment horizontal="right" vertical="center"/>
      <protection hidden="1"/>
    </xf>
    <xf numFmtId="0" fontId="23" fillId="0" borderId="0" xfId="0" applyFont="1">
      <alignment vertical="center"/>
    </xf>
    <xf numFmtId="0" fontId="8" fillId="0" borderId="1" xfId="9" applyFont="1" applyBorder="1">
      <alignment vertical="center"/>
    </xf>
    <xf numFmtId="0" fontId="25" fillId="0" borderId="0" xfId="0" applyFont="1">
      <alignment vertical="center"/>
    </xf>
    <xf numFmtId="0" fontId="9" fillId="0" borderId="66" xfId="9" applyFont="1" applyBorder="1">
      <alignment vertical="center"/>
    </xf>
    <xf numFmtId="0" fontId="8" fillId="2" borderId="0" xfId="9" applyFont="1" applyFill="1" applyAlignment="1"/>
    <xf numFmtId="0" fontId="26" fillId="3" borderId="0" xfId="0" applyFont="1" applyFill="1" applyAlignment="1">
      <alignment horizontal="center" vertical="center"/>
    </xf>
    <xf numFmtId="0" fontId="27" fillId="2" borderId="0" xfId="1" applyFont="1" applyFill="1" applyAlignment="1">
      <alignment horizontal="center"/>
    </xf>
    <xf numFmtId="0" fontId="0" fillId="0" borderId="0" xfId="0" pivotButton="1" applyAlignment="1">
      <alignment vertical="center"/>
    </xf>
  </cellXfs>
  <cellStyles count="10">
    <cellStyle name="Comma [0] 2" xfId="8" xr:uid="{99294D24-031D-4F83-BB4A-F5AB046B182F}"/>
    <cellStyle name="Normal 2" xfId="7" xr:uid="{41CF0005-D7EE-4E15-BB54-84D6012CC12B}"/>
    <cellStyle name="パーセント" xfId="4" builtinId="5"/>
    <cellStyle name="桁区切り" xfId="3" builtinId="6"/>
    <cellStyle name="標準" xfId="0" builtinId="0"/>
    <cellStyle name="標準 2" xfId="9" xr:uid="{FD4D179B-0C8D-401E-B2E5-8E028D63AE2D}"/>
    <cellStyle name="標準 2 2 2" xfId="2" xr:uid="{8471C60F-5DCE-4FEE-924B-9B9D3B0D89E3}"/>
    <cellStyle name="標準 2 2 2 2 2" xfId="5" xr:uid="{06186685-1293-4574-A506-2C8BAE720779}"/>
    <cellStyle name="標準 2 2 3" xfId="6" xr:uid="{4E2E25DC-6509-4719-B11C-6280C3B39258}"/>
    <cellStyle name="標準 2 4" xfId="1" xr:uid="{2638AAA1-746D-4AD0-8022-8A7BDCDBEB42}"/>
  </cellStyles>
  <dxfs count="16">
    <dxf>
      <numFmt numFmtId="171" formatCode="\$#,##0.0__"/>
    </dxf>
    <dxf>
      <alignment horizontal="right"/>
    </dxf>
    <dxf>
      <numFmt numFmtId="171" formatCode="\$#,##0.0__"/>
    </dxf>
    <dxf>
      <alignment horizontal="general"/>
    </dxf>
    <dxf>
      <alignment horizontal="center"/>
    </dxf>
    <dxf>
      <numFmt numFmtId="177" formatCode="#,##0.00_ "/>
    </dxf>
    <dxf>
      <alignment horizontal="general"/>
    </dxf>
    <dxf>
      <alignment horizontal="center"/>
    </dxf>
    <dxf>
      <numFmt numFmtId="171" formatCode="\$#,##0.0__"/>
    </dxf>
    <dxf>
      <alignment horizontal="center"/>
    </dxf>
    <dxf>
      <alignment horizontal="right"/>
    </dxf>
    <dxf>
      <numFmt numFmtId="180" formatCode="\$#,##0.0;\-\$#,##0.0"/>
    </dxf>
    <dxf>
      <numFmt numFmtId="177" formatCode="#,##0.00_ "/>
    </dxf>
    <dxf>
      <alignment horizontal="center"/>
    </dxf>
    <dxf>
      <fill>
        <patternFill>
          <bgColor rgb="FFFF0000"/>
        </patternFill>
      </fill>
    </dxf>
    <dxf>
      <fill>
        <patternFill>
          <bgColor rgb="FFFF99FF"/>
        </patternFill>
      </fill>
    </dxf>
  </dxfs>
  <tableStyles count="0" defaultTableStyle="TableStyleMedium2" defaultPivotStyle="PivotStyleLight16"/>
  <colors>
    <mruColors>
      <color rgb="FFFF66FF"/>
      <color rgb="FFCCFFFF"/>
      <color rgb="FFFF99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b="1">
                <a:latin typeface="Arial" panose="020B0604020202020204" pitchFamily="34" charset="0"/>
                <a:cs typeface="Arial" panose="020B0604020202020204" pitchFamily="34" charset="0"/>
              </a:rPr>
              <a:t>VR Panel</a:t>
            </a:r>
            <a:r>
              <a:rPr lang="en-GB" b="1" baseline="0">
                <a:latin typeface="Arial" panose="020B0604020202020204" pitchFamily="34" charset="0"/>
                <a:cs typeface="Arial" panose="020B0604020202020204" pitchFamily="34" charset="0"/>
              </a:rPr>
              <a:t> Shipments by Panel Configuration</a:t>
            </a:r>
            <a:endParaRPr lang="en-GB" b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GB"/>
        </a:p>
      </c:txPr>
    </c:title>
    <c:autoTitleDeleted val="0"/>
    <c:plotArea>
      <c:layout>
        <c:manualLayout>
          <c:layoutTarget val="inner"/>
          <c:xMode val="edge"/>
          <c:yMode val="edge"/>
          <c:x val="8.5371000764495289E-2"/>
          <c:y val="7.7014518136209548E-2"/>
          <c:w val="0.89841278427419491"/>
          <c:h val="0.817600082182548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VR_Panel_Shipments!$D$571</c:f>
              <c:strCache>
                <c:ptCount val="1"/>
                <c:pt idx="0">
                  <c:v>1x AMOLED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VR_Panel_Shipments!$E$571:$L$571</c:f>
            </c:numRef>
          </c:val>
          <c:extLst>
            <c:ext xmlns:c16="http://schemas.microsoft.com/office/drawing/2014/chart" uri="{C3380CC4-5D6E-409C-BE32-E72D297353CC}">
              <c16:uniqueId val="{00000000-292C-4034-9455-C3B9822BBDC5}"/>
            </c:ext>
          </c:extLst>
        </c:ser>
        <c:ser>
          <c:idx val="1"/>
          <c:order val="1"/>
          <c:tx>
            <c:strRef>
              <c:f>VR_Panel_Shipments!$D$572</c:f>
              <c:strCache>
                <c:ptCount val="1"/>
                <c:pt idx="0">
                  <c:v>1x LCD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VR_Panel_Shipments!$E$570:$L$570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VR_Panel_Shipments!$E$572:$L$572</c:f>
              <c:numCache>
                <c:formatCode>#,##0.00__</c:formatCode>
                <c:ptCount val="8"/>
                <c:pt idx="0">
                  <c:v>6.6660000000000013</c:v>
                </c:pt>
                <c:pt idx="1">
                  <c:v>1.8620030000000003</c:v>
                </c:pt>
                <c:pt idx="2">
                  <c:v>2.8341850000000002</c:v>
                </c:pt>
                <c:pt idx="3">
                  <c:v>2.677</c:v>
                </c:pt>
                <c:pt idx="4">
                  <c:v>1.6500000000000001</c:v>
                </c:pt>
                <c:pt idx="5">
                  <c:v>1.155</c:v>
                </c:pt>
                <c:pt idx="6">
                  <c:v>0.9900000000000001</c:v>
                </c:pt>
                <c:pt idx="7">
                  <c:v>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2C-4034-9455-C3B9822BBDC5}"/>
            </c:ext>
          </c:extLst>
        </c:ser>
        <c:ser>
          <c:idx val="2"/>
          <c:order val="2"/>
          <c:tx>
            <c:strRef>
              <c:f>VR_Panel_Shipments!$D$573</c:f>
              <c:strCache>
                <c:ptCount val="1"/>
                <c:pt idx="0">
                  <c:v>2x AMOLED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VR_Panel_Shipments!$E$570:$L$570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VR_Panel_Shipments!$E$573:$L$573</c:f>
              <c:numCache>
                <c:formatCode>#,##0.00__</c:formatCode>
                <c:ptCount val="8"/>
                <c:pt idx="0">
                  <c:v>3.2</c:v>
                </c:pt>
                <c:pt idx="1">
                  <c:v>1.7</c:v>
                </c:pt>
                <c:pt idx="2">
                  <c:v>0</c:v>
                </c:pt>
                <c:pt idx="3">
                  <c:v>0</c:v>
                </c:pt>
                <c:pt idx="4">
                  <c:v>8.7999999999999995E-2</c:v>
                </c:pt>
                <c:pt idx="5">
                  <c:v>1.2100000000000002</c:v>
                </c:pt>
                <c:pt idx="6">
                  <c:v>2.6399999999999997</c:v>
                </c:pt>
                <c:pt idx="7">
                  <c:v>2.8600000000000003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2C-4034-9455-C3B9822BBDC5}"/>
            </c:ext>
          </c:extLst>
        </c:ser>
        <c:ser>
          <c:idx val="3"/>
          <c:order val="3"/>
          <c:tx>
            <c:strRef>
              <c:f>VR_Panel_Shipments!$D$574</c:f>
              <c:strCache>
                <c:ptCount val="1"/>
                <c:pt idx="0">
                  <c:v>2x LCD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VR_Panel_Shipments!$E$570:$L$570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VR_Panel_Shipments!$E$574:$L$574</c:f>
              <c:numCache>
                <c:formatCode>#,##0.00__</c:formatCode>
                <c:ptCount val="8"/>
                <c:pt idx="0">
                  <c:v>0.71059999999999979</c:v>
                </c:pt>
                <c:pt idx="1">
                  <c:v>6.9785100000000009</c:v>
                </c:pt>
                <c:pt idx="2">
                  <c:v>3.8025899999999995</c:v>
                </c:pt>
                <c:pt idx="3">
                  <c:v>3.1245000000000003</c:v>
                </c:pt>
                <c:pt idx="4">
                  <c:v>6.3360000000000003</c:v>
                </c:pt>
                <c:pt idx="5">
                  <c:v>9.8999999999999986</c:v>
                </c:pt>
                <c:pt idx="6">
                  <c:v>8.8000000000000007</c:v>
                </c:pt>
                <c:pt idx="7">
                  <c:v>9.68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2C-4034-9455-C3B9822BBDC5}"/>
            </c:ext>
          </c:extLst>
        </c:ser>
        <c:ser>
          <c:idx val="4"/>
          <c:order val="4"/>
          <c:tx>
            <c:strRef>
              <c:f>VR_Panel_Shipments!$D$575</c:f>
              <c:strCache>
                <c:ptCount val="1"/>
                <c:pt idx="0">
                  <c:v>2x SiOLED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VR_Panel_Shipments!$E$570:$L$570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VR_Panel_Shipments!$E$575:$L$575</c:f>
              <c:numCache>
                <c:formatCode>#,##0.00__</c:formatCode>
                <c:ptCount val="8"/>
                <c:pt idx="0">
                  <c:v>4.4000000000000003E-3</c:v>
                </c:pt>
                <c:pt idx="1">
                  <c:v>0.43603299999999995</c:v>
                </c:pt>
                <c:pt idx="2">
                  <c:v>0.83635599999999999</c:v>
                </c:pt>
                <c:pt idx="3">
                  <c:v>0.28049999999999997</c:v>
                </c:pt>
                <c:pt idx="4">
                  <c:v>1.0780000000000001</c:v>
                </c:pt>
                <c:pt idx="5">
                  <c:v>5.1479999999999997</c:v>
                </c:pt>
                <c:pt idx="6">
                  <c:v>5.9399999999999995</c:v>
                </c:pt>
                <c:pt idx="7">
                  <c:v>9.4599999999999991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2C-4034-9455-C3B9822BBDC5}"/>
            </c:ext>
          </c:extLst>
        </c:ser>
        <c:ser>
          <c:idx val="5"/>
          <c:order val="5"/>
          <c:tx>
            <c:strRef>
              <c:f>VR_Panel_Shipments!$D$576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VR_Panel_Shipments!$E$570:$L$570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VR_Panel_Shipments!$E$576:$L$576</c:f>
            </c:numRef>
          </c:val>
          <c:extLst>
            <c:ext xmlns:c16="http://schemas.microsoft.com/office/drawing/2014/chart" uri="{C3380CC4-5D6E-409C-BE32-E72D297353CC}">
              <c16:uniqueId val="{00000000-56D8-47EE-8A21-3C02424D71D5}"/>
            </c:ext>
          </c:extLst>
        </c:ser>
        <c:ser>
          <c:idx val="6"/>
          <c:order val="6"/>
          <c:tx>
            <c:strRef>
              <c:f>VR_Panel_Shipments!$D$577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VR_Panel_Shipments!$E$570:$L$570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VR_Panel_Shipments!$E$577:$L$577</c:f>
            </c:numRef>
          </c:val>
          <c:extLst>
            <c:ext xmlns:c16="http://schemas.microsoft.com/office/drawing/2014/chart" uri="{C3380CC4-5D6E-409C-BE32-E72D297353CC}">
              <c16:uniqueId val="{00000001-56D8-47EE-8A21-3C02424D71D5}"/>
            </c:ext>
          </c:extLst>
        </c:ser>
        <c:ser>
          <c:idx val="7"/>
          <c:order val="7"/>
          <c:tx>
            <c:strRef>
              <c:f>VR_Panel_Shipments!$D$578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VR_Panel_Shipments!$E$570:$L$570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VR_Panel_Shipments!$E$578:$L$578</c:f>
            </c:numRef>
          </c:val>
          <c:extLst>
            <c:ext xmlns:c16="http://schemas.microsoft.com/office/drawing/2014/chart" uri="{C3380CC4-5D6E-409C-BE32-E72D297353CC}">
              <c16:uniqueId val="{00000002-56D8-47EE-8A21-3C02424D71D5}"/>
            </c:ext>
          </c:extLst>
        </c:ser>
        <c:ser>
          <c:idx val="8"/>
          <c:order val="8"/>
          <c:tx>
            <c:strRef>
              <c:f>VR_Panel_Shipments!$D$579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VR_Panel_Shipments!$E$570:$L$570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VR_Panel_Shipments!$E$579:$L$579</c:f>
            </c:numRef>
          </c:val>
          <c:extLst>
            <c:ext xmlns:c16="http://schemas.microsoft.com/office/drawing/2014/chart" uri="{C3380CC4-5D6E-409C-BE32-E72D297353CC}">
              <c16:uniqueId val="{00000003-56D8-47EE-8A21-3C02424D71D5}"/>
            </c:ext>
          </c:extLst>
        </c:ser>
        <c:ser>
          <c:idx val="9"/>
          <c:order val="9"/>
          <c:tx>
            <c:strRef>
              <c:f>VR_Panel_Shipments!$D$580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VR_Panel_Shipments!$E$570:$L$570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VR_Panel_Shipments!$E$580:$L$580</c:f>
            </c:numRef>
          </c:val>
          <c:extLst>
            <c:ext xmlns:c16="http://schemas.microsoft.com/office/drawing/2014/chart" uri="{C3380CC4-5D6E-409C-BE32-E72D297353CC}">
              <c16:uniqueId val="{00000004-56D8-47EE-8A21-3C02424D7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7757007"/>
        <c:axId val="977754095"/>
      </c:barChart>
      <c:catAx>
        <c:axId val="977757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977754095"/>
        <c:crosses val="autoZero"/>
        <c:auto val="1"/>
        <c:lblAlgn val="ctr"/>
        <c:lblOffset val="100"/>
        <c:noMultiLvlLbl val="0"/>
      </c:catAx>
      <c:valAx>
        <c:axId val="97775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altLang="ja-JP" sz="1100">
                    <a:latin typeface="Arial" panose="020B0604020202020204" pitchFamily="34" charset="0"/>
                    <a:cs typeface="Arial" panose="020B0604020202020204" pitchFamily="34" charset="0"/>
                  </a:rPr>
                  <a:t>Mllions</a:t>
                </a:r>
              </a:p>
            </c:rich>
          </c:tx>
          <c:layout>
            <c:manualLayout>
              <c:xMode val="edge"/>
              <c:yMode val="edge"/>
              <c:x val="1.3267812241071621E-2"/>
              <c:y val="0.443062819122433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ja-JP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97775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38850843025799"/>
          <c:y val="0.94168819090918587"/>
          <c:w val="0.4731019824930342"/>
          <c:h val="4.38345988226342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/>
          </a:solidFill>
          <a:round/>
        </a14:hiddenLine>
      </a:ext>
    </a:ex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VR_Panel_Revenues!$D$4</c:f>
          <c:strCache>
            <c:ptCount val="1"/>
            <c:pt idx="0">
              <c:v>VR Panel Revenues by Panel Configuration ($ Millions)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043242388651944"/>
          <c:y val="7.7014518136209548E-2"/>
          <c:w val="0.87335136115217082"/>
          <c:h val="0.8019422303593702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VR_Panel_Revenues!$D$571</c:f>
              <c:strCache>
                <c:ptCount val="1"/>
                <c:pt idx="0">
                  <c:v>1x AMOLED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VR_Panel_Revenues!$E$570:$L$570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VR_Panel_Revenues!$E$571:$L$571</c:f>
            </c:numRef>
          </c:val>
          <c:extLst>
            <c:ext xmlns:c16="http://schemas.microsoft.com/office/drawing/2014/chart" uri="{C3380CC4-5D6E-409C-BE32-E72D297353CC}">
              <c16:uniqueId val="{00000000-6333-4987-8384-02856B095E6C}"/>
            </c:ext>
          </c:extLst>
        </c:ser>
        <c:ser>
          <c:idx val="1"/>
          <c:order val="1"/>
          <c:tx>
            <c:strRef>
              <c:f>VR_Panel_Revenues!$D$572</c:f>
              <c:strCache>
                <c:ptCount val="1"/>
                <c:pt idx="0">
                  <c:v>1x LCD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VR_Panel_Revenues!$E$570:$L$570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VR_Panel_Revenues!$E$572:$L$572</c:f>
              <c:numCache>
                <c:formatCode>"$"#,##0.0</c:formatCode>
                <c:ptCount val="8"/>
                <c:pt idx="0">
                  <c:v>376.43915231999989</c:v>
                </c:pt>
                <c:pt idx="1">
                  <c:v>103.04713686146877</c:v>
                </c:pt>
                <c:pt idx="2">
                  <c:v>153.09167159559647</c:v>
                </c:pt>
                <c:pt idx="3">
                  <c:v>144.48500000000001</c:v>
                </c:pt>
                <c:pt idx="4">
                  <c:v>85.944427791425255</c:v>
                </c:pt>
                <c:pt idx="5">
                  <c:v>58.957877464917729</c:v>
                </c:pt>
                <c:pt idx="6">
                  <c:v>49.524617070530894</c:v>
                </c:pt>
                <c:pt idx="7">
                  <c:v>43.12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33-4987-8384-02856B095E6C}"/>
            </c:ext>
          </c:extLst>
        </c:ser>
        <c:ser>
          <c:idx val="2"/>
          <c:order val="2"/>
          <c:tx>
            <c:strRef>
              <c:f>VR_Panel_Revenues!$D$573</c:f>
              <c:strCache>
                <c:ptCount val="1"/>
                <c:pt idx="0">
                  <c:v>2x AMOLED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VR_Panel_Revenues!$E$570:$L$570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VR_Panel_Revenues!$E$573:$L$573</c:f>
              <c:numCache>
                <c:formatCode>"$"#,##0.0</c:formatCode>
                <c:ptCount val="8"/>
                <c:pt idx="0">
                  <c:v>156.024</c:v>
                </c:pt>
                <c:pt idx="1">
                  <c:v>80.001319999999993</c:v>
                </c:pt>
                <c:pt idx="2">
                  <c:v>0</c:v>
                </c:pt>
                <c:pt idx="3">
                  <c:v>0</c:v>
                </c:pt>
                <c:pt idx="4">
                  <c:v>3.4628422212676191</c:v>
                </c:pt>
                <c:pt idx="5">
                  <c:v>44.820874338991757</c:v>
                </c:pt>
                <c:pt idx="6">
                  <c:v>92.054241264574003</c:v>
                </c:pt>
                <c:pt idx="7">
                  <c:v>93.875190437595279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33-4987-8384-02856B095E6C}"/>
            </c:ext>
          </c:extLst>
        </c:ser>
        <c:ser>
          <c:idx val="3"/>
          <c:order val="3"/>
          <c:tx>
            <c:strRef>
              <c:f>VR_Panel_Revenues!$D$574</c:f>
              <c:strCache>
                <c:ptCount val="1"/>
                <c:pt idx="0">
                  <c:v>2x LCD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VR_Panel_Revenues!$E$570:$L$570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VR_Panel_Revenues!$E$574:$L$574</c:f>
              <c:numCache>
                <c:formatCode>"$"#,##0.0</c:formatCode>
                <c:ptCount val="8"/>
                <c:pt idx="0">
                  <c:v>26.752441407999999</c:v>
                </c:pt>
                <c:pt idx="1">
                  <c:v>257.65754145964797</c:v>
                </c:pt>
                <c:pt idx="2">
                  <c:v>137.66597936182657</c:v>
                </c:pt>
                <c:pt idx="3">
                  <c:v>110.76149652229634</c:v>
                </c:pt>
                <c:pt idx="4">
                  <c:v>220.01773514604872</c:v>
                </c:pt>
                <c:pt idx="5">
                  <c:v>336.90215694238708</c:v>
                </c:pt>
                <c:pt idx="6">
                  <c:v>293.47921226981276</c:v>
                </c:pt>
                <c:pt idx="7">
                  <c:v>309.76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33-4987-8384-02856B095E6C}"/>
            </c:ext>
          </c:extLst>
        </c:ser>
        <c:ser>
          <c:idx val="4"/>
          <c:order val="4"/>
          <c:tx>
            <c:strRef>
              <c:f>VR_Panel_Revenues!$D$575</c:f>
              <c:strCache>
                <c:ptCount val="1"/>
                <c:pt idx="0">
                  <c:v>2x SiOLED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VR_Panel_Revenues!$E$570:$L$570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VR_Panel_Revenues!$E$575:$L$575</c:f>
              <c:numCache>
                <c:formatCode>"$"#,##0.0</c:formatCode>
                <c:ptCount val="8"/>
                <c:pt idx="0">
                  <c:v>0.88208999999999993</c:v>
                </c:pt>
                <c:pt idx="1">
                  <c:v>107.58332453999999</c:v>
                </c:pt>
                <c:pt idx="2">
                  <c:v>176.78113192959995</c:v>
                </c:pt>
                <c:pt idx="3">
                  <c:v>38.370000000000005</c:v>
                </c:pt>
                <c:pt idx="4">
                  <c:v>140.14000000000001</c:v>
                </c:pt>
                <c:pt idx="5">
                  <c:v>625.31673684480018</c:v>
                </c:pt>
                <c:pt idx="6">
                  <c:v>634.93699433472011</c:v>
                </c:pt>
                <c:pt idx="7">
                  <c:v>910.07635854643195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33-4987-8384-02856B095E6C}"/>
            </c:ext>
          </c:extLst>
        </c:ser>
        <c:ser>
          <c:idx val="5"/>
          <c:order val="5"/>
          <c:tx>
            <c:strRef>
              <c:f>VR_Panel_Revenues!$D$576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VR_Panel_Revenues!$E$570:$L$570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VR_Panel_Revenues!$E$576:$L$576</c:f>
            </c:numRef>
          </c:val>
          <c:extLst>
            <c:ext xmlns:c16="http://schemas.microsoft.com/office/drawing/2014/chart" uri="{C3380CC4-5D6E-409C-BE32-E72D297353CC}">
              <c16:uniqueId val="{00000005-647F-4945-BAF8-E65F8FBFB8C5}"/>
            </c:ext>
          </c:extLst>
        </c:ser>
        <c:ser>
          <c:idx val="6"/>
          <c:order val="6"/>
          <c:tx>
            <c:strRef>
              <c:f>VR_Panel_Revenues!$D$577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VR_Panel_Revenues!$E$570:$L$570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VR_Panel_Revenues!$E$577:$L$577</c:f>
            </c:numRef>
          </c:val>
          <c:extLst>
            <c:ext xmlns:c16="http://schemas.microsoft.com/office/drawing/2014/chart" uri="{C3380CC4-5D6E-409C-BE32-E72D297353CC}">
              <c16:uniqueId val="{00000006-647F-4945-BAF8-E65F8FBFB8C5}"/>
            </c:ext>
          </c:extLst>
        </c:ser>
        <c:ser>
          <c:idx val="7"/>
          <c:order val="7"/>
          <c:tx>
            <c:strRef>
              <c:f>VR_Panel_Revenues!$D$578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VR_Panel_Revenues!$E$570:$L$570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VR_Panel_Revenues!$E$578:$L$578</c:f>
            </c:numRef>
          </c:val>
          <c:extLst>
            <c:ext xmlns:c16="http://schemas.microsoft.com/office/drawing/2014/chart" uri="{C3380CC4-5D6E-409C-BE32-E72D297353CC}">
              <c16:uniqueId val="{00000007-647F-4945-BAF8-E65F8FBFB8C5}"/>
            </c:ext>
          </c:extLst>
        </c:ser>
        <c:ser>
          <c:idx val="8"/>
          <c:order val="8"/>
          <c:tx>
            <c:strRef>
              <c:f>VR_Panel_Revenues!$D$579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VR_Panel_Revenues!$E$570:$L$570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VR_Panel_Revenues!$E$579:$L$579</c:f>
            </c:numRef>
          </c:val>
          <c:extLst>
            <c:ext xmlns:c16="http://schemas.microsoft.com/office/drawing/2014/chart" uri="{C3380CC4-5D6E-409C-BE32-E72D297353CC}">
              <c16:uniqueId val="{00000008-647F-4945-BAF8-E65F8FBFB8C5}"/>
            </c:ext>
          </c:extLst>
        </c:ser>
        <c:ser>
          <c:idx val="9"/>
          <c:order val="9"/>
          <c:tx>
            <c:strRef>
              <c:f>VR_Panel_Revenues!$D$580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VR_Panel_Revenues!$E$570:$L$570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VR_Panel_Revenues!$E$580:$L$580</c:f>
            </c:numRef>
          </c:val>
          <c:extLst>
            <c:ext xmlns:c16="http://schemas.microsoft.com/office/drawing/2014/chart" uri="{C3380CC4-5D6E-409C-BE32-E72D297353CC}">
              <c16:uniqueId val="{00000009-647F-4945-BAF8-E65F8FBFB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7757007"/>
        <c:axId val="977754095"/>
      </c:barChart>
      <c:catAx>
        <c:axId val="977757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977754095"/>
        <c:crosses val="autoZero"/>
        <c:auto val="1"/>
        <c:lblAlgn val="ctr"/>
        <c:lblOffset val="100"/>
        <c:noMultiLvlLbl val="0"/>
      </c:catAx>
      <c:valAx>
        <c:axId val="97775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altLang="ja-JP" sz="1100">
                    <a:latin typeface="Arial" panose="020B0604020202020204" pitchFamily="34" charset="0"/>
                    <a:cs typeface="Arial" panose="020B0604020202020204" pitchFamily="34" charset="0"/>
                  </a:rPr>
                  <a:t>$ Mllions</a:t>
                </a:r>
              </a:p>
            </c:rich>
          </c:tx>
          <c:layout>
            <c:manualLayout>
              <c:xMode val="edge"/>
              <c:yMode val="edge"/>
              <c:x val="1.3267812241071621E-2"/>
              <c:y val="0.443062819122433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ja-JP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97775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309550864574128"/>
          <c:y val="0.93693278839100225"/>
          <c:w val="0.48200644393204189"/>
          <c:h val="4.74093663504275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/>
          </a:solidFill>
          <a:round/>
        </a14:hiddenLine>
      </a:ext>
    </a:ex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b="1">
                <a:latin typeface="Arial" panose="020B0604020202020204" pitchFamily="34" charset="0"/>
                <a:cs typeface="Arial" panose="020B0604020202020204" pitchFamily="34" charset="0"/>
              </a:rPr>
              <a:t>AR Display Engine </a:t>
            </a:r>
            <a:r>
              <a:rPr lang="en-GB" b="1" baseline="0">
                <a:latin typeface="Arial" panose="020B0604020202020204" pitchFamily="34" charset="0"/>
                <a:cs typeface="Arial" panose="020B0604020202020204" pitchFamily="34" charset="0"/>
              </a:rPr>
              <a:t>Shipments by Panel Configuration</a:t>
            </a:r>
            <a:endParaRPr lang="en-GB" b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GB"/>
        </a:p>
      </c:txPr>
    </c:title>
    <c:autoTitleDeleted val="0"/>
    <c:plotArea>
      <c:layout>
        <c:manualLayout>
          <c:layoutTarget val="inner"/>
          <c:xMode val="edge"/>
          <c:yMode val="edge"/>
          <c:x val="8.5371000764495289E-2"/>
          <c:y val="7.7014518136209548E-2"/>
          <c:w val="0.89841278427419491"/>
          <c:h val="0.795872388565611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AR_Panel_Shipments!$D$571</c:f>
              <c:strCache>
                <c:ptCount val="1"/>
                <c:pt idx="0">
                  <c:v>1x DLP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AR_Panel_Shipments!$E$571:$L$571</c:f>
              <c:numCache>
                <c:formatCode>#,##0.00__</c:formatCode>
                <c:ptCount val="8"/>
                <c:pt idx="0">
                  <c:v>2.7520000000000001E-3</c:v>
                </c:pt>
                <c:pt idx="1">
                  <c:v>7.0399999999999998E-4</c:v>
                </c:pt>
                <c:pt idx="2">
                  <c:v>4.4000000000000002E-4</c:v>
                </c:pt>
                <c:pt idx="3">
                  <c:v>4.4000000000000002E-4</c:v>
                </c:pt>
                <c:pt idx="4">
                  <c:v>4.4000000000000002E-4</c:v>
                </c:pt>
                <c:pt idx="5">
                  <c:v>4.4000000000000002E-4</c:v>
                </c:pt>
                <c:pt idx="6">
                  <c:v>4.4000000000000002E-4</c:v>
                </c:pt>
                <c:pt idx="7">
                  <c:v>4.4000000000000002E-4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6-46C6-8FDA-9D82753FDC8F}"/>
            </c:ext>
          </c:extLst>
        </c:ser>
        <c:ser>
          <c:idx val="1"/>
          <c:order val="1"/>
          <c:tx>
            <c:strRef>
              <c:f>AR_Panel_Shipments!$D$572</c:f>
              <c:strCache>
                <c:ptCount val="1"/>
                <c:pt idx="0">
                  <c:v>1x LCoS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AR_Panel_Shipments!$E$572:$L$572</c:f>
              <c:numCache>
                <c:formatCode>#,##0.00__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0.15500000000000003</c:v>
                </c:pt>
                <c:pt idx="4">
                  <c:v>0.24199999999999999</c:v>
                </c:pt>
                <c:pt idx="5">
                  <c:v>0.36849999999999994</c:v>
                </c:pt>
                <c:pt idx="6">
                  <c:v>0.495</c:v>
                </c:pt>
                <c:pt idx="7">
                  <c:v>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46-46C6-8FDA-9D82753FDC8F}"/>
            </c:ext>
          </c:extLst>
        </c:ser>
        <c:ser>
          <c:idx val="2"/>
          <c:order val="2"/>
          <c:tx>
            <c:strRef>
              <c:f>AR_Panel_Shipments!$D$573</c:f>
              <c:strCache>
                <c:ptCount val="1"/>
                <c:pt idx="0">
                  <c:v>1x Micro LCD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AR_Panel_Shipments!$E$573:$L$573</c:f>
              <c:numCache>
                <c:formatCode>#,##0.00__</c:formatCode>
                <c:ptCount val="8"/>
                <c:pt idx="0">
                  <c:v>1.2652E-2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46-46C6-8FDA-9D82753FDC8F}"/>
            </c:ext>
          </c:extLst>
        </c:ser>
        <c:ser>
          <c:idx val="3"/>
          <c:order val="3"/>
          <c:tx>
            <c:strRef>
              <c:f>AR_Panel_Shipments!$D$574</c:f>
              <c:strCache>
                <c:ptCount val="1"/>
                <c:pt idx="0">
                  <c:v>1x MicroLED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AR_Panel_Shipments!$E$574:$L$574</c:f>
              <c:numCache>
                <c:formatCode>#,##0.00__</c:formatCode>
                <c:ptCount val="8"/>
                <c:pt idx="0">
                  <c:v>3.3039999999999996E-3</c:v>
                </c:pt>
                <c:pt idx="1">
                  <c:v>3.0469999999999997E-2</c:v>
                </c:pt>
                <c:pt idx="2">
                  <c:v>3.9539999999999999E-2</c:v>
                </c:pt>
                <c:pt idx="3">
                  <c:v>0.21130000000000002</c:v>
                </c:pt>
                <c:pt idx="4">
                  <c:v>0.20349999999999999</c:v>
                </c:pt>
                <c:pt idx="5">
                  <c:v>0.70400000000000007</c:v>
                </c:pt>
                <c:pt idx="6">
                  <c:v>1.0230000000000001</c:v>
                </c:pt>
                <c:pt idx="7">
                  <c:v>1.3529999999999998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46-46C6-8FDA-9D82753FDC8F}"/>
            </c:ext>
          </c:extLst>
        </c:ser>
        <c:ser>
          <c:idx val="4"/>
          <c:order val="4"/>
          <c:tx>
            <c:strRef>
              <c:f>AR_Panel_Shipments!$D$575</c:f>
              <c:strCache>
                <c:ptCount val="1"/>
                <c:pt idx="0">
                  <c:v>2x LBS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AR_Panel_Shipments!$E$575:$L$575</c:f>
              <c:numCache>
                <c:formatCode>#,##0.00__</c:formatCode>
                <c:ptCount val="8"/>
                <c:pt idx="0">
                  <c:v>3.0799999999999998E-2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46-46C6-8FDA-9D82753FDC8F}"/>
            </c:ext>
          </c:extLst>
        </c:ser>
        <c:ser>
          <c:idx val="5"/>
          <c:order val="5"/>
          <c:tx>
            <c:strRef>
              <c:f>AR_Panel_Shipments!$D$576</c:f>
              <c:strCache>
                <c:ptCount val="1"/>
                <c:pt idx="0">
                  <c:v>2x LCoS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AR_Panel_Shipments!$E$576:$L$576</c:f>
              <c:numCache>
                <c:formatCode>#,##0.00__</c:formatCode>
                <c:ptCount val="8"/>
                <c:pt idx="0">
                  <c:v>3.8500000000000006E-2</c:v>
                </c:pt>
                <c:pt idx="1">
                  <c:v>2.1164000000000002E-2</c:v>
                </c:pt>
                <c:pt idx="2">
                  <c:v>4.8400000000000006E-3</c:v>
                </c:pt>
                <c:pt idx="3">
                  <c:v>3.5199999999999995E-2</c:v>
                </c:pt>
                <c:pt idx="4">
                  <c:v>0.187</c:v>
                </c:pt>
                <c:pt idx="5">
                  <c:v>0.187</c:v>
                </c:pt>
                <c:pt idx="6">
                  <c:v>1.056</c:v>
                </c:pt>
                <c:pt idx="7">
                  <c:v>1.232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6D-41F3-A990-08A08F07DCC0}"/>
            </c:ext>
          </c:extLst>
        </c:ser>
        <c:ser>
          <c:idx val="6"/>
          <c:order val="6"/>
          <c:tx>
            <c:strRef>
              <c:f>AR_Panel_Shipments!$D$577</c:f>
              <c:strCache>
                <c:ptCount val="1"/>
                <c:pt idx="0">
                  <c:v>2x MicroLED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AR_Panel_Shipments!$E$577:$L$577</c:f>
              <c:numCache>
                <c:formatCode>#,##0.00__</c:formatCode>
                <c:ptCount val="8"/>
                <c:pt idx="0">
                  <c:v>3.3000000000000004E-3</c:v>
                </c:pt>
                <c:pt idx="1">
                  <c:v>3.0590000000000003E-2</c:v>
                </c:pt>
                <c:pt idx="2">
                  <c:v>4.9373999999999994E-2</c:v>
                </c:pt>
                <c:pt idx="3">
                  <c:v>0.154</c:v>
                </c:pt>
                <c:pt idx="4">
                  <c:v>0.19359999999999999</c:v>
                </c:pt>
                <c:pt idx="5">
                  <c:v>0.30139999999999995</c:v>
                </c:pt>
                <c:pt idx="6">
                  <c:v>0.70399999999999996</c:v>
                </c:pt>
                <c:pt idx="7">
                  <c:v>1.232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6D-41F3-A990-08A08F07DCC0}"/>
            </c:ext>
          </c:extLst>
        </c:ser>
        <c:ser>
          <c:idx val="7"/>
          <c:order val="7"/>
          <c:tx>
            <c:strRef>
              <c:f>AR_Panel_Shipments!$D$578</c:f>
              <c:strCache>
                <c:ptCount val="1"/>
                <c:pt idx="0">
                  <c:v>2x SiOLED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AR_Panel_Shipments!$E$578:$L$578</c:f>
              <c:numCache>
                <c:formatCode>#,##0.00__</c:formatCode>
                <c:ptCount val="8"/>
                <c:pt idx="0">
                  <c:v>0.57310000000000005</c:v>
                </c:pt>
                <c:pt idx="1">
                  <c:v>0.91990799999999995</c:v>
                </c:pt>
                <c:pt idx="2">
                  <c:v>0.74805200000000016</c:v>
                </c:pt>
                <c:pt idx="3">
                  <c:v>1.3280000000000001</c:v>
                </c:pt>
                <c:pt idx="4">
                  <c:v>1.6500000000000001</c:v>
                </c:pt>
                <c:pt idx="5">
                  <c:v>2.1669999999999998</c:v>
                </c:pt>
                <c:pt idx="6">
                  <c:v>3.1240000000000001</c:v>
                </c:pt>
                <c:pt idx="7">
                  <c:v>4.4219999999999997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6D-41F3-A990-08A08F07DCC0}"/>
            </c:ext>
          </c:extLst>
        </c:ser>
        <c:ser>
          <c:idx val="8"/>
          <c:order val="8"/>
          <c:tx>
            <c:strRef>
              <c:f>AR_Panel_Shipments!$D$579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AR_Panel_Shipments!$E$579:$L$579</c:f>
            </c:numRef>
          </c:val>
          <c:extLst>
            <c:ext xmlns:c16="http://schemas.microsoft.com/office/drawing/2014/chart" uri="{C3380CC4-5D6E-409C-BE32-E72D297353CC}">
              <c16:uniqueId val="{00000004-C36D-41F3-A990-08A08F07DCC0}"/>
            </c:ext>
          </c:extLst>
        </c:ser>
        <c:ser>
          <c:idx val="9"/>
          <c:order val="9"/>
          <c:tx>
            <c:strRef>
              <c:f>AR_Panel_Shipments!$D$580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AR_Panel_Shipments!$E$570:$L$570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AR_Panel_Shipments!$E$580:$L$580</c:f>
            </c:numRef>
          </c:val>
          <c:extLst>
            <c:ext xmlns:c16="http://schemas.microsoft.com/office/drawing/2014/chart" uri="{C3380CC4-5D6E-409C-BE32-E72D297353CC}">
              <c16:uniqueId val="{00000005-C36D-41F3-A990-08A08F07D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7757007"/>
        <c:axId val="977754095"/>
      </c:barChart>
      <c:catAx>
        <c:axId val="977757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977754095"/>
        <c:crosses val="autoZero"/>
        <c:auto val="1"/>
        <c:lblAlgn val="ctr"/>
        <c:lblOffset val="100"/>
        <c:noMultiLvlLbl val="0"/>
      </c:catAx>
      <c:valAx>
        <c:axId val="97775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altLang="ja-JP" sz="1100">
                    <a:latin typeface="Arial" panose="020B0604020202020204" pitchFamily="34" charset="0"/>
                    <a:cs typeface="Arial" panose="020B0604020202020204" pitchFamily="34" charset="0"/>
                  </a:rPr>
                  <a:t>Mllions</a:t>
                </a:r>
              </a:p>
            </c:rich>
          </c:tx>
          <c:layout>
            <c:manualLayout>
              <c:xMode val="edge"/>
              <c:yMode val="edge"/>
              <c:x val="1.7719995120074675E-2"/>
              <c:y val="0.4104714001287405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ja-JP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97775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/>
          </a:solidFill>
          <a:round/>
        </a14:hiddenLine>
      </a:ext>
    </a:ex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AR_Panel_Revenues!$D$4</c:f>
          <c:strCache>
            <c:ptCount val="1"/>
            <c:pt idx="0">
              <c:v>AR Display Engine Revenues by Panel Configuration ($ Millions)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043242388651944"/>
          <c:y val="7.7014518136209548E-2"/>
          <c:w val="0.87335136115217082"/>
          <c:h val="0.806736212246608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AR_Panel_Revenues!$D$571</c:f>
              <c:strCache>
                <c:ptCount val="1"/>
                <c:pt idx="0">
                  <c:v>1x DLP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AR_Panel_Revenues!$E$570:$L$570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AR_Panel_Revenues!$E$571:$L$571</c:f>
              <c:numCache>
                <c:formatCode>\$#,##0.0__</c:formatCode>
                <c:ptCount val="8"/>
                <c:pt idx="0">
                  <c:v>0.22163181638399992</c:v>
                </c:pt>
                <c:pt idx="1">
                  <c:v>5.6129546056319993E-2</c:v>
                </c:pt>
                <c:pt idx="2">
                  <c:v>3.4730156622347998E-2</c:v>
                </c:pt>
                <c:pt idx="3">
                  <c:v>3.4382855056124519E-2</c:v>
                </c:pt>
                <c:pt idx="4">
                  <c:v>3.4039026505563272E-2</c:v>
                </c:pt>
                <c:pt idx="5">
                  <c:v>3.3698636240507639E-2</c:v>
                </c:pt>
                <c:pt idx="6">
                  <c:v>3.3361649878102556E-2</c:v>
                </c:pt>
                <c:pt idx="7">
                  <c:v>3.3000000000000002E-2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27-4E8E-9407-6750208EEC6A}"/>
            </c:ext>
          </c:extLst>
        </c:ser>
        <c:ser>
          <c:idx val="1"/>
          <c:order val="1"/>
          <c:tx>
            <c:strRef>
              <c:f>AR_Panel_Revenues!$D$572</c:f>
              <c:strCache>
                <c:ptCount val="1"/>
                <c:pt idx="0">
                  <c:v>1x LCoS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AR_Panel_Revenues!$E$570:$L$570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AR_Panel_Revenues!$E$572:$L$572</c:f>
              <c:numCache>
                <c:formatCode>\$#,##0.0__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6.88194477798453</c:v>
                </c:pt>
                <c:pt idx="4">
                  <c:v>10.375751452900612</c:v>
                </c:pt>
                <c:pt idx="5">
                  <c:v>15.641445315247669</c:v>
                </c:pt>
                <c:pt idx="6">
                  <c:v>20.800787725202504</c:v>
                </c:pt>
                <c:pt idx="7">
                  <c:v>36.08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9C-4812-BADF-89D66894BA76}"/>
            </c:ext>
          </c:extLst>
        </c:ser>
        <c:ser>
          <c:idx val="2"/>
          <c:order val="2"/>
          <c:tx>
            <c:strRef>
              <c:f>AR_Panel_Revenues!$D$573</c:f>
              <c:strCache>
                <c:ptCount val="1"/>
                <c:pt idx="0">
                  <c:v>1x Micro LCD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AR_Panel_Revenues!$E$570:$L$570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AR_Panel_Revenues!$E$573:$L$573</c:f>
              <c:numCache>
                <c:formatCode>\$#,##0.0__</c:formatCode>
                <c:ptCount val="8"/>
                <c:pt idx="0">
                  <c:v>0.51560136381599997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9C-4812-BADF-89D66894BA76}"/>
            </c:ext>
          </c:extLst>
        </c:ser>
        <c:ser>
          <c:idx val="3"/>
          <c:order val="3"/>
          <c:tx>
            <c:strRef>
              <c:f>AR_Panel_Revenues!$D$574</c:f>
              <c:strCache>
                <c:ptCount val="1"/>
                <c:pt idx="0">
                  <c:v>1x MicroLED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AR_Panel_Revenues!$E$570:$L$570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AR_Panel_Revenues!$E$574:$L$574</c:f>
              <c:numCache>
                <c:formatCode>\$#,##0.0__</c:formatCode>
                <c:ptCount val="8"/>
                <c:pt idx="0">
                  <c:v>0.26070370591999992</c:v>
                </c:pt>
                <c:pt idx="1">
                  <c:v>2.2599949770640002</c:v>
                </c:pt>
                <c:pt idx="2">
                  <c:v>2.7567636793411197</c:v>
                </c:pt>
                <c:pt idx="3">
                  <c:v>13.848101050027614</c:v>
                </c:pt>
                <c:pt idx="4">
                  <c:v>12.536693089729209</c:v>
                </c:pt>
                <c:pt idx="5">
                  <c:v>40.767970609627518</c:v>
                </c:pt>
                <c:pt idx="6">
                  <c:v>55.686499854588092</c:v>
                </c:pt>
                <c:pt idx="7">
                  <c:v>70.355999999999995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9C-4812-BADF-89D66894BA76}"/>
            </c:ext>
          </c:extLst>
        </c:ser>
        <c:ser>
          <c:idx val="4"/>
          <c:order val="4"/>
          <c:tx>
            <c:strRef>
              <c:f>AR_Panel_Revenues!$D$575</c:f>
              <c:strCache>
                <c:ptCount val="1"/>
                <c:pt idx="0">
                  <c:v>2x LBS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AR_Panel_Revenues!$E$570:$L$570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AR_Panel_Revenues!$E$575:$L$575</c:f>
              <c:numCache>
                <c:formatCode>\$#,##0.0__</c:formatCode>
                <c:ptCount val="8"/>
                <c:pt idx="0">
                  <c:v>3.1483567807999995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D9C-4812-BADF-89D66894BA76}"/>
            </c:ext>
          </c:extLst>
        </c:ser>
        <c:ser>
          <c:idx val="5"/>
          <c:order val="5"/>
          <c:tx>
            <c:strRef>
              <c:f>AR_Panel_Revenues!$D$576</c:f>
              <c:strCache>
                <c:ptCount val="1"/>
                <c:pt idx="0">
                  <c:v>2x LCoS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AR_Panel_Revenues!$E$570:$L$570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AR_Panel_Revenues!$E$576:$L$576</c:f>
              <c:numCache>
                <c:formatCode>\$#,##0.0__</c:formatCode>
                <c:ptCount val="8"/>
                <c:pt idx="0">
                  <c:v>1.718399529</c:v>
                </c:pt>
                <c:pt idx="1">
                  <c:v>0.93518248195944009</c:v>
                </c:pt>
                <c:pt idx="2">
                  <c:v>0.21172842470973602</c:v>
                </c:pt>
                <c:pt idx="3">
                  <c:v>1.5244446579100992</c:v>
                </c:pt>
                <c:pt idx="4">
                  <c:v>8.017626122695928</c:v>
                </c:pt>
                <c:pt idx="5">
                  <c:v>7.9374498614689672</c:v>
                </c:pt>
                <c:pt idx="6">
                  <c:v>44.375013813765349</c:v>
                </c:pt>
                <c:pt idx="7">
                  <c:v>50.511999999999993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D9C-4812-BADF-89D66894BA76}"/>
            </c:ext>
          </c:extLst>
        </c:ser>
        <c:ser>
          <c:idx val="6"/>
          <c:order val="6"/>
          <c:tx>
            <c:strRef>
              <c:f>AR_Panel_Revenues!$D$577</c:f>
              <c:strCache>
                <c:ptCount val="1"/>
                <c:pt idx="0">
                  <c:v>2x MicroLED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AR_Panel_Revenues!$E$570:$L$570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AR_Panel_Revenues!$E$577:$L$577</c:f>
              <c:numCache>
                <c:formatCode>\$#,##0.0__</c:formatCode>
                <c:ptCount val="8"/>
                <c:pt idx="0">
                  <c:v>0.26038808399999996</c:v>
                </c:pt>
                <c:pt idx="1">
                  <c:v>2.2688955152079999</c:v>
                </c:pt>
                <c:pt idx="2">
                  <c:v>3.4423988341878706</c:v>
                </c:pt>
                <c:pt idx="3">
                  <c:v>10.321289728836479</c:v>
                </c:pt>
                <c:pt idx="4">
                  <c:v>11.926799912391029</c:v>
                </c:pt>
                <c:pt idx="5">
                  <c:v>17.45378741724678</c:v>
                </c:pt>
                <c:pt idx="6">
                  <c:v>38.321892373049863</c:v>
                </c:pt>
                <c:pt idx="7">
                  <c:v>64.063999999999993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D9C-4812-BADF-89D66894BA76}"/>
            </c:ext>
          </c:extLst>
        </c:ser>
        <c:ser>
          <c:idx val="7"/>
          <c:order val="7"/>
          <c:tx>
            <c:strRef>
              <c:f>AR_Panel_Revenues!$D$578</c:f>
              <c:strCache>
                <c:ptCount val="1"/>
                <c:pt idx="0">
                  <c:v>2x SiOLED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AR_Panel_Revenues!$E$570:$L$570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AR_Panel_Revenues!$E$578:$L$578</c:f>
              <c:numCache>
                <c:formatCode>\$#,##0.0__</c:formatCode>
                <c:ptCount val="8"/>
                <c:pt idx="0">
                  <c:v>41.404620364799996</c:v>
                </c:pt>
                <c:pt idx="1">
                  <c:v>53.627095094143996</c:v>
                </c:pt>
                <c:pt idx="2">
                  <c:v>43.096629209344002</c:v>
                </c:pt>
                <c:pt idx="3">
                  <c:v>69.208000000000013</c:v>
                </c:pt>
                <c:pt idx="4">
                  <c:v>85.8</c:v>
                </c:pt>
                <c:pt idx="5">
                  <c:v>110.517</c:v>
                </c:pt>
                <c:pt idx="6">
                  <c:v>156.19999999999999</c:v>
                </c:pt>
                <c:pt idx="7">
                  <c:v>216.678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D9C-4812-BADF-89D66894B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7757007"/>
        <c:axId val="977754095"/>
      </c:barChart>
      <c:catAx>
        <c:axId val="977757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977754095"/>
        <c:crosses val="autoZero"/>
        <c:auto val="1"/>
        <c:lblAlgn val="ctr"/>
        <c:lblOffset val="100"/>
        <c:noMultiLvlLbl val="0"/>
      </c:catAx>
      <c:valAx>
        <c:axId val="97775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altLang="ja-JP" sz="1100">
                    <a:latin typeface="Arial" panose="020B0604020202020204" pitchFamily="34" charset="0"/>
                    <a:cs typeface="Arial" panose="020B0604020202020204" pitchFamily="34" charset="0"/>
                  </a:rPr>
                  <a:t>$ Mllions</a:t>
                </a:r>
              </a:p>
            </c:rich>
          </c:tx>
          <c:layout>
            <c:manualLayout>
              <c:xMode val="edge"/>
              <c:yMode val="edge"/>
              <c:x val="1.3267812241071621E-2"/>
              <c:y val="0.443062819122433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ja-JP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97775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/>
          </a:solidFill>
          <a:round/>
        </a14:hiddenLine>
      </a:ext>
    </a:ex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50800</xdr:rowOff>
    </xdr:from>
    <xdr:to>
      <xdr:col>0</xdr:col>
      <xdr:colOff>3190481</xdr:colOff>
      <xdr:row>4</xdr:row>
      <xdr:rowOff>82467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2919855D-7398-44A8-8627-C42A0DF7E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50800"/>
          <a:ext cx="3152381" cy="666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3</xdr:col>
      <xdr:colOff>218681</xdr:colOff>
      <xdr:row>3</xdr:row>
      <xdr:rowOff>171367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FD80B67E-DA4B-457F-8392-87569AAA8F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152381" cy="6666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606779</xdr:colOff>
      <xdr:row>9</xdr:row>
      <xdr:rowOff>7055</xdr:rowOff>
    </xdr:from>
    <xdr:to>
      <xdr:col>25</xdr:col>
      <xdr:colOff>599724</xdr:colOff>
      <xdr:row>185</xdr:row>
      <xdr:rowOff>141993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F412E1-07BB-4B83-94A8-AD55F31A79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606779</xdr:colOff>
      <xdr:row>9</xdr:row>
      <xdr:rowOff>7055</xdr:rowOff>
    </xdr:from>
    <xdr:to>
      <xdr:col>25</xdr:col>
      <xdr:colOff>599724</xdr:colOff>
      <xdr:row>178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434A1-E295-4728-9E23-354E579093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606779</xdr:colOff>
      <xdr:row>9</xdr:row>
      <xdr:rowOff>7055</xdr:rowOff>
    </xdr:from>
    <xdr:to>
      <xdr:col>25</xdr:col>
      <xdr:colOff>599724</xdr:colOff>
      <xdr:row>185</xdr:row>
      <xdr:rowOff>141993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866D56-6A35-4DAB-83ED-A4B524AF1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606779</xdr:colOff>
      <xdr:row>9</xdr:row>
      <xdr:rowOff>7055</xdr:rowOff>
    </xdr:from>
    <xdr:to>
      <xdr:col>25</xdr:col>
      <xdr:colOff>599724</xdr:colOff>
      <xdr:row>185</xdr:row>
      <xdr:rowOff>141993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7E92FD-1961-4A1E-A46E-AAC7002CC9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Matsuno" refreshedDate="46007.403346296298" createdVersion="8" refreshedVersion="8" minRefreshableVersion="3" recordCount="889" xr:uid="{857E1445-E0D2-4E41-BA93-1305C874192F}">
  <cacheSource type="worksheet">
    <worksheetSource name="New_DB_ALL"/>
  </cacheSource>
  <cacheFields count="20">
    <cacheField name="AR_or_VR" numFmtId="0">
      <sharedItems count="2">
        <s v="VR"/>
        <s v="AR"/>
      </sharedItems>
    </cacheField>
    <cacheField name="Year" numFmtId="0">
      <sharedItems count="11">
        <s v="2019"/>
        <s v="2020"/>
        <s v="2021"/>
        <s v="2022"/>
        <s v="2023"/>
        <s v="2024"/>
        <s v="2025"/>
        <s v="2026"/>
        <s v="2027"/>
        <s v="2028"/>
        <s v="2029"/>
      </sharedItems>
    </cacheField>
    <cacheField name="Quarter" numFmtId="0">
      <sharedItems/>
    </cacheField>
    <cacheField name="Brand" numFmtId="0">
      <sharedItems/>
    </cacheField>
    <cacheField name="Product" numFmtId="0">
      <sharedItems/>
    </cacheField>
    <cacheField name="Application" numFmtId="0">
      <sharedItems/>
    </cacheField>
    <cacheField name="Category" numFmtId="0">
      <sharedItems/>
    </cacheField>
    <cacheField name="Panel Type" numFmtId="0">
      <sharedItems count="8">
        <s v="LCD"/>
        <s v="AMOLED"/>
        <s v="SiOLED"/>
        <s v="Micro LCD"/>
        <s v="LCoS"/>
        <s v="LBS"/>
        <s v="DLP"/>
        <s v="MicroLED"/>
      </sharedItems>
    </cacheField>
    <cacheField name="Panel Configuration" numFmtId="0">
      <sharedItems count="12">
        <s v="1x LCD"/>
        <s v="2x LCD"/>
        <s v="2x AMOLED"/>
        <s v="1x AMOLED"/>
        <s v="2x SiOLED"/>
        <s v="1x Micro LCD"/>
        <s v="2x LCoS"/>
        <s v="2x LBS"/>
        <s v="1x DLP"/>
        <s v="1x MicroLED"/>
        <s v="2x MicroLED"/>
        <s v="1x LCoS"/>
      </sharedItems>
    </cacheField>
    <cacheField name="Panel Supplier" numFmtId="0">
      <sharedItems/>
    </cacheField>
    <cacheField name="Alt Panel Supplier" numFmtId="0">
      <sharedItems containsBlank="1"/>
    </cacheField>
    <cacheField name="Size (inch)" numFmtId="166">
      <sharedItems containsString="0" containsBlank="1" containsNumber="1" minValue="0.13" maxValue="5.7"/>
    </cacheField>
    <cacheField name="H" numFmtId="0">
      <sharedItems containsString="0" containsBlank="1" containsNumber="1" containsInteger="1" minValue="640" maxValue="3840"/>
    </cacheField>
    <cacheField name="V" numFmtId="0">
      <sharedItems containsString="0" containsBlank="1" containsNumber="1" containsInteger="1" minValue="360" maxValue="3840"/>
    </cacheField>
    <cacheField name="PPI" numFmtId="168">
      <sharedItems containsSemiMixedTypes="0" containsString="0" containsNumber="1" minValue="0" maxValue="6545.7884886983247"/>
    </cacheField>
    <cacheField name="Max Hz" numFmtId="0">
      <sharedItems containsBlank="1" containsMixedTypes="1" containsNumber="1" containsInteger="1" minValue="60" maxValue="144"/>
    </cacheField>
    <cacheField name="Release Date" numFmtId="165">
      <sharedItems containsDate="1" containsBlank="1" containsMixedTypes="1" minDate="2016-02-01T00:00:00" maxDate="2025-12-02T00:00:00"/>
    </cacheField>
    <cacheField name="Panels per Device" numFmtId="0">
      <sharedItems containsSemiMixedTypes="0" containsString="0" containsNumber="1" containsInteger="1" minValue="1" maxValue="2"/>
    </cacheField>
    <cacheField name="Panel Shipments (Millions)" numFmtId="176">
      <sharedItems containsSemiMixedTypes="0" containsString="0" containsNumber="1" minValue="5.5000000000000002E-5" maxValue="4.84"/>
    </cacheField>
    <cacheField name="Panel Revenues ($ Millions)" numFmtId="170">
      <sharedItems containsSemiMixedTypes="0" containsString="0" containsNumber="1" minValue="4.3412695777934997E-3" maxValue="465.620462512127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9">
  <r>
    <x v="0"/>
    <x v="0"/>
    <s v="Q1"/>
    <s v="DPVR"/>
    <s v="P1 family"/>
    <s v="VR"/>
    <s v="Standalone"/>
    <x v="0"/>
    <x v="0"/>
    <s v="Unknown"/>
    <s v=" "/>
    <m/>
    <m/>
    <m/>
    <n v="0"/>
    <s v="Unknown"/>
    <d v="2019-11-01T00:00:00"/>
    <n v="1"/>
    <n v="4.1250000000000002E-2"/>
    <n v="2.4750000000000001"/>
  </r>
  <r>
    <x v="0"/>
    <x v="0"/>
    <s v="Q1"/>
    <s v="HP"/>
    <s v="Reverb"/>
    <s v="VR"/>
    <s v="Tethered"/>
    <x v="0"/>
    <x v="1"/>
    <s v="Unknown"/>
    <s v=" "/>
    <n v="2.89"/>
    <n v="2160"/>
    <n v="2160"/>
    <n v="1056.990067379199"/>
    <n v="90"/>
    <d v="2019-05-01T00:00:00"/>
    <n v="2"/>
    <n v="5.5E-2"/>
    <n v="2.2000000000000002"/>
  </r>
  <r>
    <x v="0"/>
    <x v="0"/>
    <s v="Q1"/>
    <s v="HP"/>
    <s v="Reverb G2"/>
    <s v="VR"/>
    <s v="Tethered"/>
    <x v="0"/>
    <x v="1"/>
    <s v="Unknown"/>
    <s v=" "/>
    <n v="2.89"/>
    <n v="2160"/>
    <n v="2160"/>
    <n v="1056.990067379199"/>
    <n v="90"/>
    <d v="2020-11-01T00:00:00"/>
    <n v="2"/>
    <n v="1.0999999999999999E-2"/>
    <n v="0.43999999999999995"/>
  </r>
  <r>
    <x v="0"/>
    <x v="0"/>
    <s v="Q1"/>
    <s v="HTC"/>
    <s v="Vive LCD headsets"/>
    <s v="VR"/>
    <s v="Standalone"/>
    <x v="0"/>
    <x v="1"/>
    <s v="JDI"/>
    <s v=" "/>
    <m/>
    <m/>
    <m/>
    <n v="0"/>
    <s v="Unknown"/>
    <d v="2019-10-01T00:00:00"/>
    <n v="2"/>
    <n v="6.875E-3"/>
    <n v="0.27500000000000002"/>
  </r>
  <r>
    <x v="0"/>
    <x v="0"/>
    <s v="Q1"/>
    <s v="Oculus"/>
    <s v="Quest"/>
    <s v="VR"/>
    <s v="Standalone"/>
    <x v="1"/>
    <x v="2"/>
    <s v="SDC"/>
    <s v=" "/>
    <n v="3.5"/>
    <n v="1440"/>
    <n v="1600"/>
    <n v="615.02281358051255"/>
    <n v="72"/>
    <d v="2019-05-01T00:00:00"/>
    <n v="2"/>
    <n v="0.1925"/>
    <n v="4.7539799999999994"/>
  </r>
  <r>
    <x v="0"/>
    <x v="0"/>
    <s v="Q1"/>
    <s v="Oculus"/>
    <s v="Rift S"/>
    <s v="VR"/>
    <s v="Tethered"/>
    <x v="0"/>
    <x v="0"/>
    <s v="JDI"/>
    <s v="Sharp"/>
    <n v="5.46"/>
    <n v="2560"/>
    <n v="1440"/>
    <n v="537.95046888456613"/>
    <n v="80"/>
    <d v="2019-05-01T00:00:00"/>
    <n v="1"/>
    <n v="8.2500000000000004E-2"/>
    <n v="4.95"/>
  </r>
  <r>
    <x v="0"/>
    <x v="0"/>
    <s v="Q1"/>
    <s v="Pimax"/>
    <s v="Pimax VR"/>
    <s v="VR"/>
    <s v="Tethered"/>
    <x v="0"/>
    <x v="1"/>
    <s v="BOE"/>
    <s v="Innolux"/>
    <m/>
    <m/>
    <m/>
    <n v="0"/>
    <s v="Unknown"/>
    <s v=" "/>
    <n v="2"/>
    <n v="8.2500000000000004E-3"/>
    <n v="0.33"/>
  </r>
  <r>
    <x v="0"/>
    <x v="0"/>
    <s v="Q1"/>
    <s v="Sony"/>
    <s v="PlayStation VR"/>
    <s v="VR"/>
    <s v="Tethered"/>
    <x v="1"/>
    <x v="3"/>
    <s v="SDC"/>
    <s v=" "/>
    <n v="5.7"/>
    <n v="1920"/>
    <n v="1080"/>
    <n v="386.47494211970144"/>
    <n v="120"/>
    <d v="2016-10-01T00:00:00"/>
    <n v="1"/>
    <n v="0.2"/>
    <n v="7.0560000000000009"/>
  </r>
  <r>
    <x v="0"/>
    <x v="0"/>
    <s v="Q1"/>
    <s v="Others"/>
    <s v="OLED VR headset"/>
    <s v="VR"/>
    <s v="Unknown"/>
    <x v="1"/>
    <x v="2"/>
    <s v="Unknown"/>
    <s v=" "/>
    <m/>
    <m/>
    <m/>
    <n v="0"/>
    <s v="Unknown"/>
    <s v=" "/>
    <n v="2"/>
    <n v="0.8075"/>
    <n v="19.942019999999999"/>
  </r>
  <r>
    <x v="0"/>
    <x v="0"/>
    <s v="Q1"/>
    <s v="Others"/>
    <s v="Single LCD VR headset"/>
    <s v="VR"/>
    <s v="Unknown"/>
    <x v="0"/>
    <x v="0"/>
    <s v="Unknown"/>
    <s v=" "/>
    <m/>
    <m/>
    <m/>
    <n v="0"/>
    <s v="Unknown"/>
    <s v=" "/>
    <n v="1"/>
    <n v="0.44"/>
    <n v="26.4"/>
  </r>
  <r>
    <x v="0"/>
    <x v="0"/>
    <s v="Q1"/>
    <s v="Valve"/>
    <s v="Index"/>
    <s v="VR"/>
    <s v="Tethered"/>
    <x v="0"/>
    <x v="1"/>
    <s v="Unknwon"/>
    <s v=" "/>
    <n v="3.5"/>
    <n v="1440"/>
    <n v="1600"/>
    <n v="615.02281358051255"/>
    <n v="144"/>
    <d v="2019-05-01T00:00:00"/>
    <n v="2"/>
    <n v="8.2500000000000004E-2"/>
    <n v="3.3000000000000003"/>
  </r>
  <r>
    <x v="1"/>
    <x v="0"/>
    <s v="Q1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3.3000000000000002E-2"/>
    <n v="2.9039999999999999"/>
  </r>
  <r>
    <x v="1"/>
    <x v="0"/>
    <s v="Q1"/>
    <s v="Google"/>
    <s v="Glass"/>
    <s v="AR see-through"/>
    <s v="Standalone"/>
    <x v="3"/>
    <x v="5"/>
    <s v="Kopin"/>
    <m/>
    <m/>
    <n v="640"/>
    <n v="360"/>
    <n v="0"/>
    <s v="Unknown"/>
    <d v="2019-05-01T00:00:00"/>
    <n v="1"/>
    <n v="1.0999999999999999E-2"/>
    <n v="0.46199999999999997"/>
  </r>
  <r>
    <x v="1"/>
    <x v="0"/>
    <s v="Q1"/>
    <s v="Magic Leap"/>
    <s v="ML One"/>
    <s v="AR see-through"/>
    <s v="Standalone"/>
    <x v="4"/>
    <x v="6"/>
    <s v="Unknown"/>
    <m/>
    <m/>
    <n v="1280"/>
    <n v="960"/>
    <n v="0"/>
    <n v="120"/>
    <d v="2018-08-01T00:00:00"/>
    <n v="2"/>
    <n v="2.4750000000000002E-3"/>
    <n v="0.11385000000000001"/>
  </r>
  <r>
    <x v="1"/>
    <x v="0"/>
    <s v="Q1"/>
    <s v="Microsoft"/>
    <s v="HoloLens 2"/>
    <s v="AR see-through"/>
    <s v="Standalone"/>
    <x v="5"/>
    <x v="7"/>
    <s v="Unknown"/>
    <m/>
    <m/>
    <m/>
    <m/>
    <n v="0"/>
    <s v="Unknown"/>
    <d v="2019-11-01T00:00:00"/>
    <n v="2"/>
    <n v="4.3999999999999997E-2"/>
    <n v="4.9279999999999999"/>
  </r>
  <r>
    <x v="1"/>
    <x v="0"/>
    <s v="Q1"/>
    <s v="XREAL"/>
    <s v="Light"/>
    <s v="AR see-through"/>
    <s v="Tethered"/>
    <x v="2"/>
    <x v="4"/>
    <s v="BOE"/>
    <m/>
    <n v="0.71"/>
    <n v="1920"/>
    <n v="1080"/>
    <n v="3102.6861550454905"/>
    <n v="90"/>
    <d v="2020-08-01T00:00:00"/>
    <n v="2"/>
    <n v="2.7499999999999998E-3"/>
    <n v="0.24199999999999999"/>
  </r>
  <r>
    <x v="1"/>
    <x v="0"/>
    <s v="Q1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9.6299999999999999E-4"/>
    <n v="7.9929E-2"/>
  </r>
  <r>
    <x v="1"/>
    <x v="0"/>
    <s v="Q1"/>
    <s v="Others"/>
    <s v="LCoS glasses"/>
    <s v="AR see-through"/>
    <s v="Unknown"/>
    <x v="4"/>
    <x v="6"/>
    <s v="Unknown"/>
    <m/>
    <m/>
    <m/>
    <m/>
    <n v="0"/>
    <s v="Unknown"/>
    <s v=" "/>
    <n v="2"/>
    <n v="2.7499999999999998E-3"/>
    <n v="0.1265"/>
  </r>
  <r>
    <x v="1"/>
    <x v="0"/>
    <s v="Q1"/>
    <s v="Others"/>
    <s v="SiOLED glasses"/>
    <s v="AR see-through"/>
    <s v="Unknown"/>
    <x v="2"/>
    <x v="4"/>
    <s v="Unknown"/>
    <m/>
    <m/>
    <m/>
    <m/>
    <n v="0"/>
    <s v="Unknown"/>
    <s v=" "/>
    <n v="2"/>
    <n v="1.1000000000000001E-3"/>
    <n v="9.6800000000000011E-2"/>
  </r>
  <r>
    <x v="0"/>
    <x v="0"/>
    <s v="Q2"/>
    <s v="DPVR"/>
    <s v="P1 family"/>
    <s v="VR"/>
    <s v="Standalone"/>
    <x v="0"/>
    <x v="0"/>
    <s v="Unknown"/>
    <s v=" "/>
    <m/>
    <m/>
    <m/>
    <n v="0"/>
    <s v="Unknown"/>
    <d v="2019-11-01T00:00:00"/>
    <n v="1"/>
    <n v="4.1250000000000002E-2"/>
    <n v="2.4750000000000001"/>
  </r>
  <r>
    <x v="0"/>
    <x v="0"/>
    <s v="Q2"/>
    <s v="HP"/>
    <s v="Reverb"/>
    <s v="VR"/>
    <s v="Tethered"/>
    <x v="0"/>
    <x v="1"/>
    <s v="Unknown"/>
    <s v=" "/>
    <n v="2.89"/>
    <n v="2160"/>
    <n v="2160"/>
    <n v="1056.990067379199"/>
    <n v="90"/>
    <d v="2019-05-01T00:00:00"/>
    <n v="2"/>
    <n v="5.5E-2"/>
    <n v="2.2000000000000002"/>
  </r>
  <r>
    <x v="0"/>
    <x v="0"/>
    <s v="Q2"/>
    <s v="HP"/>
    <s v="Reverb G2"/>
    <s v="VR"/>
    <s v="Tethered"/>
    <x v="0"/>
    <x v="1"/>
    <s v="Unknown"/>
    <s v=" "/>
    <n v="2.89"/>
    <n v="2160"/>
    <n v="2160"/>
    <n v="1056.990067379199"/>
    <n v="90"/>
    <d v="2020-11-01T00:00:00"/>
    <n v="2"/>
    <n v="1.0999999999999999E-2"/>
    <n v="0.43999999999999995"/>
  </r>
  <r>
    <x v="0"/>
    <x v="0"/>
    <s v="Q2"/>
    <s v="HTC"/>
    <s v="Vive LCD headsets"/>
    <s v="VR"/>
    <s v="Standalone"/>
    <x v="0"/>
    <x v="1"/>
    <s v="JDI"/>
    <s v=" "/>
    <m/>
    <m/>
    <m/>
    <n v="0"/>
    <s v="Unknown"/>
    <d v="2019-10-01T00:00:00"/>
    <n v="2"/>
    <n v="6.875E-3"/>
    <n v="0.27500000000000002"/>
  </r>
  <r>
    <x v="0"/>
    <x v="0"/>
    <s v="Q2"/>
    <s v="Oculus"/>
    <s v="Quest"/>
    <s v="VR"/>
    <s v="Standalone"/>
    <x v="1"/>
    <x v="2"/>
    <s v="SDC"/>
    <s v=" "/>
    <n v="3.5"/>
    <n v="1440"/>
    <n v="1600"/>
    <n v="615.02281358051255"/>
    <n v="72"/>
    <d v="2019-05-01T00:00:00"/>
    <n v="2"/>
    <n v="0.1925"/>
    <n v="4.6589004000000003"/>
  </r>
  <r>
    <x v="0"/>
    <x v="0"/>
    <s v="Q2"/>
    <s v="Oculus"/>
    <s v="Rift S"/>
    <s v="VR"/>
    <s v="Tethered"/>
    <x v="0"/>
    <x v="0"/>
    <s v="JDI"/>
    <s v="Sharp"/>
    <n v="5.46"/>
    <n v="2560"/>
    <n v="1440"/>
    <n v="537.95046888456613"/>
    <n v="80"/>
    <d v="2019-05-01T00:00:00"/>
    <n v="1"/>
    <n v="8.2500000000000004E-2"/>
    <n v="4.95"/>
  </r>
  <r>
    <x v="0"/>
    <x v="0"/>
    <s v="Q2"/>
    <s v="Pimax"/>
    <s v="Pimax VR"/>
    <s v="VR"/>
    <s v="Tethered"/>
    <x v="0"/>
    <x v="1"/>
    <s v="BOE"/>
    <s v="Innolux"/>
    <m/>
    <m/>
    <m/>
    <n v="0"/>
    <s v="Unknown"/>
    <s v=" "/>
    <n v="2"/>
    <n v="8.2500000000000004E-3"/>
    <n v="0.33"/>
  </r>
  <r>
    <x v="0"/>
    <x v="0"/>
    <s v="Q2"/>
    <s v="Sony"/>
    <s v="PlayStation VR"/>
    <s v="VR"/>
    <s v="Tethered"/>
    <x v="1"/>
    <x v="3"/>
    <s v="SDC"/>
    <s v=" "/>
    <n v="5.7"/>
    <n v="1920"/>
    <n v="1080"/>
    <n v="386.47494211970144"/>
    <n v="120"/>
    <d v="2016-10-01T00:00:00"/>
    <n v="1"/>
    <n v="0.4"/>
    <n v="13.82976"/>
  </r>
  <r>
    <x v="0"/>
    <x v="0"/>
    <s v="Q2"/>
    <s v="Others"/>
    <s v="OLED VR headset"/>
    <s v="VR"/>
    <s v="Unknown"/>
    <x v="1"/>
    <x v="2"/>
    <s v="Unknown"/>
    <s v=" "/>
    <m/>
    <m/>
    <m/>
    <n v="0"/>
    <s v="Unknown"/>
    <s v=" "/>
    <n v="2"/>
    <n v="0.8075"/>
    <n v="19.543179599999998"/>
  </r>
  <r>
    <x v="0"/>
    <x v="0"/>
    <s v="Q2"/>
    <s v="Others"/>
    <s v="Single LCD VR headset"/>
    <s v="VR"/>
    <s v="Unknown"/>
    <x v="0"/>
    <x v="0"/>
    <s v="Unknown"/>
    <s v=" "/>
    <m/>
    <m/>
    <m/>
    <n v="0"/>
    <s v="Unknown"/>
    <s v=" "/>
    <n v="1"/>
    <n v="0.44"/>
    <n v="26.4"/>
  </r>
  <r>
    <x v="0"/>
    <x v="0"/>
    <s v="Q2"/>
    <s v="Valve"/>
    <s v="Index"/>
    <s v="VR"/>
    <s v="Tethered"/>
    <x v="0"/>
    <x v="1"/>
    <s v="Unknwon"/>
    <s v=" "/>
    <n v="3.5"/>
    <n v="1440"/>
    <n v="1600"/>
    <n v="615.02281358051255"/>
    <n v="144"/>
    <d v="2019-05-01T00:00:00"/>
    <n v="2"/>
    <n v="8.2500000000000004E-2"/>
    <n v="3.3000000000000003"/>
  </r>
  <r>
    <x v="1"/>
    <x v="0"/>
    <s v="Q2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3.3000000000000002E-2"/>
    <n v="2.9039999999999999"/>
  </r>
  <r>
    <x v="1"/>
    <x v="0"/>
    <s v="Q2"/>
    <s v="Google"/>
    <s v="Glass"/>
    <s v="AR see-through"/>
    <s v="Standalone"/>
    <x v="3"/>
    <x v="5"/>
    <s v="Kopin"/>
    <m/>
    <m/>
    <n v="640"/>
    <n v="360"/>
    <n v="0"/>
    <s v="Unknown"/>
    <d v="2019-05-01T00:00:00"/>
    <n v="1"/>
    <n v="1.0999999999999999E-2"/>
    <n v="0.46199999999999997"/>
  </r>
  <r>
    <x v="1"/>
    <x v="0"/>
    <s v="Q2"/>
    <s v="Magic Leap"/>
    <s v="ML One"/>
    <s v="AR see-through"/>
    <s v="Standalone"/>
    <x v="4"/>
    <x v="6"/>
    <s v="Unknown"/>
    <m/>
    <m/>
    <n v="1280"/>
    <n v="960"/>
    <n v="0"/>
    <n v="120"/>
    <d v="2018-08-01T00:00:00"/>
    <n v="2"/>
    <n v="2.4750000000000002E-3"/>
    <n v="0.11385000000000001"/>
  </r>
  <r>
    <x v="1"/>
    <x v="0"/>
    <s v="Q2"/>
    <s v="Microsoft"/>
    <s v="HoloLens 2"/>
    <s v="AR see-through"/>
    <s v="Standalone"/>
    <x v="5"/>
    <x v="7"/>
    <s v="Unknown"/>
    <m/>
    <m/>
    <m/>
    <m/>
    <n v="0"/>
    <s v="Unknown"/>
    <d v="2019-11-01T00:00:00"/>
    <n v="2"/>
    <n v="4.3999999999999997E-2"/>
    <n v="4.9279999999999999"/>
  </r>
  <r>
    <x v="1"/>
    <x v="0"/>
    <s v="Q2"/>
    <s v="XREAL"/>
    <s v="Light"/>
    <s v="AR see-through"/>
    <s v="Tethered"/>
    <x v="2"/>
    <x v="4"/>
    <s v="BOE"/>
    <m/>
    <n v="0.71"/>
    <n v="1920"/>
    <n v="1080"/>
    <n v="3102.6861550454905"/>
    <n v="90"/>
    <d v="2020-08-01T00:00:00"/>
    <n v="2"/>
    <n v="2.7499999999999998E-3"/>
    <n v="0.24199999999999999"/>
  </r>
  <r>
    <x v="1"/>
    <x v="0"/>
    <s v="Q2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9.6299999999999999E-4"/>
    <n v="7.9929E-2"/>
  </r>
  <r>
    <x v="1"/>
    <x v="0"/>
    <s v="Q2"/>
    <s v="Others"/>
    <s v="LCoS glasses"/>
    <s v="AR see-through"/>
    <s v="Unknown"/>
    <x v="4"/>
    <x v="6"/>
    <s v="Unknown"/>
    <m/>
    <m/>
    <m/>
    <m/>
    <n v="0"/>
    <s v="Unknown"/>
    <s v=" "/>
    <n v="2"/>
    <n v="2.7499999999999998E-3"/>
    <n v="0.1265"/>
  </r>
  <r>
    <x v="1"/>
    <x v="0"/>
    <s v="Q2"/>
    <s v="Others"/>
    <s v="SiOLED glasses"/>
    <s v="AR see-through"/>
    <s v="Unknown"/>
    <x v="2"/>
    <x v="4"/>
    <s v="Unknown"/>
    <m/>
    <m/>
    <m/>
    <m/>
    <n v="0"/>
    <s v="Unknown"/>
    <s v=" "/>
    <n v="2"/>
    <n v="1.1000000000000001E-3"/>
    <n v="9.6800000000000011E-2"/>
  </r>
  <r>
    <x v="0"/>
    <x v="0"/>
    <s v="Q3"/>
    <s v="DPVR"/>
    <s v="P1 family"/>
    <s v="VR"/>
    <s v="Standalone"/>
    <x v="0"/>
    <x v="0"/>
    <s v="Unknown"/>
    <s v=" "/>
    <m/>
    <m/>
    <m/>
    <n v="0"/>
    <s v="Unknown"/>
    <d v="2019-11-01T00:00:00"/>
    <n v="1"/>
    <n v="4.1250000000000002E-2"/>
    <n v="2.4750000000000001"/>
  </r>
  <r>
    <x v="0"/>
    <x v="0"/>
    <s v="Q3"/>
    <s v="HP"/>
    <s v="Reverb"/>
    <s v="VR"/>
    <s v="Tethered"/>
    <x v="0"/>
    <x v="1"/>
    <s v="Unknown"/>
    <s v=" "/>
    <n v="2.89"/>
    <n v="2160"/>
    <n v="2160"/>
    <n v="1056.990067379199"/>
    <n v="90"/>
    <d v="2019-05-01T00:00:00"/>
    <n v="2"/>
    <n v="5.5E-2"/>
    <n v="2.2000000000000002"/>
  </r>
  <r>
    <x v="0"/>
    <x v="0"/>
    <s v="Q3"/>
    <s v="HP"/>
    <s v="Reverb G2"/>
    <s v="VR"/>
    <s v="Tethered"/>
    <x v="0"/>
    <x v="1"/>
    <s v="Unknown"/>
    <s v=" "/>
    <n v="2.89"/>
    <n v="2160"/>
    <n v="2160"/>
    <n v="1056.990067379199"/>
    <n v="90"/>
    <d v="2020-11-01T00:00:00"/>
    <n v="2"/>
    <n v="1.0999999999999999E-2"/>
    <n v="0.43999999999999995"/>
  </r>
  <r>
    <x v="0"/>
    <x v="0"/>
    <s v="Q3"/>
    <s v="HTC"/>
    <s v="Vive LCD headsets"/>
    <s v="VR"/>
    <s v="Standalone"/>
    <x v="0"/>
    <x v="1"/>
    <s v="JDI"/>
    <s v=" "/>
    <m/>
    <m/>
    <m/>
    <n v="0"/>
    <s v="Unknown"/>
    <d v="2019-10-01T00:00:00"/>
    <n v="2"/>
    <n v="6.875E-3"/>
    <n v="0.27500000000000002"/>
  </r>
  <r>
    <x v="0"/>
    <x v="0"/>
    <s v="Q3"/>
    <s v="Oculus"/>
    <s v="Quest"/>
    <s v="VR"/>
    <s v="Standalone"/>
    <x v="1"/>
    <x v="2"/>
    <s v="SDC"/>
    <s v=" "/>
    <n v="3.5"/>
    <n v="1440"/>
    <n v="1600"/>
    <n v="615.02281358051255"/>
    <n v="72"/>
    <d v="2019-05-01T00:00:00"/>
    <n v="2"/>
    <n v="0.1925"/>
    <n v="4.5657223919999996"/>
  </r>
  <r>
    <x v="0"/>
    <x v="0"/>
    <s v="Q3"/>
    <s v="Oculus"/>
    <s v="Rift S"/>
    <s v="VR"/>
    <s v="Tethered"/>
    <x v="0"/>
    <x v="0"/>
    <s v="JDI"/>
    <s v="Sharp"/>
    <n v="5.46"/>
    <n v="2560"/>
    <n v="1440"/>
    <n v="537.95046888456613"/>
    <n v="80"/>
    <d v="2019-05-01T00:00:00"/>
    <n v="1"/>
    <n v="8.2500000000000004E-2"/>
    <n v="4.95"/>
  </r>
  <r>
    <x v="0"/>
    <x v="0"/>
    <s v="Q3"/>
    <s v="Pimax"/>
    <s v="Pimax VR"/>
    <s v="VR"/>
    <s v="Tethered"/>
    <x v="0"/>
    <x v="1"/>
    <s v="BOE"/>
    <s v="Innolux"/>
    <m/>
    <m/>
    <m/>
    <n v="0"/>
    <s v="Unknown"/>
    <s v=" "/>
    <n v="2"/>
    <n v="8.2500000000000004E-3"/>
    <n v="0.33"/>
  </r>
  <r>
    <x v="0"/>
    <x v="0"/>
    <s v="Q3"/>
    <s v="Sony"/>
    <s v="PlayStation VR"/>
    <s v="VR"/>
    <s v="Tethered"/>
    <x v="1"/>
    <x v="3"/>
    <s v="SDC"/>
    <s v=" "/>
    <n v="5.7"/>
    <n v="1920"/>
    <n v="1080"/>
    <n v="386.47494211970144"/>
    <n v="120"/>
    <d v="2016-10-01T00:00:00"/>
    <n v="1"/>
    <n v="0.2"/>
    <n v="6.7765823999999997"/>
  </r>
  <r>
    <x v="0"/>
    <x v="0"/>
    <s v="Q3"/>
    <s v="Others"/>
    <s v="OLED VR headset"/>
    <s v="VR"/>
    <s v="Unknown"/>
    <x v="1"/>
    <x v="2"/>
    <s v="Unknown"/>
    <s v=" "/>
    <m/>
    <m/>
    <m/>
    <n v="0"/>
    <s v="Unknown"/>
    <s v=" "/>
    <n v="2"/>
    <n v="0.3075"/>
    <n v="7.2932968079999991"/>
  </r>
  <r>
    <x v="0"/>
    <x v="0"/>
    <s v="Q3"/>
    <s v="Others"/>
    <s v="Single LCD VR headset"/>
    <s v="VR"/>
    <s v="Unknown"/>
    <x v="0"/>
    <x v="0"/>
    <s v="Unknown"/>
    <s v=" "/>
    <m/>
    <m/>
    <m/>
    <n v="0"/>
    <s v="Unknown"/>
    <s v=" "/>
    <n v="1"/>
    <n v="0.44"/>
    <n v="26.4"/>
  </r>
  <r>
    <x v="0"/>
    <x v="0"/>
    <s v="Q3"/>
    <s v="Valve"/>
    <s v="Index"/>
    <s v="VR"/>
    <s v="Tethered"/>
    <x v="0"/>
    <x v="1"/>
    <s v="Unknwon"/>
    <s v=" "/>
    <n v="3.5"/>
    <n v="1440"/>
    <n v="1600"/>
    <n v="615.02281358051255"/>
    <n v="144"/>
    <d v="2019-05-01T00:00:00"/>
    <n v="2"/>
    <n v="8.2500000000000004E-2"/>
    <n v="3.3000000000000003"/>
  </r>
  <r>
    <x v="1"/>
    <x v="0"/>
    <s v="Q3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3.3000000000000002E-2"/>
    <n v="2.9039999999999999"/>
  </r>
  <r>
    <x v="1"/>
    <x v="0"/>
    <s v="Q3"/>
    <s v="Google"/>
    <s v="Glass"/>
    <s v="AR see-through"/>
    <s v="Standalone"/>
    <x v="3"/>
    <x v="5"/>
    <s v="Kopin"/>
    <m/>
    <m/>
    <n v="640"/>
    <n v="360"/>
    <n v="0"/>
    <s v="Unknown"/>
    <d v="2019-05-01T00:00:00"/>
    <n v="1"/>
    <n v="1.0999999999999999E-2"/>
    <n v="0.46199999999999997"/>
  </r>
  <r>
    <x v="1"/>
    <x v="0"/>
    <s v="Q3"/>
    <s v="Magic Leap"/>
    <s v="ML One"/>
    <s v="AR see-through"/>
    <s v="Standalone"/>
    <x v="4"/>
    <x v="6"/>
    <s v="Unknown"/>
    <m/>
    <m/>
    <n v="1280"/>
    <n v="960"/>
    <n v="0"/>
    <n v="120"/>
    <d v="2018-08-01T00:00:00"/>
    <n v="2"/>
    <n v="2.4750000000000002E-3"/>
    <n v="0.11385000000000001"/>
  </r>
  <r>
    <x v="1"/>
    <x v="0"/>
    <s v="Q3"/>
    <s v="Microsoft"/>
    <s v="HoloLens 2"/>
    <s v="AR see-through"/>
    <s v="Standalone"/>
    <x v="5"/>
    <x v="7"/>
    <s v="Unknown"/>
    <m/>
    <m/>
    <m/>
    <m/>
    <n v="0"/>
    <s v="Unknown"/>
    <d v="2019-11-01T00:00:00"/>
    <n v="2"/>
    <n v="4.3999999999999997E-2"/>
    <n v="4.9279999999999999"/>
  </r>
  <r>
    <x v="1"/>
    <x v="0"/>
    <s v="Q3"/>
    <s v="XREAL"/>
    <s v="Light"/>
    <s v="AR see-through"/>
    <s v="Tethered"/>
    <x v="2"/>
    <x v="4"/>
    <s v="BOE"/>
    <m/>
    <n v="0.71"/>
    <n v="1920"/>
    <n v="1080"/>
    <n v="3102.6861550454905"/>
    <n v="90"/>
    <d v="2020-08-01T00:00:00"/>
    <n v="2"/>
    <n v="2.7499999999999998E-3"/>
    <n v="0.24199999999999999"/>
  </r>
  <r>
    <x v="1"/>
    <x v="0"/>
    <s v="Q3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9.6299999999999999E-4"/>
    <n v="7.9929E-2"/>
  </r>
  <r>
    <x v="1"/>
    <x v="0"/>
    <s v="Q3"/>
    <s v="Others"/>
    <s v="LCoS glasses"/>
    <s v="AR see-through"/>
    <s v="Unknown"/>
    <x v="4"/>
    <x v="6"/>
    <s v="Unknown"/>
    <m/>
    <m/>
    <m/>
    <m/>
    <n v="0"/>
    <s v="Unknown"/>
    <s v=" "/>
    <n v="2"/>
    <n v="2.7499999999999998E-3"/>
    <n v="0.1265"/>
  </r>
  <r>
    <x v="1"/>
    <x v="0"/>
    <s v="Q3"/>
    <s v="Others"/>
    <s v="SiOLED glasses"/>
    <s v="AR see-through"/>
    <s v="Unknown"/>
    <x v="2"/>
    <x v="4"/>
    <s v="Unknown"/>
    <m/>
    <m/>
    <m/>
    <m/>
    <n v="0"/>
    <s v="Unknown"/>
    <s v=" "/>
    <n v="2"/>
    <n v="1.1000000000000001E-3"/>
    <n v="9.6800000000000011E-2"/>
  </r>
  <r>
    <x v="0"/>
    <x v="0"/>
    <s v="Q4"/>
    <s v="DPVR"/>
    <s v="P1 family"/>
    <s v="VR"/>
    <s v="Standalone"/>
    <x v="0"/>
    <x v="0"/>
    <s v="Unknown"/>
    <s v=" "/>
    <m/>
    <m/>
    <m/>
    <n v="0"/>
    <s v="Unknown"/>
    <d v="2019-11-01T00:00:00"/>
    <n v="1"/>
    <n v="4.1250000000000002E-2"/>
    <n v="2.4750000000000001"/>
  </r>
  <r>
    <x v="0"/>
    <x v="0"/>
    <s v="Q4"/>
    <s v="HP"/>
    <s v="Reverb"/>
    <s v="VR"/>
    <s v="Tethered"/>
    <x v="0"/>
    <x v="1"/>
    <s v="Unknown"/>
    <s v=" "/>
    <n v="2.89"/>
    <n v="2160"/>
    <n v="2160"/>
    <n v="1056.990067379199"/>
    <n v="90"/>
    <d v="2019-05-01T00:00:00"/>
    <n v="2"/>
    <n v="5.5E-2"/>
    <n v="2.2000000000000002"/>
  </r>
  <r>
    <x v="0"/>
    <x v="0"/>
    <s v="Q4"/>
    <s v="HP"/>
    <s v="Reverb G2"/>
    <s v="VR"/>
    <s v="Tethered"/>
    <x v="0"/>
    <x v="1"/>
    <s v="Unknown"/>
    <s v=" "/>
    <n v="2.89"/>
    <n v="2160"/>
    <n v="2160"/>
    <n v="1056.990067379199"/>
    <n v="90"/>
    <d v="2020-11-01T00:00:00"/>
    <n v="2"/>
    <n v="1.0999999999999999E-2"/>
    <n v="0.43999999999999995"/>
  </r>
  <r>
    <x v="0"/>
    <x v="0"/>
    <s v="Q4"/>
    <s v="HTC"/>
    <s v="Vive LCD headsets"/>
    <s v="VR"/>
    <s v="Standalone"/>
    <x v="0"/>
    <x v="1"/>
    <s v="JDI"/>
    <s v=" "/>
    <m/>
    <m/>
    <m/>
    <n v="0"/>
    <s v="Unknown"/>
    <d v="2019-10-01T00:00:00"/>
    <n v="2"/>
    <n v="6.875E-3"/>
    <n v="0.27500000000000002"/>
  </r>
  <r>
    <x v="0"/>
    <x v="0"/>
    <s v="Q4"/>
    <s v="Meta"/>
    <s v="Quest 2"/>
    <s v="VR"/>
    <s v="Standalone"/>
    <x v="0"/>
    <x v="0"/>
    <s v="JDI"/>
    <s v="Sharp/BOE"/>
    <n v="5.5"/>
    <n v="3840"/>
    <n v="1832"/>
    <n v="773.56797048396322"/>
    <n v="90"/>
    <d v="2020-10-01T00:00:00"/>
    <n v="1"/>
    <n v="1.100344"/>
    <n v="66.02064"/>
  </r>
  <r>
    <x v="0"/>
    <x v="0"/>
    <s v="Q4"/>
    <s v="Oculus"/>
    <s v="Quest"/>
    <s v="VR"/>
    <s v="Standalone"/>
    <x v="1"/>
    <x v="2"/>
    <s v="SDC"/>
    <s v=" "/>
    <n v="3.5"/>
    <n v="1440"/>
    <n v="1600"/>
    <n v="615.02281358051255"/>
    <n v="72"/>
    <d v="2019-05-01T00:00:00"/>
    <n v="2"/>
    <n v="0.1925"/>
    <n v="4.4744079441599993"/>
  </r>
  <r>
    <x v="0"/>
    <x v="0"/>
    <s v="Q4"/>
    <s v="Oculus"/>
    <s v="Rift S"/>
    <s v="VR"/>
    <s v="Tethered"/>
    <x v="0"/>
    <x v="0"/>
    <s v="JDI"/>
    <s v="Sharp"/>
    <n v="5.46"/>
    <n v="2560"/>
    <n v="1440"/>
    <n v="537.95046888456613"/>
    <n v="80"/>
    <d v="2019-05-01T00:00:00"/>
    <n v="1"/>
    <n v="8.2500000000000004E-2"/>
    <n v="4.95"/>
  </r>
  <r>
    <x v="0"/>
    <x v="0"/>
    <s v="Q4"/>
    <s v="Pimax"/>
    <s v="Pimax VR"/>
    <s v="VR"/>
    <s v="Tethered"/>
    <x v="0"/>
    <x v="1"/>
    <s v="BOE"/>
    <s v="Innolux"/>
    <m/>
    <m/>
    <m/>
    <n v="0"/>
    <s v="Unknown"/>
    <s v=" "/>
    <n v="2"/>
    <n v="8.2500000000000004E-3"/>
    <n v="0.33"/>
  </r>
  <r>
    <x v="0"/>
    <x v="0"/>
    <s v="Q4"/>
    <s v="Sony"/>
    <s v="PlayStation VR"/>
    <s v="VR"/>
    <s v="Tethered"/>
    <x v="1"/>
    <x v="3"/>
    <s v="SDC"/>
    <s v=" "/>
    <n v="5.7"/>
    <n v="1920"/>
    <n v="1080"/>
    <n v="386.47494211970144"/>
    <n v="120"/>
    <d v="2016-10-01T00:00:00"/>
    <n v="1"/>
    <n v="0.2"/>
    <n v="6.6410507519999999"/>
  </r>
  <r>
    <x v="0"/>
    <x v="0"/>
    <s v="Q4"/>
    <s v="Others"/>
    <s v="OLED VR headset"/>
    <s v="VR"/>
    <s v="Unknown"/>
    <x v="1"/>
    <x v="2"/>
    <s v="Unknown"/>
    <s v=" "/>
    <m/>
    <m/>
    <m/>
    <n v="0"/>
    <s v="Unknown"/>
    <s v=" "/>
    <n v="2"/>
    <n v="0.3075"/>
    <n v="7.1474308718399993"/>
  </r>
  <r>
    <x v="0"/>
    <x v="0"/>
    <s v="Q4"/>
    <s v="Others"/>
    <s v="Single LCD VR headset"/>
    <s v="VR"/>
    <s v="Unknown"/>
    <x v="0"/>
    <x v="0"/>
    <s v="Unknown"/>
    <s v=" "/>
    <m/>
    <m/>
    <m/>
    <n v="0"/>
    <s v="Unknown"/>
    <s v=" "/>
    <n v="1"/>
    <n v="0.44"/>
    <n v="26.4"/>
  </r>
  <r>
    <x v="0"/>
    <x v="0"/>
    <s v="Q4"/>
    <s v="Valve"/>
    <s v="Index"/>
    <s v="VR"/>
    <s v="Tethered"/>
    <x v="0"/>
    <x v="1"/>
    <s v="Unknwon"/>
    <s v=" "/>
    <n v="3.5"/>
    <n v="1440"/>
    <n v="1600"/>
    <n v="615.02281358051255"/>
    <n v="144"/>
    <d v="2019-05-01T00:00:00"/>
    <n v="2"/>
    <n v="8.2500000000000004E-2"/>
    <n v="3.3000000000000003"/>
  </r>
  <r>
    <x v="1"/>
    <x v="0"/>
    <s v="Q4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3.3000000000000002E-2"/>
    <n v="2.9039999999999999"/>
  </r>
  <r>
    <x v="1"/>
    <x v="0"/>
    <s v="Q4"/>
    <s v="Google"/>
    <s v="Glass"/>
    <s v="AR see-through"/>
    <s v="Standalone"/>
    <x v="3"/>
    <x v="5"/>
    <s v="Kopin"/>
    <m/>
    <m/>
    <n v="640"/>
    <n v="360"/>
    <n v="0"/>
    <s v="Unknown"/>
    <d v="2019-05-01T00:00:00"/>
    <n v="1"/>
    <n v="1.0999999999999999E-2"/>
    <n v="0.46199999999999997"/>
  </r>
  <r>
    <x v="1"/>
    <x v="0"/>
    <s v="Q4"/>
    <s v="Magic Leap"/>
    <s v="ML One"/>
    <s v="AR see-through"/>
    <s v="Standalone"/>
    <x v="4"/>
    <x v="6"/>
    <s v="Unknown"/>
    <m/>
    <m/>
    <n v="1280"/>
    <n v="960"/>
    <n v="0"/>
    <n v="120"/>
    <d v="2018-08-01T00:00:00"/>
    <n v="2"/>
    <n v="2.4750000000000002E-3"/>
    <n v="0.11385000000000001"/>
  </r>
  <r>
    <x v="1"/>
    <x v="0"/>
    <s v="Q4"/>
    <s v="Microsoft"/>
    <s v="HoloLens 2"/>
    <s v="AR see-through"/>
    <s v="Standalone"/>
    <x v="5"/>
    <x v="7"/>
    <s v="Unknown"/>
    <m/>
    <m/>
    <m/>
    <m/>
    <n v="0"/>
    <s v="Unknown"/>
    <d v="2019-11-01T00:00:00"/>
    <n v="2"/>
    <n v="4.3999999999999997E-2"/>
    <n v="4.9279999999999999"/>
  </r>
  <r>
    <x v="1"/>
    <x v="0"/>
    <s v="Q4"/>
    <s v="XREAL"/>
    <s v="Light"/>
    <s v="AR see-through"/>
    <s v="Tethered"/>
    <x v="2"/>
    <x v="4"/>
    <s v="BOE"/>
    <m/>
    <n v="0.71"/>
    <n v="1920"/>
    <n v="1080"/>
    <n v="3102.6861550454905"/>
    <n v="90"/>
    <d v="2020-08-01T00:00:00"/>
    <n v="2"/>
    <n v="2.7499999999999998E-3"/>
    <n v="0.24199999999999999"/>
  </r>
  <r>
    <x v="1"/>
    <x v="0"/>
    <s v="Q4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9.6299999999999999E-4"/>
    <n v="7.9929E-2"/>
  </r>
  <r>
    <x v="1"/>
    <x v="0"/>
    <s v="Q4"/>
    <s v="Others"/>
    <s v="LCoS glasses"/>
    <s v="AR see-through"/>
    <s v="Unknown"/>
    <x v="4"/>
    <x v="6"/>
    <s v="Unknown"/>
    <m/>
    <m/>
    <m/>
    <m/>
    <n v="0"/>
    <s v="Unknown"/>
    <s v=" "/>
    <n v="2"/>
    <n v="2.7499999999999998E-3"/>
    <n v="0.1265"/>
  </r>
  <r>
    <x v="1"/>
    <x v="0"/>
    <s v="Q4"/>
    <s v="Others"/>
    <s v="SiOLED glasses"/>
    <s v="AR see-through"/>
    <s v="Unknown"/>
    <x v="2"/>
    <x v="4"/>
    <s v="Unknown"/>
    <m/>
    <m/>
    <m/>
    <m/>
    <n v="0"/>
    <s v="Unknown"/>
    <s v=" "/>
    <n v="2"/>
    <n v="1.1000000000000001E-3"/>
    <n v="9.6800000000000011E-2"/>
  </r>
  <r>
    <x v="0"/>
    <x v="1"/>
    <s v="Q1"/>
    <s v="DPVR"/>
    <s v="P1 family"/>
    <s v="VR"/>
    <s v="Standalone"/>
    <x v="0"/>
    <x v="0"/>
    <s v="Unknown"/>
    <s v=" "/>
    <m/>
    <m/>
    <m/>
    <n v="0"/>
    <s v="Unknown"/>
    <d v="2019-11-01T00:00:00"/>
    <n v="1"/>
    <n v="0.12375"/>
    <n v="7.2764999999999995"/>
  </r>
  <r>
    <x v="0"/>
    <x v="1"/>
    <s v="Q1"/>
    <s v="HP"/>
    <s v="Reverb"/>
    <s v="VR"/>
    <s v="Tethered"/>
    <x v="0"/>
    <x v="1"/>
    <s v="Unknown"/>
    <s v=" "/>
    <n v="2.89"/>
    <n v="2160"/>
    <n v="2160"/>
    <n v="1056.990067379199"/>
    <n v="90"/>
    <d v="2019-05-01T00:00:00"/>
    <n v="2"/>
    <n v="2.75E-2"/>
    <n v="1.0780000000000001"/>
  </r>
  <r>
    <x v="0"/>
    <x v="1"/>
    <s v="Q1"/>
    <s v="HP"/>
    <s v="Reverb G2"/>
    <s v="VR"/>
    <s v="Tethered"/>
    <x v="0"/>
    <x v="1"/>
    <s v="Unknown"/>
    <s v=" "/>
    <n v="2.89"/>
    <n v="2160"/>
    <n v="2160"/>
    <n v="1056.990067379199"/>
    <n v="90"/>
    <d v="2020-11-01T00:00:00"/>
    <n v="2"/>
    <n v="1.375E-2"/>
    <n v="0.53900000000000003"/>
  </r>
  <r>
    <x v="0"/>
    <x v="1"/>
    <s v="Q1"/>
    <s v="HTC"/>
    <s v="Vive LCD headsets"/>
    <s v="VR"/>
    <s v="Standalone"/>
    <x v="0"/>
    <x v="1"/>
    <s v="JDI"/>
    <s v=" "/>
    <m/>
    <m/>
    <m/>
    <n v="0"/>
    <s v="Unknown"/>
    <d v="2019-10-01T00:00:00"/>
    <n v="2"/>
    <n v="1.0999999999999999E-2"/>
    <n v="0.43120000000000003"/>
  </r>
  <r>
    <x v="0"/>
    <x v="1"/>
    <s v="Q1"/>
    <s v="Meta"/>
    <s v="Quest 2"/>
    <s v="VR"/>
    <s v="Standalone"/>
    <x v="0"/>
    <x v="0"/>
    <s v="JDI"/>
    <s v="Sharp/BOE"/>
    <n v="5.5"/>
    <n v="3840"/>
    <n v="1832"/>
    <n v="773.56797048396322"/>
    <n v="90"/>
    <d v="2020-10-01T00:00:00"/>
    <n v="1"/>
    <n v="1.5125"/>
    <n v="88.934999999999988"/>
  </r>
  <r>
    <x v="0"/>
    <x v="1"/>
    <s v="Q1"/>
    <s v="Oculus"/>
    <s v="Quest"/>
    <s v="VR"/>
    <s v="Standalone"/>
    <x v="1"/>
    <x v="2"/>
    <s v="SDC"/>
    <s v=" "/>
    <n v="3.5"/>
    <n v="1440"/>
    <n v="1600"/>
    <n v="615.02281358051255"/>
    <n v="72"/>
    <d v="2019-05-01T00:00:00"/>
    <n v="2"/>
    <n v="8.2500000000000004E-2"/>
    <n v="1.8792513365471999"/>
  </r>
  <r>
    <x v="0"/>
    <x v="1"/>
    <s v="Q1"/>
    <s v="Oculus"/>
    <s v="Rift S"/>
    <s v="VR"/>
    <s v="Tethered"/>
    <x v="0"/>
    <x v="0"/>
    <s v="JDI"/>
    <s v="Sharp"/>
    <n v="5.46"/>
    <n v="2560"/>
    <n v="1440"/>
    <n v="537.95046888456613"/>
    <n v="80"/>
    <d v="2019-05-01T00:00:00"/>
    <n v="1"/>
    <n v="3.4375000000000003E-2"/>
    <n v="2.0212500000000002"/>
  </r>
  <r>
    <x v="0"/>
    <x v="1"/>
    <s v="Q1"/>
    <s v="Pico"/>
    <s v="Neo 3 / G3"/>
    <s v="VR"/>
    <s v="Standalone"/>
    <x v="0"/>
    <x v="0"/>
    <s v="JDI"/>
    <s v="Innolux"/>
    <n v="5.5"/>
    <n v="3840"/>
    <n v="1832"/>
    <n v="773.56797048396322"/>
    <n v="90"/>
    <d v="2021-05-01T00:00:00"/>
    <n v="1"/>
    <n v="1.7874999999999999E-2"/>
    <n v="1.0510499999999998"/>
  </r>
  <r>
    <x v="0"/>
    <x v="1"/>
    <s v="Q1"/>
    <s v="Pimax"/>
    <s v="Pimax VR"/>
    <s v="VR"/>
    <s v="Tethered"/>
    <x v="0"/>
    <x v="1"/>
    <s v="BOE"/>
    <s v="Innolux"/>
    <m/>
    <m/>
    <m/>
    <n v="0"/>
    <s v="Unknown"/>
    <s v=" "/>
    <n v="2"/>
    <n v="2.4750000000000001E-2"/>
    <n v="0.97020000000000006"/>
  </r>
  <r>
    <x v="0"/>
    <x v="1"/>
    <s v="Q1"/>
    <s v="Sony"/>
    <s v="PlayStation VR"/>
    <s v="VR"/>
    <s v="Tethered"/>
    <x v="1"/>
    <x v="3"/>
    <s v="SDC"/>
    <s v=" "/>
    <n v="5.7"/>
    <n v="1920"/>
    <n v="1080"/>
    <n v="386.47494211970144"/>
    <n v="120"/>
    <d v="2016-10-01T00:00:00"/>
    <n v="1"/>
    <n v="0.1"/>
    <n v="3.2541148684800003"/>
  </r>
  <r>
    <x v="0"/>
    <x v="1"/>
    <s v="Q1"/>
    <s v="Others"/>
    <s v="Dual LCD VR headset"/>
    <s v="VR"/>
    <s v="Unknown"/>
    <x v="0"/>
    <x v="1"/>
    <s v="Unknown"/>
    <s v=" "/>
    <m/>
    <m/>
    <m/>
    <n v="0"/>
    <s v="Unknown"/>
    <s v=" "/>
    <n v="2"/>
    <n v="1.375E-2"/>
    <n v="0.53900000000000003"/>
  </r>
  <r>
    <x v="0"/>
    <x v="1"/>
    <s v="Q1"/>
    <s v="Others"/>
    <s v="OLED VR headset"/>
    <s v="VR"/>
    <s v="Unknown"/>
    <x v="1"/>
    <x v="2"/>
    <s v="Unknown"/>
    <s v=" "/>
    <m/>
    <m/>
    <m/>
    <n v="0"/>
    <s v="Unknown"/>
    <s v=" "/>
    <n v="2"/>
    <n v="0.41749999999999998"/>
    <n v="9.5101507031327976"/>
  </r>
  <r>
    <x v="0"/>
    <x v="1"/>
    <s v="Q1"/>
    <s v="Others"/>
    <s v="Single LCD VR headset"/>
    <s v="VR"/>
    <s v="Unknown"/>
    <x v="0"/>
    <x v="0"/>
    <s v="Unknown"/>
    <s v=" "/>
    <m/>
    <m/>
    <m/>
    <n v="0"/>
    <s v="Unknown"/>
    <s v=" "/>
    <n v="1"/>
    <n v="8.2583000000000004E-2"/>
    <n v="4.8558804000000002"/>
  </r>
  <r>
    <x v="0"/>
    <x v="1"/>
    <s v="Q1"/>
    <s v="Valve"/>
    <s v="Index"/>
    <s v="VR"/>
    <s v="Tethered"/>
    <x v="0"/>
    <x v="1"/>
    <s v="Unknwon"/>
    <s v=" "/>
    <n v="3.5"/>
    <n v="1440"/>
    <n v="1600"/>
    <n v="615.02281358051255"/>
    <n v="144"/>
    <d v="2019-05-01T00:00:00"/>
    <n v="2"/>
    <n v="6.0499999999999998E-2"/>
    <n v="2.3715999999999999"/>
  </r>
  <r>
    <x v="1"/>
    <x v="1"/>
    <s v="Q1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3.5749999999999997E-2"/>
    <n v="3.0201599999999993"/>
  </r>
  <r>
    <x v="1"/>
    <x v="1"/>
    <s v="Q1"/>
    <s v="Google"/>
    <s v="Glass"/>
    <s v="AR see-through"/>
    <s v="Standalone"/>
    <x v="3"/>
    <x v="5"/>
    <s v="Kopin"/>
    <m/>
    <m/>
    <n v="640"/>
    <n v="360"/>
    <n v="0"/>
    <s v="Unknown"/>
    <d v="2019-05-01T00:00:00"/>
    <n v="1"/>
    <n v="8.2500000000000004E-3"/>
    <n v="0.34303499999999998"/>
  </r>
  <r>
    <x v="1"/>
    <x v="1"/>
    <s v="Q1"/>
    <s v="Lenovo"/>
    <s v="ThinkReality A3"/>
    <s v="AR see-through"/>
    <s v="Tethered"/>
    <x v="2"/>
    <x v="4"/>
    <s v="Sony"/>
    <m/>
    <n v="0.71"/>
    <n v="1920"/>
    <n v="1080"/>
    <n v="3102.6861550454905"/>
    <s v="Unknown"/>
    <d v="2021-06-01T00:00:00"/>
    <n v="2"/>
    <n v="8.2500000000000004E-3"/>
    <n v="0.69695999999999991"/>
  </r>
  <r>
    <x v="1"/>
    <x v="1"/>
    <s v="Q1"/>
    <s v="Magic Leap"/>
    <s v="ML One"/>
    <s v="AR see-through"/>
    <s v="Standalone"/>
    <x v="4"/>
    <x v="6"/>
    <s v="Unknown"/>
    <m/>
    <m/>
    <n v="1280"/>
    <n v="960"/>
    <n v="0"/>
    <n v="120"/>
    <d v="2018-08-01T00:00:00"/>
    <n v="2"/>
    <n v="8.25E-4"/>
    <n v="3.75705E-2"/>
  </r>
  <r>
    <x v="1"/>
    <x v="1"/>
    <s v="Q1"/>
    <s v="Microsoft"/>
    <s v="HoloLens 2"/>
    <s v="AR see-through"/>
    <s v="Standalone"/>
    <x v="5"/>
    <x v="7"/>
    <s v="Unknown"/>
    <m/>
    <m/>
    <m/>
    <m/>
    <n v="0"/>
    <s v="Unknown"/>
    <d v="2019-11-01T00:00:00"/>
    <n v="2"/>
    <n v="6.8750000000000006E-2"/>
    <n v="7.4690000000000003"/>
  </r>
  <r>
    <x v="1"/>
    <x v="1"/>
    <s v="Q1"/>
    <s v="XREAL"/>
    <s v="Light"/>
    <s v="AR see-through"/>
    <s v="Tethered"/>
    <x v="2"/>
    <x v="4"/>
    <s v="BOE"/>
    <m/>
    <n v="0.71"/>
    <n v="1920"/>
    <n v="1080"/>
    <n v="3102.6861550454905"/>
    <n v="90"/>
    <d v="2020-08-01T00:00:00"/>
    <n v="2"/>
    <n v="1.6500000000000001E-2"/>
    <n v="1.3939199999999998"/>
  </r>
  <r>
    <x v="1"/>
    <x v="1"/>
    <s v="Q1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9.6299999999999999E-4"/>
    <n v="7.9129710000000006E-2"/>
  </r>
  <r>
    <x v="1"/>
    <x v="1"/>
    <s v="Q1"/>
    <s v="Others"/>
    <s v="DLP glasses"/>
    <s v="AR see-through"/>
    <s v="Unknown"/>
    <x v="6"/>
    <x v="8"/>
    <s v="Unknown"/>
    <m/>
    <m/>
    <m/>
    <m/>
    <n v="0"/>
    <s v="Unknown"/>
    <s v=" "/>
    <n v="1"/>
    <n v="1.3800000000000002E-4"/>
    <n v="1.1339460000000003E-2"/>
  </r>
  <r>
    <x v="1"/>
    <x v="1"/>
    <s v="Q1"/>
    <s v="Others"/>
    <s v="LCoS glasses"/>
    <s v="AR see-through"/>
    <s v="Unknown"/>
    <x v="4"/>
    <x v="6"/>
    <s v="Unknown"/>
    <m/>
    <m/>
    <m/>
    <m/>
    <n v="0"/>
    <s v="Unknown"/>
    <s v=" "/>
    <n v="2"/>
    <n v="2.7499999999999998E-3"/>
    <n v="0.12523499999999999"/>
  </r>
  <r>
    <x v="1"/>
    <x v="1"/>
    <s v="Q1"/>
    <s v="Others"/>
    <s v="SiOLED glasses"/>
    <s v="AR see-through"/>
    <s v="Unknown"/>
    <x v="2"/>
    <x v="4"/>
    <s v="Unknown"/>
    <m/>
    <m/>
    <m/>
    <m/>
    <n v="0"/>
    <s v="Unknown"/>
    <s v=" "/>
    <n v="2"/>
    <n v="1.65E-3"/>
    <n v="0.13939199999999999"/>
  </r>
  <r>
    <x v="0"/>
    <x v="1"/>
    <s v="Q2"/>
    <s v="DPVR"/>
    <s v="P1 family"/>
    <s v="VR"/>
    <s v="Standalone"/>
    <x v="0"/>
    <x v="0"/>
    <s v="Unknown"/>
    <s v=" "/>
    <m/>
    <m/>
    <m/>
    <n v="0"/>
    <s v="Unknown"/>
    <d v="2019-11-01T00:00:00"/>
    <n v="1"/>
    <n v="0.12375"/>
    <n v="7.2764999999999995"/>
  </r>
  <r>
    <x v="0"/>
    <x v="1"/>
    <s v="Q2"/>
    <s v="HP"/>
    <s v="Reverb"/>
    <s v="VR"/>
    <s v="Tethered"/>
    <x v="0"/>
    <x v="1"/>
    <s v="Unknown"/>
    <s v=" "/>
    <n v="2.89"/>
    <n v="2160"/>
    <n v="2160"/>
    <n v="1056.990067379199"/>
    <n v="90"/>
    <d v="2019-05-01T00:00:00"/>
    <n v="2"/>
    <n v="2.75E-2"/>
    <n v="1.0780000000000001"/>
  </r>
  <r>
    <x v="0"/>
    <x v="1"/>
    <s v="Q2"/>
    <s v="HP"/>
    <s v="Reverb G2"/>
    <s v="VR"/>
    <s v="Tethered"/>
    <x v="0"/>
    <x v="1"/>
    <s v="Unknown"/>
    <s v=" "/>
    <n v="2.89"/>
    <n v="2160"/>
    <n v="2160"/>
    <n v="1056.990067379199"/>
    <n v="90"/>
    <d v="2020-11-01T00:00:00"/>
    <n v="2"/>
    <n v="1.375E-2"/>
    <n v="0.53900000000000003"/>
  </r>
  <r>
    <x v="0"/>
    <x v="1"/>
    <s v="Q2"/>
    <s v="HTC"/>
    <s v="Vive LCD headsets"/>
    <s v="VR"/>
    <s v="Standalone"/>
    <x v="0"/>
    <x v="1"/>
    <s v="JDI"/>
    <s v=" "/>
    <m/>
    <m/>
    <m/>
    <n v="0"/>
    <s v="Unknown"/>
    <d v="2019-10-01T00:00:00"/>
    <n v="2"/>
    <n v="1.0999999999999999E-2"/>
    <n v="0.43120000000000003"/>
  </r>
  <r>
    <x v="0"/>
    <x v="1"/>
    <s v="Q2"/>
    <s v="Meta"/>
    <s v="Quest 2"/>
    <s v="VR"/>
    <s v="Standalone"/>
    <x v="0"/>
    <x v="0"/>
    <s v="JDI"/>
    <s v="Sharp/BOE"/>
    <n v="5.5"/>
    <n v="3840"/>
    <n v="1832"/>
    <n v="773.56797048396322"/>
    <n v="90"/>
    <d v="2020-10-01T00:00:00"/>
    <n v="1"/>
    <n v="1.5125"/>
    <n v="88.934999999999988"/>
  </r>
  <r>
    <x v="0"/>
    <x v="1"/>
    <s v="Q2"/>
    <s v="Oculus"/>
    <s v="Quest"/>
    <s v="VR"/>
    <s v="Standalone"/>
    <x v="1"/>
    <x v="2"/>
    <s v="SDC"/>
    <s v=" "/>
    <n v="3.5"/>
    <n v="1440"/>
    <n v="1600"/>
    <n v="615.02281358051255"/>
    <n v="72"/>
    <d v="2019-05-01T00:00:00"/>
    <n v="2"/>
    <n v="8.2500000000000004E-2"/>
    <n v="1.8416663098162558"/>
  </r>
  <r>
    <x v="0"/>
    <x v="1"/>
    <s v="Q2"/>
    <s v="Oculus"/>
    <s v="Rift S"/>
    <s v="VR"/>
    <s v="Tethered"/>
    <x v="0"/>
    <x v="0"/>
    <s v="JDI"/>
    <s v="Sharp"/>
    <n v="5.46"/>
    <n v="2560"/>
    <n v="1440"/>
    <n v="537.95046888456613"/>
    <n v="80"/>
    <d v="2019-05-01T00:00:00"/>
    <n v="1"/>
    <n v="3.4375000000000003E-2"/>
    <n v="2.0212500000000002"/>
  </r>
  <r>
    <x v="0"/>
    <x v="1"/>
    <s v="Q2"/>
    <s v="Pico"/>
    <s v="Neo 3 / G3"/>
    <s v="VR"/>
    <s v="Standalone"/>
    <x v="0"/>
    <x v="0"/>
    <s v="JDI"/>
    <s v="Innolux"/>
    <n v="5.5"/>
    <n v="3840"/>
    <n v="1832"/>
    <n v="773.56797048396322"/>
    <n v="90"/>
    <d v="2021-05-01T00:00:00"/>
    <n v="1"/>
    <n v="1.7874999999999999E-2"/>
    <n v="1.0510499999999998"/>
  </r>
  <r>
    <x v="0"/>
    <x v="1"/>
    <s v="Q2"/>
    <s v="Pimax"/>
    <s v="Pimax VR"/>
    <s v="VR"/>
    <s v="Tethered"/>
    <x v="0"/>
    <x v="1"/>
    <s v="BOE"/>
    <s v="Innolux"/>
    <m/>
    <m/>
    <m/>
    <n v="0"/>
    <s v="Unknown"/>
    <s v=" "/>
    <n v="2"/>
    <n v="2.4750000000000001E-2"/>
    <n v="0.97020000000000006"/>
  </r>
  <r>
    <x v="0"/>
    <x v="1"/>
    <s v="Q2"/>
    <s v="Sony"/>
    <s v="PlayStation VR"/>
    <s v="VR"/>
    <s v="Tethered"/>
    <x v="1"/>
    <x v="3"/>
    <s v="SDC"/>
    <s v=" "/>
    <n v="5.7"/>
    <n v="1920"/>
    <n v="1080"/>
    <n v="386.47494211970144"/>
    <n v="120"/>
    <d v="2016-10-01T00:00:00"/>
    <n v="1"/>
    <n v="0.1"/>
    <n v="3.1890325711103999"/>
  </r>
  <r>
    <x v="0"/>
    <x v="1"/>
    <s v="Q2"/>
    <s v="Others"/>
    <s v="Dual LCD VR headset"/>
    <s v="VR"/>
    <s v="Unknown"/>
    <x v="0"/>
    <x v="1"/>
    <s v="Unknown"/>
    <s v=" "/>
    <m/>
    <m/>
    <m/>
    <n v="0"/>
    <s v="Unknown"/>
    <s v=" "/>
    <n v="2"/>
    <n v="1.375E-2"/>
    <n v="0.53900000000000003"/>
  </r>
  <r>
    <x v="0"/>
    <x v="1"/>
    <s v="Q2"/>
    <s v="Others"/>
    <s v="OLED VR headset"/>
    <s v="VR"/>
    <s v="Unknown"/>
    <x v="1"/>
    <x v="2"/>
    <s v="Unknown"/>
    <s v=" "/>
    <m/>
    <m/>
    <m/>
    <n v="0"/>
    <s v="Unknown"/>
    <s v=" "/>
    <n v="2"/>
    <n v="0.41749999999999998"/>
    <n v="9.3199476890701423"/>
  </r>
  <r>
    <x v="0"/>
    <x v="1"/>
    <s v="Q2"/>
    <s v="Others"/>
    <s v="Single LCD VR headset"/>
    <s v="VR"/>
    <s v="Unknown"/>
    <x v="0"/>
    <x v="0"/>
    <s v="Unknown"/>
    <s v=" "/>
    <m/>
    <m/>
    <m/>
    <n v="0"/>
    <s v="Unknown"/>
    <s v=" "/>
    <n v="1"/>
    <n v="8.2583000000000004E-2"/>
    <n v="4.8558804000000002"/>
  </r>
  <r>
    <x v="0"/>
    <x v="1"/>
    <s v="Q2"/>
    <s v="Valve"/>
    <s v="Index"/>
    <s v="VR"/>
    <s v="Tethered"/>
    <x v="0"/>
    <x v="1"/>
    <s v="Unknwon"/>
    <s v=" "/>
    <n v="3.5"/>
    <n v="1440"/>
    <n v="1600"/>
    <n v="615.02281358051255"/>
    <n v="144"/>
    <d v="2019-05-01T00:00:00"/>
    <n v="2"/>
    <n v="6.0499999999999998E-2"/>
    <n v="2.3715999999999999"/>
  </r>
  <r>
    <x v="1"/>
    <x v="1"/>
    <s v="Q2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3.5749999999999997E-2"/>
    <n v="3.0201599999999993"/>
  </r>
  <r>
    <x v="1"/>
    <x v="1"/>
    <s v="Q2"/>
    <s v="Google"/>
    <s v="Glass"/>
    <s v="AR see-through"/>
    <s v="Standalone"/>
    <x v="3"/>
    <x v="5"/>
    <s v="Kopin"/>
    <m/>
    <m/>
    <n v="640"/>
    <n v="360"/>
    <n v="0"/>
    <s v="Unknown"/>
    <d v="2019-05-01T00:00:00"/>
    <n v="1"/>
    <n v="8.2500000000000004E-3"/>
    <n v="0.34303499999999998"/>
  </r>
  <r>
    <x v="1"/>
    <x v="1"/>
    <s v="Q2"/>
    <s v="Lenovo"/>
    <s v="ThinkReality A3"/>
    <s v="AR see-through"/>
    <s v="Tethered"/>
    <x v="2"/>
    <x v="4"/>
    <s v="Sony"/>
    <m/>
    <n v="0.71"/>
    <n v="1920"/>
    <n v="1080"/>
    <n v="3102.6861550454905"/>
    <s v="Unknown"/>
    <d v="2021-06-01T00:00:00"/>
    <n v="2"/>
    <n v="8.2500000000000004E-3"/>
    <n v="0.69695999999999991"/>
  </r>
  <r>
    <x v="1"/>
    <x v="1"/>
    <s v="Q2"/>
    <s v="Magic Leap"/>
    <s v="ML One"/>
    <s v="AR see-through"/>
    <s v="Standalone"/>
    <x v="4"/>
    <x v="6"/>
    <s v="Unknown"/>
    <m/>
    <m/>
    <n v="1280"/>
    <n v="960"/>
    <n v="0"/>
    <n v="120"/>
    <d v="2018-08-01T00:00:00"/>
    <n v="2"/>
    <n v="8.25E-4"/>
    <n v="3.75705E-2"/>
  </r>
  <r>
    <x v="1"/>
    <x v="1"/>
    <s v="Q2"/>
    <s v="Microsoft"/>
    <s v="HoloLens 2"/>
    <s v="AR see-through"/>
    <s v="Standalone"/>
    <x v="5"/>
    <x v="7"/>
    <s v="Unknown"/>
    <m/>
    <m/>
    <m/>
    <m/>
    <n v="0"/>
    <s v="Unknown"/>
    <d v="2019-11-01T00:00:00"/>
    <n v="2"/>
    <n v="6.8750000000000006E-2"/>
    <n v="7.4690000000000003"/>
  </r>
  <r>
    <x v="1"/>
    <x v="1"/>
    <s v="Q2"/>
    <s v="XREAL"/>
    <s v="Light"/>
    <s v="AR see-through"/>
    <s v="Tethered"/>
    <x v="2"/>
    <x v="4"/>
    <s v="BOE"/>
    <m/>
    <n v="0.71"/>
    <n v="1920"/>
    <n v="1080"/>
    <n v="3102.6861550454905"/>
    <n v="90"/>
    <d v="2020-08-01T00:00:00"/>
    <n v="2"/>
    <n v="1.6500000000000001E-2"/>
    <n v="1.3939199999999998"/>
  </r>
  <r>
    <x v="1"/>
    <x v="1"/>
    <s v="Q2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9.6299999999999999E-4"/>
    <n v="7.9129710000000006E-2"/>
  </r>
  <r>
    <x v="1"/>
    <x v="1"/>
    <s v="Q2"/>
    <s v="Others"/>
    <s v="DLP glasses"/>
    <s v="AR see-through"/>
    <s v="Unknown"/>
    <x v="6"/>
    <x v="8"/>
    <s v="Unknown"/>
    <m/>
    <m/>
    <m/>
    <m/>
    <n v="0"/>
    <s v="Unknown"/>
    <s v=" "/>
    <n v="1"/>
    <n v="1.3800000000000002E-4"/>
    <n v="1.1339460000000003E-2"/>
  </r>
  <r>
    <x v="1"/>
    <x v="1"/>
    <s v="Q2"/>
    <s v="Others"/>
    <s v="LCoS glasses"/>
    <s v="AR see-through"/>
    <s v="Unknown"/>
    <x v="4"/>
    <x v="6"/>
    <s v="Unknown"/>
    <m/>
    <m/>
    <m/>
    <m/>
    <n v="0"/>
    <s v="Unknown"/>
    <s v=" "/>
    <n v="2"/>
    <n v="2.7499999999999998E-3"/>
    <n v="0.12523499999999999"/>
  </r>
  <r>
    <x v="1"/>
    <x v="1"/>
    <s v="Q2"/>
    <s v="Others"/>
    <s v="SiOLED glasses"/>
    <s v="AR see-through"/>
    <s v="Unknown"/>
    <x v="2"/>
    <x v="4"/>
    <s v="Unknown"/>
    <m/>
    <m/>
    <m/>
    <m/>
    <n v="0"/>
    <s v="Unknown"/>
    <s v=" "/>
    <n v="2"/>
    <n v="1.65E-3"/>
    <n v="0.13939199999999999"/>
  </r>
  <r>
    <x v="0"/>
    <x v="1"/>
    <s v="Q3"/>
    <s v="DPVR"/>
    <s v="P1 family"/>
    <s v="VR"/>
    <s v="Standalone"/>
    <x v="0"/>
    <x v="0"/>
    <s v="Unknown"/>
    <s v=" "/>
    <m/>
    <m/>
    <m/>
    <n v="0"/>
    <s v="Unknown"/>
    <d v="2019-11-01T00:00:00"/>
    <n v="1"/>
    <n v="0.12375"/>
    <n v="7.2764999999999995"/>
  </r>
  <r>
    <x v="0"/>
    <x v="1"/>
    <s v="Q3"/>
    <s v="HP"/>
    <s v="Reverb"/>
    <s v="VR"/>
    <s v="Tethered"/>
    <x v="0"/>
    <x v="1"/>
    <s v="Unknown"/>
    <s v=" "/>
    <n v="2.89"/>
    <n v="2160"/>
    <n v="2160"/>
    <n v="1056.990067379199"/>
    <n v="90"/>
    <d v="2019-05-01T00:00:00"/>
    <n v="2"/>
    <n v="2.75E-2"/>
    <n v="1.0780000000000001"/>
  </r>
  <r>
    <x v="0"/>
    <x v="1"/>
    <s v="Q3"/>
    <s v="HP"/>
    <s v="Reverb G2"/>
    <s v="VR"/>
    <s v="Tethered"/>
    <x v="0"/>
    <x v="1"/>
    <s v="Unknown"/>
    <s v=" "/>
    <n v="2.89"/>
    <n v="2160"/>
    <n v="2160"/>
    <n v="1056.990067379199"/>
    <n v="90"/>
    <d v="2020-11-01T00:00:00"/>
    <n v="2"/>
    <n v="1.375E-2"/>
    <n v="0.53900000000000003"/>
  </r>
  <r>
    <x v="0"/>
    <x v="1"/>
    <s v="Q3"/>
    <s v="HTC"/>
    <s v="Vive LCD headsets"/>
    <s v="VR"/>
    <s v="Standalone"/>
    <x v="0"/>
    <x v="1"/>
    <s v="JDI"/>
    <s v=" "/>
    <m/>
    <m/>
    <m/>
    <n v="0"/>
    <s v="Unknown"/>
    <d v="2019-10-01T00:00:00"/>
    <n v="2"/>
    <n v="1.0999999999999999E-2"/>
    <n v="0.43120000000000003"/>
  </r>
  <r>
    <x v="0"/>
    <x v="1"/>
    <s v="Q3"/>
    <s v="Meta"/>
    <s v="Quest 2"/>
    <s v="VR"/>
    <s v="Standalone"/>
    <x v="0"/>
    <x v="0"/>
    <s v="JDI"/>
    <s v="Sharp/BOE"/>
    <n v="5.5"/>
    <n v="3840"/>
    <n v="1832"/>
    <n v="773.56797048396322"/>
    <n v="90"/>
    <d v="2020-10-01T00:00:00"/>
    <n v="1"/>
    <n v="1.5125"/>
    <n v="88.934999999999988"/>
  </r>
  <r>
    <x v="0"/>
    <x v="1"/>
    <s v="Q3"/>
    <s v="Oculus"/>
    <s v="Quest"/>
    <s v="VR"/>
    <s v="Standalone"/>
    <x v="1"/>
    <x v="2"/>
    <s v="SDC"/>
    <s v=" "/>
    <n v="3.5"/>
    <n v="1440"/>
    <n v="1600"/>
    <n v="615.02281358051255"/>
    <n v="72"/>
    <d v="2019-05-01T00:00:00"/>
    <n v="2"/>
    <n v="8.2500000000000004E-2"/>
    <n v="1.8048329836199308"/>
  </r>
  <r>
    <x v="0"/>
    <x v="1"/>
    <s v="Q3"/>
    <s v="Oculus"/>
    <s v="Rift S"/>
    <s v="VR"/>
    <s v="Tethered"/>
    <x v="0"/>
    <x v="0"/>
    <s v="JDI"/>
    <s v="Sharp"/>
    <n v="5.46"/>
    <n v="2560"/>
    <n v="1440"/>
    <n v="537.95046888456613"/>
    <n v="80"/>
    <d v="2019-05-01T00:00:00"/>
    <n v="1"/>
    <n v="3.4375000000000003E-2"/>
    <n v="2.0212500000000002"/>
  </r>
  <r>
    <x v="0"/>
    <x v="1"/>
    <s v="Q3"/>
    <s v="Pico"/>
    <s v="Neo 3 / G3"/>
    <s v="VR"/>
    <s v="Standalone"/>
    <x v="0"/>
    <x v="0"/>
    <s v="JDI"/>
    <s v="Innolux"/>
    <n v="5.5"/>
    <n v="3840"/>
    <n v="1832"/>
    <n v="773.56797048396322"/>
    <n v="90"/>
    <d v="2021-05-01T00:00:00"/>
    <n v="1"/>
    <n v="1.7874999999999999E-2"/>
    <n v="1.0510499999999998"/>
  </r>
  <r>
    <x v="0"/>
    <x v="1"/>
    <s v="Q3"/>
    <s v="Pimax"/>
    <s v="Pimax VR"/>
    <s v="VR"/>
    <s v="Tethered"/>
    <x v="0"/>
    <x v="1"/>
    <s v="BOE"/>
    <s v="Innolux"/>
    <m/>
    <m/>
    <m/>
    <n v="0"/>
    <s v="Unknown"/>
    <s v=" "/>
    <n v="2"/>
    <n v="2.4750000000000001E-2"/>
    <n v="0.97020000000000006"/>
  </r>
  <r>
    <x v="0"/>
    <x v="1"/>
    <s v="Q3"/>
    <s v="Sony"/>
    <s v="PlayStation VR"/>
    <s v="VR"/>
    <s v="Tethered"/>
    <x v="1"/>
    <x v="3"/>
    <s v="SDC"/>
    <s v=" "/>
    <n v="5.7"/>
    <n v="1920"/>
    <n v="1080"/>
    <n v="386.47494211970144"/>
    <n v="120"/>
    <d v="2016-10-01T00:00:00"/>
    <n v="1"/>
    <n v="0.1"/>
    <n v="3.1252519196881918"/>
  </r>
  <r>
    <x v="0"/>
    <x v="1"/>
    <s v="Q3"/>
    <s v="Others"/>
    <s v="Dual LCD VR headset"/>
    <s v="VR"/>
    <s v="Unknown"/>
    <x v="0"/>
    <x v="1"/>
    <s v="Unknown"/>
    <s v=" "/>
    <m/>
    <m/>
    <m/>
    <n v="0"/>
    <s v="Unknown"/>
    <s v=" "/>
    <n v="2"/>
    <n v="1.375E-2"/>
    <n v="0.53900000000000003"/>
  </r>
  <r>
    <x v="0"/>
    <x v="1"/>
    <s v="Q3"/>
    <s v="Others"/>
    <s v="OLED VR headset"/>
    <s v="VR"/>
    <s v="Unknown"/>
    <x v="1"/>
    <x v="2"/>
    <s v="Unknown"/>
    <s v=" "/>
    <m/>
    <m/>
    <m/>
    <n v="0"/>
    <s v="Unknown"/>
    <s v=" "/>
    <n v="2"/>
    <n v="0.2175"/>
    <n v="4.7581960477252716"/>
  </r>
  <r>
    <x v="0"/>
    <x v="1"/>
    <s v="Q3"/>
    <s v="Others"/>
    <s v="Single LCD VR headset"/>
    <s v="VR"/>
    <s v="Unknown"/>
    <x v="0"/>
    <x v="0"/>
    <s v="Unknown"/>
    <s v=" "/>
    <m/>
    <m/>
    <m/>
    <n v="0"/>
    <s v="Unknown"/>
    <s v=" "/>
    <n v="1"/>
    <n v="8.2583000000000004E-2"/>
    <n v="4.8558804000000002"/>
  </r>
  <r>
    <x v="0"/>
    <x v="1"/>
    <s v="Q3"/>
    <s v="Valve"/>
    <s v="Index"/>
    <s v="VR"/>
    <s v="Tethered"/>
    <x v="0"/>
    <x v="1"/>
    <s v="Unknwon"/>
    <s v=" "/>
    <n v="3.5"/>
    <n v="1440"/>
    <n v="1600"/>
    <n v="615.02281358051255"/>
    <n v="144"/>
    <d v="2019-05-01T00:00:00"/>
    <n v="2"/>
    <n v="6.0499999999999998E-2"/>
    <n v="2.3715999999999999"/>
  </r>
  <r>
    <x v="1"/>
    <x v="1"/>
    <s v="Q3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3.5749999999999997E-2"/>
    <n v="3.0201599999999993"/>
  </r>
  <r>
    <x v="1"/>
    <x v="1"/>
    <s v="Q3"/>
    <s v="Google"/>
    <s v="Glass"/>
    <s v="AR see-through"/>
    <s v="Standalone"/>
    <x v="3"/>
    <x v="5"/>
    <s v="Kopin"/>
    <m/>
    <m/>
    <n v="640"/>
    <n v="360"/>
    <n v="0"/>
    <s v="Unknown"/>
    <d v="2019-05-01T00:00:00"/>
    <n v="1"/>
    <n v="8.2500000000000004E-3"/>
    <n v="0.34303499999999998"/>
  </r>
  <r>
    <x v="1"/>
    <x v="1"/>
    <s v="Q3"/>
    <s v="Lenovo"/>
    <s v="ThinkReality A3"/>
    <s v="AR see-through"/>
    <s v="Tethered"/>
    <x v="2"/>
    <x v="4"/>
    <s v="Sony"/>
    <m/>
    <n v="0.71"/>
    <n v="1920"/>
    <n v="1080"/>
    <n v="3102.6861550454905"/>
    <s v="Unknown"/>
    <d v="2021-06-01T00:00:00"/>
    <n v="2"/>
    <n v="8.2500000000000004E-3"/>
    <n v="0.69695999999999991"/>
  </r>
  <r>
    <x v="1"/>
    <x v="1"/>
    <s v="Q3"/>
    <s v="Magic Leap"/>
    <s v="ML One"/>
    <s v="AR see-through"/>
    <s v="Standalone"/>
    <x v="4"/>
    <x v="6"/>
    <s v="Unknown"/>
    <m/>
    <m/>
    <n v="1280"/>
    <n v="960"/>
    <n v="0"/>
    <n v="120"/>
    <d v="2018-08-01T00:00:00"/>
    <n v="2"/>
    <n v="8.25E-4"/>
    <n v="3.75705E-2"/>
  </r>
  <r>
    <x v="1"/>
    <x v="1"/>
    <s v="Q3"/>
    <s v="Microsoft"/>
    <s v="HoloLens 2"/>
    <s v="AR see-through"/>
    <s v="Standalone"/>
    <x v="5"/>
    <x v="7"/>
    <s v="Unknown"/>
    <m/>
    <m/>
    <m/>
    <m/>
    <n v="0"/>
    <s v="Unknown"/>
    <d v="2019-11-01T00:00:00"/>
    <n v="2"/>
    <n v="6.8750000000000006E-2"/>
    <n v="7.4690000000000003"/>
  </r>
  <r>
    <x v="1"/>
    <x v="1"/>
    <s v="Q3"/>
    <s v="XREAL"/>
    <s v="Light"/>
    <s v="AR see-through"/>
    <s v="Tethered"/>
    <x v="2"/>
    <x v="4"/>
    <s v="BOE"/>
    <m/>
    <n v="0.71"/>
    <n v="1920"/>
    <n v="1080"/>
    <n v="3102.6861550454905"/>
    <n v="90"/>
    <d v="2020-08-01T00:00:00"/>
    <n v="2"/>
    <n v="1.6500000000000001E-2"/>
    <n v="1.3939199999999998"/>
  </r>
  <r>
    <x v="1"/>
    <x v="1"/>
    <s v="Q3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9.6299999999999999E-4"/>
    <n v="7.9129710000000006E-2"/>
  </r>
  <r>
    <x v="1"/>
    <x v="1"/>
    <s v="Q3"/>
    <s v="Others"/>
    <s v="DLP glasses"/>
    <s v="AR see-through"/>
    <s v="Unknown"/>
    <x v="6"/>
    <x v="8"/>
    <s v="Unknown"/>
    <m/>
    <m/>
    <m/>
    <m/>
    <n v="0"/>
    <s v="Unknown"/>
    <s v=" "/>
    <n v="1"/>
    <n v="1.3800000000000002E-4"/>
    <n v="1.1339460000000003E-2"/>
  </r>
  <r>
    <x v="1"/>
    <x v="1"/>
    <s v="Q3"/>
    <s v="Others"/>
    <s v="LCoS glasses"/>
    <s v="AR see-through"/>
    <s v="Unknown"/>
    <x v="4"/>
    <x v="6"/>
    <s v="Unknown"/>
    <m/>
    <m/>
    <m/>
    <m/>
    <n v="0"/>
    <s v="Unknown"/>
    <s v=" "/>
    <n v="2"/>
    <n v="2.7499999999999998E-3"/>
    <n v="0.12523499999999999"/>
  </r>
  <r>
    <x v="1"/>
    <x v="1"/>
    <s v="Q3"/>
    <s v="Others"/>
    <s v="SiOLED glasses"/>
    <s v="AR see-through"/>
    <s v="Unknown"/>
    <x v="2"/>
    <x v="4"/>
    <s v="Unknown"/>
    <m/>
    <m/>
    <m/>
    <m/>
    <n v="0"/>
    <s v="Unknown"/>
    <s v=" "/>
    <n v="2"/>
    <n v="1.65E-3"/>
    <n v="0.13939199999999999"/>
  </r>
  <r>
    <x v="0"/>
    <x v="1"/>
    <s v="Q4"/>
    <s v="DPVR"/>
    <s v="P1 family"/>
    <s v="VR"/>
    <s v="Standalone"/>
    <x v="0"/>
    <x v="0"/>
    <s v="Unknown"/>
    <s v=" "/>
    <m/>
    <m/>
    <m/>
    <n v="0"/>
    <s v="Unknown"/>
    <d v="2019-11-01T00:00:00"/>
    <n v="1"/>
    <n v="0.12375"/>
    <n v="7.2764999999999995"/>
  </r>
  <r>
    <x v="0"/>
    <x v="1"/>
    <s v="Q4"/>
    <s v="HP"/>
    <s v="Reverb"/>
    <s v="VR"/>
    <s v="Tethered"/>
    <x v="0"/>
    <x v="1"/>
    <s v="Unknown"/>
    <s v=" "/>
    <n v="2.89"/>
    <n v="2160"/>
    <n v="2160"/>
    <n v="1056.990067379199"/>
    <n v="90"/>
    <d v="2019-05-01T00:00:00"/>
    <n v="2"/>
    <n v="2.75E-2"/>
    <n v="1.0780000000000001"/>
  </r>
  <r>
    <x v="0"/>
    <x v="1"/>
    <s v="Q4"/>
    <s v="HP"/>
    <s v="Reverb G2"/>
    <s v="VR"/>
    <s v="Tethered"/>
    <x v="0"/>
    <x v="1"/>
    <s v="Unknown"/>
    <s v=" "/>
    <n v="2.89"/>
    <n v="2160"/>
    <n v="2160"/>
    <n v="1056.990067379199"/>
    <n v="90"/>
    <d v="2020-11-01T00:00:00"/>
    <n v="2"/>
    <n v="1.375E-2"/>
    <n v="0.53900000000000003"/>
  </r>
  <r>
    <x v="0"/>
    <x v="1"/>
    <s v="Q4"/>
    <s v="HTC"/>
    <s v="Vive LCD headsets"/>
    <s v="VR"/>
    <s v="Standalone"/>
    <x v="0"/>
    <x v="1"/>
    <s v="JDI"/>
    <s v=" "/>
    <m/>
    <m/>
    <m/>
    <n v="0"/>
    <s v="Unknown"/>
    <d v="2019-10-01T00:00:00"/>
    <n v="2"/>
    <n v="1.0999999999999999E-2"/>
    <n v="0.43120000000000003"/>
  </r>
  <r>
    <x v="0"/>
    <x v="1"/>
    <s v="Q4"/>
    <s v="Meta"/>
    <s v="Quest 2"/>
    <s v="VR"/>
    <s v="Standalone"/>
    <x v="0"/>
    <x v="0"/>
    <s v="JDI"/>
    <s v="Sharp/BOE"/>
    <n v="5.5"/>
    <n v="3840"/>
    <n v="1832"/>
    <n v="773.56797048396322"/>
    <n v="90"/>
    <d v="2020-10-01T00:00:00"/>
    <n v="1"/>
    <n v="1.5125"/>
    <n v="88.934999999999988"/>
  </r>
  <r>
    <x v="0"/>
    <x v="1"/>
    <s v="Q4"/>
    <s v="Oculus"/>
    <s v="Quest"/>
    <s v="VR"/>
    <s v="Standalone"/>
    <x v="1"/>
    <x v="2"/>
    <s v="SDC"/>
    <s v=" "/>
    <n v="3.5"/>
    <n v="1440"/>
    <n v="1600"/>
    <n v="615.02281358051255"/>
    <n v="72"/>
    <d v="2019-05-01T00:00:00"/>
    <n v="2"/>
    <n v="2.5000000000000001E-2"/>
    <n v="0.53598070422652488"/>
  </r>
  <r>
    <x v="0"/>
    <x v="1"/>
    <s v="Q4"/>
    <s v="Oculus"/>
    <s v="Rift S"/>
    <s v="VR"/>
    <s v="Tethered"/>
    <x v="0"/>
    <x v="0"/>
    <s v="JDI"/>
    <s v="Sharp"/>
    <n v="5.46"/>
    <n v="2560"/>
    <n v="1440"/>
    <n v="537.95046888456613"/>
    <n v="80"/>
    <d v="2019-05-01T00:00:00"/>
    <n v="1"/>
    <n v="3.4375000000000003E-2"/>
    <n v="2.0212500000000002"/>
  </r>
  <r>
    <x v="0"/>
    <x v="1"/>
    <s v="Q4"/>
    <s v="Pico"/>
    <s v="Neo 3 / G3"/>
    <s v="VR"/>
    <s v="Standalone"/>
    <x v="0"/>
    <x v="0"/>
    <s v="JDI"/>
    <s v="Innolux"/>
    <n v="5.5"/>
    <n v="3840"/>
    <n v="1832"/>
    <n v="773.56797048396322"/>
    <n v="90"/>
    <d v="2021-05-01T00:00:00"/>
    <n v="1"/>
    <n v="1.7874999999999999E-2"/>
    <n v="1.0510499999999998"/>
  </r>
  <r>
    <x v="0"/>
    <x v="1"/>
    <s v="Q4"/>
    <s v="Pimax"/>
    <s v="Pimax VR"/>
    <s v="VR"/>
    <s v="Tethered"/>
    <x v="0"/>
    <x v="1"/>
    <s v="BOE"/>
    <s v="Innolux"/>
    <m/>
    <m/>
    <m/>
    <n v="0"/>
    <s v="Unknown"/>
    <s v=" "/>
    <n v="2"/>
    <n v="2.4750000000000001E-2"/>
    <n v="0.97020000000000006"/>
  </r>
  <r>
    <x v="0"/>
    <x v="1"/>
    <s v="Q4"/>
    <s v="Sony"/>
    <s v="PlayStation VR"/>
    <s v="VR"/>
    <s v="Tethered"/>
    <x v="1"/>
    <x v="3"/>
    <s v="SDC"/>
    <s v=" "/>
    <n v="5.7"/>
    <n v="1920"/>
    <n v="1080"/>
    <n v="386.47494211970144"/>
    <n v="120"/>
    <d v="2016-10-01T00:00:00"/>
    <n v="1"/>
    <n v="0.1"/>
    <n v="3.0627468812944283"/>
  </r>
  <r>
    <x v="0"/>
    <x v="1"/>
    <s v="Q4"/>
    <s v="Others"/>
    <s v="Dual LCD VR headset"/>
    <s v="VR"/>
    <s v="Unknown"/>
    <x v="0"/>
    <x v="1"/>
    <s v="Unknown"/>
    <s v=" "/>
    <m/>
    <m/>
    <m/>
    <n v="0"/>
    <s v="Unknown"/>
    <s v=" "/>
    <n v="2"/>
    <n v="1.375E-2"/>
    <n v="0.53900000000000003"/>
  </r>
  <r>
    <x v="0"/>
    <x v="1"/>
    <s v="Q4"/>
    <s v="Others"/>
    <s v="OLED VR headset"/>
    <s v="VR"/>
    <s v="Unknown"/>
    <x v="1"/>
    <x v="2"/>
    <s v="Unknown"/>
    <s v=" "/>
    <m/>
    <m/>
    <m/>
    <n v="0"/>
    <s v="Unknown"/>
    <s v=" "/>
    <n v="2"/>
    <n v="5.0000000000000001E-3"/>
    <n v="0.10719614084530499"/>
  </r>
  <r>
    <x v="0"/>
    <x v="1"/>
    <s v="Q4"/>
    <s v="Others"/>
    <s v="Single LCD VR headset"/>
    <s v="VR"/>
    <s v="Unknown"/>
    <x v="0"/>
    <x v="0"/>
    <s v="Unknown"/>
    <s v=" "/>
    <m/>
    <m/>
    <m/>
    <n v="0"/>
    <s v="Unknown"/>
    <s v=" "/>
    <n v="1"/>
    <n v="8.2583000000000004E-2"/>
    <n v="4.8558804000000002"/>
  </r>
  <r>
    <x v="0"/>
    <x v="1"/>
    <s v="Q4"/>
    <s v="Valve"/>
    <s v="Index"/>
    <s v="VR"/>
    <s v="Tethered"/>
    <x v="0"/>
    <x v="1"/>
    <s v="Unknwon"/>
    <s v=" "/>
    <n v="3.5"/>
    <n v="1440"/>
    <n v="1600"/>
    <n v="615.02281358051255"/>
    <n v="144"/>
    <d v="2019-05-01T00:00:00"/>
    <n v="2"/>
    <n v="6.0499999999999998E-2"/>
    <n v="2.3715999999999999"/>
  </r>
  <r>
    <x v="1"/>
    <x v="1"/>
    <s v="Q4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3.5749999999999997E-2"/>
    <n v="3.0201599999999993"/>
  </r>
  <r>
    <x v="1"/>
    <x v="1"/>
    <s v="Q4"/>
    <s v="Google"/>
    <s v="Glass"/>
    <s v="AR see-through"/>
    <s v="Standalone"/>
    <x v="3"/>
    <x v="5"/>
    <s v="Kopin"/>
    <m/>
    <m/>
    <n v="640"/>
    <n v="360"/>
    <n v="0"/>
    <s v="Unknown"/>
    <d v="2019-05-01T00:00:00"/>
    <n v="1"/>
    <n v="8.2500000000000004E-3"/>
    <n v="0.34303499999999998"/>
  </r>
  <r>
    <x v="1"/>
    <x v="1"/>
    <s v="Q4"/>
    <s v="Lenovo"/>
    <s v="ThinkReality A3"/>
    <s v="AR see-through"/>
    <s v="Tethered"/>
    <x v="2"/>
    <x v="4"/>
    <s v="Sony"/>
    <m/>
    <n v="0.71"/>
    <n v="1920"/>
    <n v="1080"/>
    <n v="3102.6861550454905"/>
    <s v="Unknown"/>
    <d v="2021-06-01T00:00:00"/>
    <n v="2"/>
    <n v="8.2500000000000004E-3"/>
    <n v="0.69695999999999991"/>
  </r>
  <r>
    <x v="1"/>
    <x v="1"/>
    <s v="Q4"/>
    <s v="Magic Leap"/>
    <s v="ML One"/>
    <s v="AR see-through"/>
    <s v="Standalone"/>
    <x v="4"/>
    <x v="6"/>
    <s v="Unknown"/>
    <m/>
    <m/>
    <n v="1280"/>
    <n v="960"/>
    <n v="0"/>
    <n v="120"/>
    <d v="2018-08-01T00:00:00"/>
    <n v="2"/>
    <n v="8.25E-4"/>
    <n v="3.75705E-2"/>
  </r>
  <r>
    <x v="1"/>
    <x v="1"/>
    <s v="Q4"/>
    <s v="Microsoft"/>
    <s v="HoloLens 2"/>
    <s v="AR see-through"/>
    <s v="Standalone"/>
    <x v="5"/>
    <x v="7"/>
    <s v="Unknown"/>
    <m/>
    <m/>
    <m/>
    <m/>
    <n v="0"/>
    <s v="Unknown"/>
    <d v="2019-11-01T00:00:00"/>
    <n v="2"/>
    <n v="6.8750000000000006E-2"/>
    <n v="7.4690000000000003"/>
  </r>
  <r>
    <x v="1"/>
    <x v="1"/>
    <s v="Q4"/>
    <s v="XREAL"/>
    <s v="Light"/>
    <s v="AR see-through"/>
    <s v="Tethered"/>
    <x v="2"/>
    <x v="4"/>
    <s v="BOE"/>
    <m/>
    <n v="0.71"/>
    <n v="1920"/>
    <n v="1080"/>
    <n v="3102.6861550454905"/>
    <n v="90"/>
    <d v="2020-08-01T00:00:00"/>
    <n v="2"/>
    <n v="1.6500000000000001E-2"/>
    <n v="1.3939199999999998"/>
  </r>
  <r>
    <x v="1"/>
    <x v="1"/>
    <s v="Q4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9.6299999999999999E-4"/>
    <n v="7.9129710000000006E-2"/>
  </r>
  <r>
    <x v="1"/>
    <x v="1"/>
    <s v="Q4"/>
    <s v="Others"/>
    <s v="DLP glasses"/>
    <s v="AR see-through"/>
    <s v="Unknown"/>
    <x v="6"/>
    <x v="8"/>
    <s v="Unknown"/>
    <m/>
    <m/>
    <m/>
    <m/>
    <n v="0"/>
    <s v="Unknown"/>
    <s v=" "/>
    <n v="1"/>
    <n v="1.3800000000000002E-4"/>
    <n v="1.1339460000000003E-2"/>
  </r>
  <r>
    <x v="1"/>
    <x v="1"/>
    <s v="Q4"/>
    <s v="Others"/>
    <s v="LCoS glasses"/>
    <s v="AR see-through"/>
    <s v="Unknown"/>
    <x v="4"/>
    <x v="6"/>
    <s v="Unknown"/>
    <m/>
    <m/>
    <m/>
    <m/>
    <n v="0"/>
    <s v="Unknown"/>
    <s v=" "/>
    <n v="2"/>
    <n v="2.7499999999999998E-3"/>
    <n v="0.12523499999999999"/>
  </r>
  <r>
    <x v="1"/>
    <x v="1"/>
    <s v="Q4"/>
    <s v="Others"/>
    <s v="SiOLED glasses"/>
    <s v="AR see-through"/>
    <s v="Unknown"/>
    <x v="2"/>
    <x v="4"/>
    <s v="Unknown"/>
    <m/>
    <m/>
    <m/>
    <m/>
    <n v="0"/>
    <s v="Unknown"/>
    <s v=" "/>
    <n v="2"/>
    <n v="1.65E-3"/>
    <n v="0.13939199999999999"/>
  </r>
  <r>
    <x v="0"/>
    <x v="2"/>
    <s v="Q1"/>
    <s v="DPVR"/>
    <s v="P1 family"/>
    <s v="VR"/>
    <s v="Standalone"/>
    <x v="0"/>
    <x v="0"/>
    <s v="Unknown"/>
    <s v=" "/>
    <m/>
    <m/>
    <m/>
    <n v="0"/>
    <s v="Unknown"/>
    <d v="2019-11-01T00:00:00"/>
    <n v="1"/>
    <n v="0.13750000000000001"/>
    <n v="7.9233000000000002"/>
  </r>
  <r>
    <x v="0"/>
    <x v="2"/>
    <s v="Q1"/>
    <s v="HP"/>
    <s v="Reverb G2"/>
    <s v="VR"/>
    <s v="Tethered"/>
    <x v="0"/>
    <x v="1"/>
    <s v="Unknown"/>
    <s v=" "/>
    <n v="2.89"/>
    <n v="2160"/>
    <n v="2160"/>
    <n v="1056.990067379199"/>
    <n v="90"/>
    <d v="2020-11-01T00:00:00"/>
    <n v="2"/>
    <n v="2.7499999999999998E-3"/>
    <n v="0.105644"/>
  </r>
  <r>
    <x v="0"/>
    <x v="2"/>
    <s v="Q1"/>
    <s v="HTC"/>
    <s v="Vive LCD headsets"/>
    <s v="VR"/>
    <s v="Standalone"/>
    <x v="0"/>
    <x v="1"/>
    <s v="JDI"/>
    <s v=" "/>
    <m/>
    <m/>
    <m/>
    <n v="0"/>
    <s v="Unknown"/>
    <d v="2019-10-01T00:00:00"/>
    <n v="2"/>
    <n v="1.6500000000000001E-2"/>
    <n v="0.63386400000000009"/>
  </r>
  <r>
    <x v="0"/>
    <x v="2"/>
    <s v="Q1"/>
    <s v="Meta"/>
    <s v="Quest 2"/>
    <s v="VR"/>
    <s v="Standalone"/>
    <x v="0"/>
    <x v="0"/>
    <s v="JDI"/>
    <s v="Sharp/BOE"/>
    <n v="5.5"/>
    <n v="3840"/>
    <n v="1832"/>
    <n v="773.56797048396322"/>
    <n v="90"/>
    <d v="2020-10-01T00:00:00"/>
    <n v="1"/>
    <n v="2.1175000000000002"/>
    <n v="122.01882000000001"/>
  </r>
  <r>
    <x v="0"/>
    <x v="2"/>
    <s v="Q1"/>
    <s v="Pico"/>
    <s v="Neo 3 / G3"/>
    <s v="VR"/>
    <s v="Standalone"/>
    <x v="0"/>
    <x v="0"/>
    <s v="JDI"/>
    <s v="Innolux"/>
    <n v="5.5"/>
    <n v="3840"/>
    <n v="1832"/>
    <n v="773.56797048396322"/>
    <n v="90"/>
    <d v="2021-05-01T00:00:00"/>
    <n v="1"/>
    <n v="8.6624999999999994E-2"/>
    <n v="4.9916789999999995"/>
  </r>
  <r>
    <x v="0"/>
    <x v="2"/>
    <s v="Q1"/>
    <s v="Pimax"/>
    <s v="Pimax VR"/>
    <s v="VR"/>
    <s v="Tethered"/>
    <x v="0"/>
    <x v="1"/>
    <s v="BOE"/>
    <s v="Innolux"/>
    <m/>
    <m/>
    <m/>
    <n v="0"/>
    <s v="Unknown"/>
    <s v=" "/>
    <n v="2"/>
    <n v="1.925E-2"/>
    <n v="0.73950800000000005"/>
  </r>
  <r>
    <x v="0"/>
    <x v="2"/>
    <s v="Q1"/>
    <s v="Sony"/>
    <s v="PlayStation VR"/>
    <s v="VR"/>
    <s v="Tethered"/>
    <x v="1"/>
    <x v="3"/>
    <s v="SDC"/>
    <s v=" "/>
    <n v="5.7"/>
    <n v="1920"/>
    <n v="1080"/>
    <n v="386.47494211970144"/>
    <n v="120"/>
    <d v="2016-10-01T00:00:00"/>
    <n v="1"/>
    <n v="0.1"/>
    <n v="3.0014919436685394"/>
  </r>
  <r>
    <x v="0"/>
    <x v="2"/>
    <s v="Q1"/>
    <s v="Others"/>
    <s v="Dual LCD VR headset"/>
    <s v="VR"/>
    <s v="Unknown"/>
    <x v="0"/>
    <x v="1"/>
    <s v="Unknown"/>
    <s v=" "/>
    <m/>
    <m/>
    <m/>
    <n v="0"/>
    <s v="Unknown"/>
    <s v=" "/>
    <n v="2"/>
    <n v="2.1999999999999999E-2"/>
    <n v="0.84515200000000001"/>
  </r>
  <r>
    <x v="0"/>
    <x v="2"/>
    <s v="Q1"/>
    <s v="Others"/>
    <s v="Single LCD VR headset"/>
    <s v="VR"/>
    <s v="Unknown"/>
    <x v="0"/>
    <x v="0"/>
    <s v="Unknown"/>
    <s v=" "/>
    <m/>
    <m/>
    <m/>
    <n v="0"/>
    <s v="Unknown"/>
    <s v=" "/>
    <n v="1"/>
    <n v="3.3000000000000002E-2"/>
    <n v="1.9015919999999999"/>
  </r>
  <r>
    <x v="0"/>
    <x v="2"/>
    <s v="Q1"/>
    <s v="Valve"/>
    <s v="Index"/>
    <s v="VR"/>
    <s v="Tethered"/>
    <x v="0"/>
    <x v="1"/>
    <s v="Unknwon"/>
    <s v=" "/>
    <n v="3.5"/>
    <n v="1440"/>
    <n v="1600"/>
    <n v="615.02281358051255"/>
    <n v="144"/>
    <d v="2019-05-01T00:00:00"/>
    <n v="2"/>
    <n v="5.4999999999999997E-3"/>
    <n v="0.211288"/>
  </r>
  <r>
    <x v="1"/>
    <x v="2"/>
    <s v="Q1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3.3000000000000002E-2"/>
    <n v="2.6763263999999998"/>
  </r>
  <r>
    <x v="1"/>
    <x v="2"/>
    <s v="Q1"/>
    <s v="Google"/>
    <s v="Glass"/>
    <s v="AR see-through"/>
    <s v="Standalone"/>
    <x v="3"/>
    <x v="5"/>
    <s v="Kopin"/>
    <m/>
    <m/>
    <n v="640"/>
    <n v="360"/>
    <n v="0"/>
    <s v="Unknown"/>
    <d v="2019-05-01T00:00:00"/>
    <n v="1"/>
    <n v="6.875E-3"/>
    <n v="0.28300387500000002"/>
  </r>
  <r>
    <x v="1"/>
    <x v="2"/>
    <s v="Q1"/>
    <s v="Lenovo"/>
    <s v="T1"/>
    <s v="AR see-through"/>
    <s v="Tethered"/>
    <x v="2"/>
    <x v="4"/>
    <s v="SeeYa"/>
    <m/>
    <n v="0.49"/>
    <n v="1920"/>
    <n v="1080"/>
    <n v="4495.7289185353029"/>
    <n v="60"/>
    <d v="2022-11-01T00:00:00"/>
    <n v="2"/>
    <n v="2.7499999999999998E-3"/>
    <n v="0.15125"/>
  </r>
  <r>
    <x v="1"/>
    <x v="2"/>
    <s v="Q1"/>
    <s v="Lenovo"/>
    <s v="ThinkReality A3"/>
    <s v="AR see-through"/>
    <s v="Tethered"/>
    <x v="2"/>
    <x v="4"/>
    <s v="Sony"/>
    <m/>
    <n v="0.71"/>
    <n v="1920"/>
    <n v="1080"/>
    <n v="3102.6861550454905"/>
    <s v="Unknown"/>
    <d v="2021-06-01T00:00:00"/>
    <n v="2"/>
    <n v="9.6249999999999999E-3"/>
    <n v="0.78059519999999993"/>
  </r>
  <r>
    <x v="1"/>
    <x v="2"/>
    <s v="Q1"/>
    <s v="Magic Leap"/>
    <s v="ML 2"/>
    <s v="AR see-through"/>
    <s v="Standalone"/>
    <x v="4"/>
    <x v="6"/>
    <s v="Unknown"/>
    <m/>
    <m/>
    <n v="1440"/>
    <n v="1760"/>
    <n v="0"/>
    <s v="Unknown"/>
    <d v="2022-09-01T00:00:00"/>
    <n v="2"/>
    <n v="2.7499999999999998E-3"/>
    <n v="0.12398265"/>
  </r>
  <r>
    <x v="1"/>
    <x v="2"/>
    <s v="Q1"/>
    <s v="Microsoft"/>
    <s v="HoloLens 2"/>
    <s v="AR see-through"/>
    <s v="Standalone"/>
    <x v="5"/>
    <x v="7"/>
    <s v="Unknown"/>
    <m/>
    <m/>
    <m/>
    <m/>
    <n v="0"/>
    <s v="Unknown"/>
    <d v="2019-11-01T00:00:00"/>
    <n v="2"/>
    <n v="3.3000000000000002E-2"/>
    <n v="3.4775664000000002"/>
  </r>
  <r>
    <x v="1"/>
    <x v="2"/>
    <s v="Q1"/>
    <s v="XREAL"/>
    <s v="Light"/>
    <s v="AR see-through"/>
    <s v="Tethered"/>
    <x v="2"/>
    <x v="4"/>
    <s v="BOE"/>
    <m/>
    <n v="0.71"/>
    <n v="1920"/>
    <n v="1080"/>
    <n v="3102.6861550454905"/>
    <n v="90"/>
    <d v="2020-08-01T00:00:00"/>
    <n v="2"/>
    <n v="4.1250000000000002E-2"/>
    <n v="3.3454079999999999"/>
  </r>
  <r>
    <x v="1"/>
    <x v="2"/>
    <s v="Q1"/>
    <s v="Oppo"/>
    <s v="Air Glass"/>
    <s v="AR see-through"/>
    <s v="Tethered"/>
    <x v="7"/>
    <x v="9"/>
    <s v="JBD"/>
    <m/>
    <n v="0.13"/>
    <n v="640"/>
    <n v="480"/>
    <n v="6153.8461538461534"/>
    <s v="Unknown"/>
    <d v="2022-01-01T00:00:00"/>
    <n v="1"/>
    <n v="6.8799999999999992E-4"/>
    <n v="5.7752095999999989E-2"/>
  </r>
  <r>
    <x v="1"/>
    <x v="2"/>
    <s v="Q1"/>
    <s v="Rokid"/>
    <s v="Air"/>
    <s v="AR see-through"/>
    <s v="Tethered"/>
    <x v="2"/>
    <x v="4"/>
    <s v="SeeYa"/>
    <m/>
    <n v="0.49"/>
    <n v="1920"/>
    <n v="1080"/>
    <n v="4495.7289185353029"/>
    <n v="75"/>
    <d v="2021-11-01T00:00:00"/>
    <n v="2"/>
    <n v="8.2500000000000004E-3"/>
    <n v="0.45375000000000004"/>
  </r>
  <r>
    <x v="1"/>
    <x v="2"/>
    <s v="Q1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6.8799999999999992E-4"/>
    <n v="5.5967630399999989E-2"/>
  </r>
  <r>
    <x v="1"/>
    <x v="2"/>
    <s v="Q1"/>
    <s v="Others"/>
    <s v="DLP glasses"/>
    <s v="AR see-through"/>
    <s v="Unknown"/>
    <x v="6"/>
    <x v="8"/>
    <s v="Unknown"/>
    <m/>
    <m/>
    <m/>
    <m/>
    <n v="0"/>
    <s v="Unknown"/>
    <s v=" "/>
    <n v="1"/>
    <n v="2.7500000000000002E-4"/>
    <n v="2.2370782499999999E-2"/>
  </r>
  <r>
    <x v="1"/>
    <x v="2"/>
    <s v="Q1"/>
    <s v="Others"/>
    <s v="LBS glasses"/>
    <s v="AR see-through"/>
    <s v="Unknown"/>
    <x v="5"/>
    <x v="7"/>
    <s v="Unknown"/>
    <m/>
    <m/>
    <m/>
    <m/>
    <n v="0"/>
    <s v="Unknown"/>
    <s v=" "/>
    <n v="2"/>
    <n v="2.7500000000000002E-4"/>
    <n v="2.897972E-2"/>
  </r>
  <r>
    <x v="1"/>
    <x v="2"/>
    <s v="Q1"/>
    <s v="Others"/>
    <s v="LCoS glasses"/>
    <s v="AR see-through"/>
    <s v="Unknown"/>
    <x v="4"/>
    <x v="6"/>
    <s v="Unknown"/>
    <m/>
    <m/>
    <m/>
    <m/>
    <n v="0"/>
    <s v="Unknown"/>
    <s v=" "/>
    <n v="2"/>
    <n v="2.7499999999999998E-3"/>
    <n v="0.12398265"/>
  </r>
  <r>
    <x v="1"/>
    <x v="2"/>
    <s v="Q1"/>
    <s v="Others"/>
    <s v="SiOLED glasses"/>
    <s v="AR see-through"/>
    <s v="Unknown"/>
    <x v="2"/>
    <x v="4"/>
    <s v="Unknown"/>
    <m/>
    <m/>
    <m/>
    <m/>
    <n v="0"/>
    <s v="Unknown"/>
    <s v=" "/>
    <n v="2"/>
    <n v="2.2000000000000001E-3"/>
    <n v="0.17842175999999998"/>
  </r>
  <r>
    <x v="0"/>
    <x v="2"/>
    <s v="Q2"/>
    <s v="DPVR"/>
    <s v="P1 family"/>
    <s v="VR"/>
    <s v="Standalone"/>
    <x v="0"/>
    <x v="0"/>
    <s v="Unknown"/>
    <s v=" "/>
    <m/>
    <m/>
    <m/>
    <n v="0"/>
    <s v="Unknown"/>
    <d v="2019-11-01T00:00:00"/>
    <n v="1"/>
    <n v="0.13750000000000001"/>
    <n v="7.9233000000000002"/>
  </r>
  <r>
    <x v="0"/>
    <x v="2"/>
    <s v="Q2"/>
    <s v="HP"/>
    <s v="Reverb G2"/>
    <s v="VR"/>
    <s v="Tethered"/>
    <x v="0"/>
    <x v="1"/>
    <s v="Unknown"/>
    <s v=" "/>
    <n v="2.89"/>
    <n v="2160"/>
    <n v="2160"/>
    <n v="1056.990067379199"/>
    <n v="90"/>
    <d v="2020-11-01T00:00:00"/>
    <n v="2"/>
    <n v="2.7499999999999998E-3"/>
    <n v="0.105644"/>
  </r>
  <r>
    <x v="0"/>
    <x v="2"/>
    <s v="Q2"/>
    <s v="HTC"/>
    <s v="Vive LCD headsets"/>
    <s v="VR"/>
    <s v="Standalone"/>
    <x v="0"/>
    <x v="1"/>
    <s v="JDI"/>
    <s v=" "/>
    <m/>
    <m/>
    <m/>
    <n v="0"/>
    <s v="Unknown"/>
    <d v="2019-10-01T00:00:00"/>
    <n v="2"/>
    <n v="1.6500000000000001E-2"/>
    <n v="0.63386400000000009"/>
  </r>
  <r>
    <x v="0"/>
    <x v="2"/>
    <s v="Q2"/>
    <s v="Meta"/>
    <s v="Quest 2"/>
    <s v="VR"/>
    <s v="Standalone"/>
    <x v="0"/>
    <x v="0"/>
    <s v="JDI"/>
    <s v="Sharp/BOE"/>
    <n v="5.5"/>
    <n v="3840"/>
    <n v="1832"/>
    <n v="773.56797048396322"/>
    <n v="90"/>
    <d v="2020-10-01T00:00:00"/>
    <n v="1"/>
    <n v="2.1175000000000002"/>
    <n v="122.01882000000001"/>
  </r>
  <r>
    <x v="0"/>
    <x v="2"/>
    <s v="Q2"/>
    <s v="Pico"/>
    <s v="Neo 3 / G3"/>
    <s v="VR"/>
    <s v="Standalone"/>
    <x v="0"/>
    <x v="0"/>
    <s v="JDI"/>
    <s v="Innolux"/>
    <n v="5.5"/>
    <n v="3840"/>
    <n v="1832"/>
    <n v="773.56797048396322"/>
    <n v="90"/>
    <d v="2021-05-01T00:00:00"/>
    <n v="1"/>
    <n v="8.6624999999999994E-2"/>
    <n v="4.9916789999999995"/>
  </r>
  <r>
    <x v="0"/>
    <x v="2"/>
    <s v="Q2"/>
    <s v="Pimax"/>
    <s v="Pimax VR"/>
    <s v="VR"/>
    <s v="Tethered"/>
    <x v="0"/>
    <x v="1"/>
    <s v="BOE"/>
    <s v="Innolux"/>
    <m/>
    <m/>
    <m/>
    <n v="0"/>
    <s v="Unknown"/>
    <s v=" "/>
    <n v="2"/>
    <n v="1.925E-2"/>
    <n v="0.73950800000000005"/>
  </r>
  <r>
    <x v="0"/>
    <x v="2"/>
    <s v="Q2"/>
    <s v="Sony"/>
    <s v="PlayStation VR"/>
    <s v="VR"/>
    <s v="Tethered"/>
    <x v="1"/>
    <x v="3"/>
    <s v="SDC"/>
    <s v=" "/>
    <n v="5.7"/>
    <n v="1920"/>
    <n v="1080"/>
    <n v="386.47494211970144"/>
    <n v="120"/>
    <d v="2016-10-01T00:00:00"/>
    <n v="1"/>
    <n v="0.1"/>
    <n v="2.9414621047951686"/>
  </r>
  <r>
    <x v="0"/>
    <x v="2"/>
    <s v="Q2"/>
    <s v="Others"/>
    <s v="Dual LCD VR headset"/>
    <s v="VR"/>
    <s v="Unknown"/>
    <x v="0"/>
    <x v="1"/>
    <s v="Unknown"/>
    <s v=" "/>
    <m/>
    <m/>
    <m/>
    <n v="0"/>
    <s v="Unknown"/>
    <s v=" "/>
    <n v="2"/>
    <n v="2.1999999999999999E-2"/>
    <n v="0.84515200000000001"/>
  </r>
  <r>
    <x v="0"/>
    <x v="2"/>
    <s v="Q2"/>
    <s v="Others"/>
    <s v="Single LCD VR headset"/>
    <s v="VR"/>
    <s v="Unknown"/>
    <x v="0"/>
    <x v="0"/>
    <s v="Unknown"/>
    <s v=" "/>
    <m/>
    <m/>
    <m/>
    <n v="0"/>
    <s v="Unknown"/>
    <s v=" "/>
    <n v="1"/>
    <n v="3.3000000000000002E-2"/>
    <n v="1.9015919999999999"/>
  </r>
  <r>
    <x v="0"/>
    <x v="2"/>
    <s v="Q2"/>
    <s v="Valve"/>
    <s v="Index"/>
    <s v="VR"/>
    <s v="Tethered"/>
    <x v="0"/>
    <x v="1"/>
    <s v="Unknwon"/>
    <s v=" "/>
    <n v="3.5"/>
    <n v="1440"/>
    <n v="1600"/>
    <n v="615.02281358051255"/>
    <n v="144"/>
    <d v="2019-05-01T00:00:00"/>
    <n v="2"/>
    <n v="5.4999999999999997E-3"/>
    <n v="0.211288"/>
  </r>
  <r>
    <x v="1"/>
    <x v="2"/>
    <s v="Q2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3.3000000000000002E-2"/>
    <n v="2.6763263999999998"/>
  </r>
  <r>
    <x v="1"/>
    <x v="2"/>
    <s v="Q2"/>
    <s v="Google"/>
    <s v="Glass"/>
    <s v="AR see-through"/>
    <s v="Standalone"/>
    <x v="3"/>
    <x v="5"/>
    <s v="Kopin"/>
    <m/>
    <m/>
    <n v="640"/>
    <n v="360"/>
    <n v="0"/>
    <s v="Unknown"/>
    <d v="2019-05-01T00:00:00"/>
    <n v="1"/>
    <n v="6.875E-3"/>
    <n v="0.28300387500000002"/>
  </r>
  <r>
    <x v="1"/>
    <x v="2"/>
    <s v="Q2"/>
    <s v="Lenovo"/>
    <s v="T1"/>
    <s v="AR see-through"/>
    <s v="Tethered"/>
    <x v="2"/>
    <x v="4"/>
    <s v="SeeYa"/>
    <m/>
    <n v="0.49"/>
    <n v="1920"/>
    <n v="1080"/>
    <n v="4495.7289185353029"/>
    <n v="60"/>
    <d v="2022-11-01T00:00:00"/>
    <n v="2"/>
    <n v="2.7499999999999998E-3"/>
    <n v="0.15125"/>
  </r>
  <r>
    <x v="1"/>
    <x v="2"/>
    <s v="Q2"/>
    <s v="Lenovo"/>
    <s v="ThinkReality A3"/>
    <s v="AR see-through"/>
    <s v="Tethered"/>
    <x v="2"/>
    <x v="4"/>
    <s v="Sony"/>
    <m/>
    <n v="0.71"/>
    <n v="1920"/>
    <n v="1080"/>
    <n v="3102.6861550454905"/>
    <s v="Unknown"/>
    <d v="2021-06-01T00:00:00"/>
    <n v="2"/>
    <n v="9.6249999999999999E-3"/>
    <n v="0.78059519999999993"/>
  </r>
  <r>
    <x v="1"/>
    <x v="2"/>
    <s v="Q2"/>
    <s v="Magic Leap"/>
    <s v="ML 2"/>
    <s v="AR see-through"/>
    <s v="Standalone"/>
    <x v="4"/>
    <x v="6"/>
    <s v="Unknown"/>
    <m/>
    <m/>
    <n v="1440"/>
    <n v="1760"/>
    <n v="0"/>
    <s v="Unknown"/>
    <d v="2022-09-01T00:00:00"/>
    <n v="2"/>
    <n v="2.7499999999999998E-3"/>
    <n v="0.12398265"/>
  </r>
  <r>
    <x v="1"/>
    <x v="2"/>
    <s v="Q2"/>
    <s v="Microsoft"/>
    <s v="HoloLens 2"/>
    <s v="AR see-through"/>
    <s v="Standalone"/>
    <x v="5"/>
    <x v="7"/>
    <s v="Unknown"/>
    <m/>
    <m/>
    <m/>
    <m/>
    <n v="0"/>
    <s v="Unknown"/>
    <d v="2019-11-01T00:00:00"/>
    <n v="2"/>
    <n v="3.3000000000000002E-2"/>
    <n v="3.4775664000000002"/>
  </r>
  <r>
    <x v="1"/>
    <x v="2"/>
    <s v="Q2"/>
    <s v="XREAL"/>
    <s v="Light"/>
    <s v="AR see-through"/>
    <s v="Tethered"/>
    <x v="2"/>
    <x v="4"/>
    <s v="BOE"/>
    <m/>
    <n v="0.71"/>
    <n v="1920"/>
    <n v="1080"/>
    <n v="3102.6861550454905"/>
    <n v="90"/>
    <d v="2020-08-01T00:00:00"/>
    <n v="2"/>
    <n v="4.1250000000000002E-2"/>
    <n v="3.3454079999999999"/>
  </r>
  <r>
    <x v="1"/>
    <x v="2"/>
    <s v="Q2"/>
    <s v="Oppo"/>
    <s v="Air Glass"/>
    <s v="AR see-through"/>
    <s v="Tethered"/>
    <x v="7"/>
    <x v="9"/>
    <s v="JBD"/>
    <m/>
    <n v="0.13"/>
    <n v="640"/>
    <n v="480"/>
    <n v="6153.8461538461534"/>
    <s v="Unknown"/>
    <d v="2022-01-01T00:00:00"/>
    <n v="1"/>
    <n v="6.8799999999999992E-4"/>
    <n v="5.7752095999999989E-2"/>
  </r>
  <r>
    <x v="1"/>
    <x v="2"/>
    <s v="Q2"/>
    <s v="Rokid"/>
    <s v="Air"/>
    <s v="AR see-through"/>
    <s v="Tethered"/>
    <x v="2"/>
    <x v="4"/>
    <s v="SeeYa"/>
    <m/>
    <n v="0.49"/>
    <n v="1920"/>
    <n v="1080"/>
    <n v="4495.7289185353029"/>
    <n v="75"/>
    <d v="2021-11-01T00:00:00"/>
    <n v="2"/>
    <n v="8.2500000000000004E-3"/>
    <n v="0.45375000000000004"/>
  </r>
  <r>
    <x v="1"/>
    <x v="2"/>
    <s v="Q2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6.8799999999999992E-4"/>
    <n v="5.5967630399999989E-2"/>
  </r>
  <r>
    <x v="1"/>
    <x v="2"/>
    <s v="Q2"/>
    <s v="Others"/>
    <s v="DLP glasses"/>
    <s v="AR see-through"/>
    <s v="Unknown"/>
    <x v="6"/>
    <x v="8"/>
    <s v="Unknown"/>
    <m/>
    <m/>
    <m/>
    <m/>
    <n v="0"/>
    <s v="Unknown"/>
    <s v=" "/>
    <n v="1"/>
    <n v="2.7500000000000002E-4"/>
    <n v="2.2370782499999999E-2"/>
  </r>
  <r>
    <x v="1"/>
    <x v="2"/>
    <s v="Q2"/>
    <s v="Others"/>
    <s v="LBS glasses"/>
    <s v="AR see-through"/>
    <s v="Unknown"/>
    <x v="5"/>
    <x v="7"/>
    <s v="Unknown"/>
    <m/>
    <m/>
    <m/>
    <m/>
    <n v="0"/>
    <s v="Unknown"/>
    <s v=" "/>
    <n v="2"/>
    <n v="2.7500000000000002E-4"/>
    <n v="2.897972E-2"/>
  </r>
  <r>
    <x v="1"/>
    <x v="2"/>
    <s v="Q2"/>
    <s v="Others"/>
    <s v="LCoS glasses"/>
    <s v="AR see-through"/>
    <s v="Unknown"/>
    <x v="4"/>
    <x v="6"/>
    <s v="Unknown"/>
    <m/>
    <m/>
    <m/>
    <m/>
    <n v="0"/>
    <s v="Unknown"/>
    <s v=" "/>
    <n v="2"/>
    <n v="2.7499999999999998E-3"/>
    <n v="0.12398265"/>
  </r>
  <r>
    <x v="1"/>
    <x v="2"/>
    <s v="Q2"/>
    <s v="Others"/>
    <s v="SiOLED glasses"/>
    <s v="AR see-through"/>
    <s v="Unknown"/>
    <x v="2"/>
    <x v="4"/>
    <s v="Unknown"/>
    <m/>
    <m/>
    <m/>
    <m/>
    <n v="0"/>
    <s v="Unknown"/>
    <s v=" "/>
    <n v="2"/>
    <n v="2.2000000000000001E-3"/>
    <n v="0.17842175999999998"/>
  </r>
  <r>
    <x v="0"/>
    <x v="2"/>
    <s v="Q3"/>
    <s v="DPVR"/>
    <s v="P1 family"/>
    <s v="VR"/>
    <s v="Standalone"/>
    <x v="0"/>
    <x v="0"/>
    <s v="Unknown"/>
    <s v=" "/>
    <m/>
    <m/>
    <m/>
    <n v="0"/>
    <s v="Unknown"/>
    <d v="2019-11-01T00:00:00"/>
    <n v="1"/>
    <n v="0.13750000000000001"/>
    <n v="7.9233000000000002"/>
  </r>
  <r>
    <x v="0"/>
    <x v="2"/>
    <s v="Q3"/>
    <s v="HP"/>
    <s v="Reverb G2"/>
    <s v="VR"/>
    <s v="Tethered"/>
    <x v="0"/>
    <x v="1"/>
    <s v="Unknown"/>
    <s v=" "/>
    <n v="2.89"/>
    <n v="2160"/>
    <n v="2160"/>
    <n v="1056.990067379199"/>
    <n v="90"/>
    <d v="2020-11-01T00:00:00"/>
    <n v="2"/>
    <n v="2.7499999999999998E-3"/>
    <n v="0.105644"/>
  </r>
  <r>
    <x v="0"/>
    <x v="2"/>
    <s v="Q3"/>
    <s v="HTC"/>
    <s v="Vive LCD headsets"/>
    <s v="VR"/>
    <s v="Standalone"/>
    <x v="0"/>
    <x v="1"/>
    <s v="JDI"/>
    <s v=" "/>
    <m/>
    <m/>
    <m/>
    <n v="0"/>
    <s v="Unknown"/>
    <d v="2019-10-01T00:00:00"/>
    <n v="2"/>
    <n v="1.6500000000000001E-2"/>
    <n v="0.63386400000000009"/>
  </r>
  <r>
    <x v="0"/>
    <x v="2"/>
    <s v="Q3"/>
    <s v="Meta"/>
    <s v="Quest 2"/>
    <s v="VR"/>
    <s v="Standalone"/>
    <x v="0"/>
    <x v="0"/>
    <s v="JDI"/>
    <s v="Sharp/BOE"/>
    <n v="5.5"/>
    <n v="3840"/>
    <n v="1832"/>
    <n v="773.56797048396322"/>
    <n v="90"/>
    <d v="2020-10-01T00:00:00"/>
    <n v="1"/>
    <n v="2.1175000000000002"/>
    <n v="122.01882000000001"/>
  </r>
  <r>
    <x v="0"/>
    <x v="2"/>
    <s v="Q3"/>
    <s v="Pico"/>
    <s v="Neo 3 / G3"/>
    <s v="VR"/>
    <s v="Standalone"/>
    <x v="0"/>
    <x v="0"/>
    <s v="JDI"/>
    <s v="Innolux"/>
    <n v="5.5"/>
    <n v="3840"/>
    <n v="1832"/>
    <n v="773.56797048396322"/>
    <n v="90"/>
    <d v="2021-05-01T00:00:00"/>
    <n v="1"/>
    <n v="8.6624999999999994E-2"/>
    <n v="4.9916789999999995"/>
  </r>
  <r>
    <x v="0"/>
    <x v="2"/>
    <s v="Q3"/>
    <s v="Pimax"/>
    <s v="Pimax VR"/>
    <s v="VR"/>
    <s v="Tethered"/>
    <x v="0"/>
    <x v="1"/>
    <s v="BOE"/>
    <s v="Innolux"/>
    <m/>
    <m/>
    <m/>
    <n v="0"/>
    <s v="Unknown"/>
    <s v=" "/>
    <n v="2"/>
    <n v="1.925E-2"/>
    <n v="0.73950800000000005"/>
  </r>
  <r>
    <x v="0"/>
    <x v="2"/>
    <s v="Q3"/>
    <s v="Others"/>
    <s v="Dual LCD VR headset"/>
    <s v="VR"/>
    <s v="Unknown"/>
    <x v="0"/>
    <x v="1"/>
    <s v="Unknown"/>
    <s v=" "/>
    <m/>
    <m/>
    <m/>
    <n v="0"/>
    <s v="Unknown"/>
    <s v=" "/>
    <n v="2"/>
    <n v="2.1999999999999999E-2"/>
    <n v="0.84515200000000001"/>
  </r>
  <r>
    <x v="0"/>
    <x v="2"/>
    <s v="Q3"/>
    <s v="Others"/>
    <s v="Single LCD VR headset"/>
    <s v="VR"/>
    <s v="Unknown"/>
    <x v="0"/>
    <x v="0"/>
    <s v="Unknown"/>
    <s v=" "/>
    <m/>
    <m/>
    <m/>
    <n v="0"/>
    <s v="Unknown"/>
    <s v=" "/>
    <n v="1"/>
    <n v="3.3000000000000002E-2"/>
    <n v="1.9015919999999999"/>
  </r>
  <r>
    <x v="0"/>
    <x v="2"/>
    <s v="Q3"/>
    <s v="Valve"/>
    <s v="Index"/>
    <s v="VR"/>
    <s v="Tethered"/>
    <x v="0"/>
    <x v="1"/>
    <s v="Unknwon"/>
    <s v=" "/>
    <n v="3.5"/>
    <n v="1440"/>
    <n v="1600"/>
    <n v="615.02281358051255"/>
    <n v="144"/>
    <d v="2019-05-01T00:00:00"/>
    <n v="2"/>
    <n v="5.4999999999999997E-3"/>
    <n v="0.211288"/>
  </r>
  <r>
    <x v="1"/>
    <x v="2"/>
    <s v="Q3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3.3000000000000002E-2"/>
    <n v="2.6763263999999998"/>
  </r>
  <r>
    <x v="1"/>
    <x v="2"/>
    <s v="Q3"/>
    <s v="Google"/>
    <s v="Glass"/>
    <s v="AR see-through"/>
    <s v="Standalone"/>
    <x v="3"/>
    <x v="5"/>
    <s v="Kopin"/>
    <m/>
    <m/>
    <n v="640"/>
    <n v="360"/>
    <n v="0"/>
    <s v="Unknown"/>
    <d v="2019-05-01T00:00:00"/>
    <n v="1"/>
    <n v="6.875E-3"/>
    <n v="0.28300387500000002"/>
  </r>
  <r>
    <x v="1"/>
    <x v="2"/>
    <s v="Q3"/>
    <s v="Lenovo"/>
    <s v="T1"/>
    <s v="AR see-through"/>
    <s v="Tethered"/>
    <x v="2"/>
    <x v="4"/>
    <s v="SeeYa"/>
    <m/>
    <n v="0.49"/>
    <n v="1920"/>
    <n v="1080"/>
    <n v="4495.7289185353029"/>
    <n v="60"/>
    <d v="2022-11-01T00:00:00"/>
    <n v="2"/>
    <n v="2.7499999999999998E-3"/>
    <n v="0.15125"/>
  </r>
  <r>
    <x v="1"/>
    <x v="2"/>
    <s v="Q3"/>
    <s v="Lenovo"/>
    <s v="ThinkReality A3"/>
    <s v="AR see-through"/>
    <s v="Tethered"/>
    <x v="2"/>
    <x v="4"/>
    <s v="Sony"/>
    <m/>
    <n v="0.71"/>
    <n v="1920"/>
    <n v="1080"/>
    <n v="3102.6861550454905"/>
    <s v="Unknown"/>
    <d v="2021-06-01T00:00:00"/>
    <n v="2"/>
    <n v="9.6249999999999999E-3"/>
    <n v="0.78059519999999993"/>
  </r>
  <r>
    <x v="1"/>
    <x v="2"/>
    <s v="Q3"/>
    <s v="Magic Leap"/>
    <s v="ML 2"/>
    <s v="AR see-through"/>
    <s v="Standalone"/>
    <x v="4"/>
    <x v="6"/>
    <s v="Unknown"/>
    <m/>
    <m/>
    <n v="1440"/>
    <n v="1760"/>
    <n v="0"/>
    <s v="Unknown"/>
    <d v="2022-09-01T00:00:00"/>
    <n v="2"/>
    <n v="2.7499999999999998E-3"/>
    <n v="0.12398265"/>
  </r>
  <r>
    <x v="1"/>
    <x v="2"/>
    <s v="Q3"/>
    <s v="Microsoft"/>
    <s v="HoloLens 2"/>
    <s v="AR see-through"/>
    <s v="Standalone"/>
    <x v="5"/>
    <x v="7"/>
    <s v="Unknown"/>
    <m/>
    <m/>
    <m/>
    <m/>
    <n v="0"/>
    <s v="Unknown"/>
    <d v="2019-11-01T00:00:00"/>
    <n v="2"/>
    <n v="3.3000000000000002E-2"/>
    <n v="3.4775664000000002"/>
  </r>
  <r>
    <x v="1"/>
    <x v="2"/>
    <s v="Q3"/>
    <s v="XREAL"/>
    <s v="Light"/>
    <s v="AR see-through"/>
    <s v="Tethered"/>
    <x v="2"/>
    <x v="4"/>
    <s v="BOE"/>
    <m/>
    <n v="0.71"/>
    <n v="1920"/>
    <n v="1080"/>
    <n v="3102.6861550454905"/>
    <n v="90"/>
    <d v="2020-08-01T00:00:00"/>
    <n v="2"/>
    <n v="4.1250000000000002E-2"/>
    <n v="3.3454079999999999"/>
  </r>
  <r>
    <x v="1"/>
    <x v="2"/>
    <s v="Q3"/>
    <s v="Oppo"/>
    <s v="Air Glass"/>
    <s v="AR see-through"/>
    <s v="Tethered"/>
    <x v="7"/>
    <x v="9"/>
    <s v="JBD"/>
    <m/>
    <n v="0.13"/>
    <n v="640"/>
    <n v="480"/>
    <n v="6153.8461538461534"/>
    <s v="Unknown"/>
    <d v="2022-01-01T00:00:00"/>
    <n v="1"/>
    <n v="6.8799999999999992E-4"/>
    <n v="5.7752095999999989E-2"/>
  </r>
  <r>
    <x v="1"/>
    <x v="2"/>
    <s v="Q3"/>
    <s v="Rokid"/>
    <s v="Air"/>
    <s v="AR see-through"/>
    <s v="Tethered"/>
    <x v="2"/>
    <x v="4"/>
    <s v="SeeYa"/>
    <m/>
    <n v="0.49"/>
    <n v="1920"/>
    <n v="1080"/>
    <n v="4495.7289185353029"/>
    <n v="75"/>
    <d v="2021-11-01T00:00:00"/>
    <n v="2"/>
    <n v="8.2500000000000004E-3"/>
    <n v="0.45375000000000004"/>
  </r>
  <r>
    <x v="1"/>
    <x v="2"/>
    <s v="Q3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6.8799999999999992E-4"/>
    <n v="5.5967630399999989E-2"/>
  </r>
  <r>
    <x v="1"/>
    <x v="2"/>
    <s v="Q3"/>
    <s v="Others"/>
    <s v="DLP glasses"/>
    <s v="AR see-through"/>
    <s v="Unknown"/>
    <x v="6"/>
    <x v="8"/>
    <s v="Unknown"/>
    <m/>
    <m/>
    <m/>
    <m/>
    <n v="0"/>
    <s v="Unknown"/>
    <s v=" "/>
    <n v="1"/>
    <n v="2.7500000000000002E-4"/>
    <n v="2.2370782499999999E-2"/>
  </r>
  <r>
    <x v="1"/>
    <x v="2"/>
    <s v="Q3"/>
    <s v="Others"/>
    <s v="LBS glasses"/>
    <s v="AR see-through"/>
    <s v="Unknown"/>
    <x v="5"/>
    <x v="7"/>
    <s v="Unknown"/>
    <m/>
    <m/>
    <m/>
    <m/>
    <n v="0"/>
    <s v="Unknown"/>
    <s v=" "/>
    <n v="2"/>
    <n v="2.7500000000000002E-4"/>
    <n v="2.897972E-2"/>
  </r>
  <r>
    <x v="1"/>
    <x v="2"/>
    <s v="Q3"/>
    <s v="Others"/>
    <s v="LCoS glasses"/>
    <s v="AR see-through"/>
    <s v="Unknown"/>
    <x v="4"/>
    <x v="6"/>
    <s v="Unknown"/>
    <m/>
    <m/>
    <m/>
    <m/>
    <n v="0"/>
    <s v="Unknown"/>
    <s v=" "/>
    <n v="2"/>
    <n v="2.7499999999999998E-3"/>
    <n v="0.12398265"/>
  </r>
  <r>
    <x v="1"/>
    <x v="2"/>
    <s v="Q3"/>
    <s v="Others"/>
    <s v="SiOLED glasses"/>
    <s v="AR see-through"/>
    <s v="Unknown"/>
    <x v="2"/>
    <x v="4"/>
    <s v="Unknown"/>
    <m/>
    <m/>
    <m/>
    <m/>
    <n v="0"/>
    <s v="Unknown"/>
    <s v=" "/>
    <n v="2"/>
    <n v="2.2000000000000001E-3"/>
    <n v="0.17842175999999998"/>
  </r>
  <r>
    <x v="0"/>
    <x v="2"/>
    <s v="Q4"/>
    <s v="DPVR"/>
    <s v="P1 family"/>
    <s v="VR"/>
    <s v="Standalone"/>
    <x v="0"/>
    <x v="0"/>
    <s v="Unknown"/>
    <s v=" "/>
    <m/>
    <m/>
    <m/>
    <n v="0"/>
    <s v="Unknown"/>
    <d v="2019-11-01T00:00:00"/>
    <n v="1"/>
    <n v="0.13750000000000001"/>
    <n v="7.9233000000000002"/>
  </r>
  <r>
    <x v="0"/>
    <x v="2"/>
    <s v="Q4"/>
    <s v="HP"/>
    <s v="Reverb G2"/>
    <s v="VR"/>
    <s v="Tethered"/>
    <x v="0"/>
    <x v="1"/>
    <s v="Unknown"/>
    <s v=" "/>
    <n v="2.89"/>
    <n v="2160"/>
    <n v="2160"/>
    <n v="1056.990067379199"/>
    <n v="90"/>
    <d v="2020-11-01T00:00:00"/>
    <n v="2"/>
    <n v="2.7499999999999998E-3"/>
    <n v="0.105644"/>
  </r>
  <r>
    <x v="0"/>
    <x v="2"/>
    <s v="Q4"/>
    <s v="HTC"/>
    <s v="Vive LCD headsets"/>
    <s v="VR"/>
    <s v="Standalone"/>
    <x v="0"/>
    <x v="1"/>
    <s v="JDI"/>
    <s v=" "/>
    <m/>
    <m/>
    <m/>
    <n v="0"/>
    <s v="Unknown"/>
    <d v="2019-10-01T00:00:00"/>
    <n v="2"/>
    <n v="1.6500000000000001E-2"/>
    <n v="0.63386400000000009"/>
  </r>
  <r>
    <x v="0"/>
    <x v="2"/>
    <s v="Q4"/>
    <s v="Meta"/>
    <s v="Quest 2"/>
    <s v="VR"/>
    <s v="Standalone"/>
    <x v="0"/>
    <x v="0"/>
    <s v="JDI"/>
    <s v="Sharp/BOE"/>
    <n v="5.5"/>
    <n v="3840"/>
    <n v="1832"/>
    <n v="773.56797048396322"/>
    <n v="90"/>
    <d v="2020-10-01T00:00:00"/>
    <n v="1"/>
    <n v="2.1175000000000002"/>
    <n v="122.01882000000001"/>
  </r>
  <r>
    <x v="0"/>
    <x v="2"/>
    <s v="Q4"/>
    <s v="Pico"/>
    <s v="Neo 3 / G3"/>
    <s v="VR"/>
    <s v="Standalone"/>
    <x v="0"/>
    <x v="0"/>
    <s v="JDI"/>
    <s v="Innolux"/>
    <n v="5.5"/>
    <n v="3840"/>
    <n v="1832"/>
    <n v="773.56797048396322"/>
    <n v="90"/>
    <d v="2021-05-01T00:00:00"/>
    <n v="1"/>
    <n v="8.6624999999999994E-2"/>
    <n v="4.9916789999999995"/>
  </r>
  <r>
    <x v="0"/>
    <x v="2"/>
    <s v="Q4"/>
    <s v="Pimax"/>
    <s v="Pimax VR"/>
    <s v="VR"/>
    <s v="Tethered"/>
    <x v="0"/>
    <x v="1"/>
    <s v="BOE"/>
    <s v="Innolux"/>
    <m/>
    <m/>
    <m/>
    <n v="0"/>
    <s v="Unknown"/>
    <s v=" "/>
    <n v="2"/>
    <n v="1.925E-2"/>
    <n v="0.73950800000000005"/>
  </r>
  <r>
    <x v="0"/>
    <x v="2"/>
    <s v="Q4"/>
    <s v="Others"/>
    <s v="Dual LCD VR headset"/>
    <s v="VR"/>
    <s v="Unknown"/>
    <x v="0"/>
    <x v="1"/>
    <s v="Unknown"/>
    <s v=" "/>
    <m/>
    <m/>
    <m/>
    <n v="0"/>
    <s v="Unknown"/>
    <s v=" "/>
    <n v="2"/>
    <n v="2.1999999999999999E-2"/>
    <n v="0.84515200000000001"/>
  </r>
  <r>
    <x v="0"/>
    <x v="2"/>
    <s v="Q4"/>
    <s v="Others"/>
    <s v="Single LCD VR headset"/>
    <s v="VR"/>
    <s v="Unknown"/>
    <x v="0"/>
    <x v="0"/>
    <s v="Unknown"/>
    <s v=" "/>
    <m/>
    <m/>
    <m/>
    <n v="0"/>
    <s v="Unknown"/>
    <s v=" "/>
    <n v="1"/>
    <n v="3.3000000000000002E-2"/>
    <n v="1.9015919999999999"/>
  </r>
  <r>
    <x v="0"/>
    <x v="2"/>
    <s v="Q4"/>
    <s v="Valve"/>
    <s v="Index"/>
    <s v="VR"/>
    <s v="Tethered"/>
    <x v="0"/>
    <x v="1"/>
    <s v="Unknwon"/>
    <s v=" "/>
    <n v="3.5"/>
    <n v="1440"/>
    <n v="1600"/>
    <n v="615.02281358051255"/>
    <n v="144"/>
    <d v="2019-05-01T00:00:00"/>
    <n v="2"/>
    <n v="5.4999999999999997E-3"/>
    <n v="0.211288"/>
  </r>
  <r>
    <x v="1"/>
    <x v="2"/>
    <s v="Q4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3.3000000000000002E-2"/>
    <n v="2.6763263999999998"/>
  </r>
  <r>
    <x v="1"/>
    <x v="2"/>
    <s v="Q4"/>
    <s v="Google"/>
    <s v="Glass"/>
    <s v="AR see-through"/>
    <s v="Standalone"/>
    <x v="3"/>
    <x v="5"/>
    <s v="Kopin"/>
    <m/>
    <m/>
    <n v="640"/>
    <n v="360"/>
    <n v="0"/>
    <s v="Unknown"/>
    <d v="2019-05-01T00:00:00"/>
    <n v="1"/>
    <n v="6.875E-3"/>
    <n v="0.28300387500000002"/>
  </r>
  <r>
    <x v="1"/>
    <x v="2"/>
    <s v="Q4"/>
    <s v="Lenovo"/>
    <s v="T1"/>
    <s v="AR see-through"/>
    <s v="Tethered"/>
    <x v="2"/>
    <x v="4"/>
    <s v="SeeYa"/>
    <m/>
    <n v="0.49"/>
    <n v="1920"/>
    <n v="1080"/>
    <n v="4495.7289185353029"/>
    <n v="60"/>
    <d v="2022-11-01T00:00:00"/>
    <n v="2"/>
    <n v="2.7499999999999998E-3"/>
    <n v="0.15125"/>
  </r>
  <r>
    <x v="1"/>
    <x v="2"/>
    <s v="Q4"/>
    <s v="Lenovo"/>
    <s v="ThinkReality A3"/>
    <s v="AR see-through"/>
    <s v="Tethered"/>
    <x v="2"/>
    <x v="4"/>
    <s v="Sony"/>
    <m/>
    <n v="0.71"/>
    <n v="1920"/>
    <n v="1080"/>
    <n v="3102.6861550454905"/>
    <s v="Unknown"/>
    <d v="2021-06-01T00:00:00"/>
    <n v="2"/>
    <n v="9.6249999999999999E-3"/>
    <n v="0.78059519999999993"/>
  </r>
  <r>
    <x v="1"/>
    <x v="2"/>
    <s v="Q4"/>
    <s v="Magic Leap"/>
    <s v="ML 2"/>
    <s v="AR see-through"/>
    <s v="Standalone"/>
    <x v="4"/>
    <x v="6"/>
    <s v="Unknown"/>
    <m/>
    <m/>
    <n v="1440"/>
    <n v="1760"/>
    <n v="0"/>
    <s v="Unknown"/>
    <d v="2022-09-01T00:00:00"/>
    <n v="2"/>
    <n v="2.7499999999999998E-3"/>
    <n v="0.12398265"/>
  </r>
  <r>
    <x v="1"/>
    <x v="2"/>
    <s v="Q4"/>
    <s v="Microsoft"/>
    <s v="HoloLens 2"/>
    <s v="AR see-through"/>
    <s v="Standalone"/>
    <x v="5"/>
    <x v="7"/>
    <s v="Unknown"/>
    <m/>
    <m/>
    <m/>
    <m/>
    <n v="0"/>
    <s v="Unknown"/>
    <d v="2019-11-01T00:00:00"/>
    <n v="2"/>
    <n v="3.3000000000000002E-2"/>
    <n v="3.4775664000000002"/>
  </r>
  <r>
    <x v="1"/>
    <x v="2"/>
    <s v="Q4"/>
    <s v="XREAL"/>
    <s v="Light"/>
    <s v="AR see-through"/>
    <s v="Tethered"/>
    <x v="2"/>
    <x v="4"/>
    <s v="BOE"/>
    <m/>
    <n v="0.71"/>
    <n v="1920"/>
    <n v="1080"/>
    <n v="3102.6861550454905"/>
    <n v="90"/>
    <d v="2020-08-01T00:00:00"/>
    <n v="2"/>
    <n v="4.1250000000000002E-2"/>
    <n v="3.3454079999999999"/>
  </r>
  <r>
    <x v="1"/>
    <x v="2"/>
    <s v="Q4"/>
    <s v="Oppo"/>
    <s v="Air Glass"/>
    <s v="AR see-through"/>
    <s v="Tethered"/>
    <x v="7"/>
    <x v="9"/>
    <s v="JBD"/>
    <m/>
    <n v="0.13"/>
    <n v="640"/>
    <n v="480"/>
    <n v="6153.8461538461534"/>
    <s v="Unknown"/>
    <d v="2022-01-01T00:00:00"/>
    <n v="1"/>
    <n v="6.8799999999999992E-4"/>
    <n v="5.7752095999999989E-2"/>
  </r>
  <r>
    <x v="1"/>
    <x v="2"/>
    <s v="Q4"/>
    <s v="Rokid"/>
    <s v="Air"/>
    <s v="AR see-through"/>
    <s v="Tethered"/>
    <x v="2"/>
    <x v="4"/>
    <s v="SeeYa"/>
    <m/>
    <n v="0.49"/>
    <n v="1920"/>
    <n v="1080"/>
    <n v="4495.7289185353029"/>
    <n v="75"/>
    <d v="2021-11-01T00:00:00"/>
    <n v="2"/>
    <n v="8.2500000000000004E-3"/>
    <n v="0.45375000000000004"/>
  </r>
  <r>
    <x v="1"/>
    <x v="2"/>
    <s v="Q4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6.8799999999999992E-4"/>
    <n v="5.5967630399999989E-2"/>
  </r>
  <r>
    <x v="1"/>
    <x v="2"/>
    <s v="Q4"/>
    <s v="Others"/>
    <s v="DLP glasses"/>
    <s v="AR see-through"/>
    <s v="Unknown"/>
    <x v="6"/>
    <x v="8"/>
    <s v="Unknown"/>
    <m/>
    <m/>
    <m/>
    <m/>
    <n v="0"/>
    <s v="Unknown"/>
    <s v=" "/>
    <n v="1"/>
    <n v="2.7500000000000002E-4"/>
    <n v="2.2370782499999999E-2"/>
  </r>
  <r>
    <x v="1"/>
    <x v="2"/>
    <s v="Q4"/>
    <s v="Others"/>
    <s v="LBS glasses"/>
    <s v="AR see-through"/>
    <s v="Unknown"/>
    <x v="5"/>
    <x v="7"/>
    <s v="Unknown"/>
    <m/>
    <m/>
    <m/>
    <m/>
    <n v="0"/>
    <s v="Unknown"/>
    <s v=" "/>
    <n v="2"/>
    <n v="2.7500000000000002E-4"/>
    <n v="2.897972E-2"/>
  </r>
  <r>
    <x v="1"/>
    <x v="2"/>
    <s v="Q4"/>
    <s v="Others"/>
    <s v="LCoS glasses"/>
    <s v="AR see-through"/>
    <s v="Unknown"/>
    <x v="4"/>
    <x v="6"/>
    <s v="Unknown"/>
    <m/>
    <m/>
    <m/>
    <m/>
    <n v="0"/>
    <s v="Unknown"/>
    <s v=" "/>
    <n v="2"/>
    <n v="2.7499999999999998E-3"/>
    <n v="0.12398265"/>
  </r>
  <r>
    <x v="1"/>
    <x v="2"/>
    <s v="Q4"/>
    <s v="Others"/>
    <s v="SiOLED glasses"/>
    <s v="AR see-through"/>
    <s v="Unknown"/>
    <x v="2"/>
    <x v="4"/>
    <s v="Unknown"/>
    <m/>
    <m/>
    <m/>
    <m/>
    <n v="0"/>
    <s v="Unknown"/>
    <s v=" "/>
    <n v="2"/>
    <n v="2.2000000000000001E-3"/>
    <n v="0.17842175999999998"/>
  </r>
  <r>
    <x v="0"/>
    <x v="3"/>
    <s v="Q1"/>
    <s v="Arpara"/>
    <s v="5K VR"/>
    <s v="VR"/>
    <s v="Unknown"/>
    <x v="2"/>
    <x v="4"/>
    <s v="SeeYa"/>
    <s v=" "/>
    <n v="1.03"/>
    <n v="2560"/>
    <n v="2560"/>
    <n v="3514.9385627913821"/>
    <s v="Unknown"/>
    <s v=" "/>
    <n v="2"/>
    <n v="5.5000000000000003E-4"/>
    <n v="0.11026125000000001"/>
  </r>
  <r>
    <x v="0"/>
    <x v="3"/>
    <s v="Q1"/>
    <s v="DPVR"/>
    <s v="P1 family"/>
    <s v="VR"/>
    <s v="Standalone"/>
    <x v="0"/>
    <x v="0"/>
    <s v="Unknown"/>
    <s v=" "/>
    <m/>
    <m/>
    <m/>
    <n v="0"/>
    <s v="Unknown"/>
    <d v="2019-11-01T00:00:00"/>
    <n v="1"/>
    <n v="0.11"/>
    <n v="6.2118671999999995"/>
  </r>
  <r>
    <x v="0"/>
    <x v="3"/>
    <s v="Q1"/>
    <s v="HTC"/>
    <s v="Vive LCD headsets"/>
    <s v="VR"/>
    <s v="Standalone"/>
    <x v="0"/>
    <x v="1"/>
    <s v="JDI"/>
    <s v=" "/>
    <m/>
    <m/>
    <m/>
    <n v="0"/>
    <s v="Unknown"/>
    <d v="2019-10-01T00:00:00"/>
    <n v="2"/>
    <n v="1.925E-2"/>
    <n v="0.72471784000000006"/>
  </r>
  <r>
    <x v="0"/>
    <x v="3"/>
    <s v="Q1"/>
    <s v="Lenovo"/>
    <s v="ThinkReality VRX"/>
    <s v="AR passthrough"/>
    <s v="Standalone"/>
    <x v="0"/>
    <x v="1"/>
    <s v="Unknown"/>
    <m/>
    <m/>
    <m/>
    <m/>
    <n v="0"/>
    <s v="Unknown"/>
    <d v="2023-06-01T00:00:00"/>
    <n v="2"/>
    <n v="5.4999999999999997E-3"/>
    <n v="0.20706223999999998"/>
  </r>
  <r>
    <x v="0"/>
    <x v="3"/>
    <s v="Q1"/>
    <s v="Lynx"/>
    <s v="R1"/>
    <s v="AR passthrough"/>
    <s v="Standalone"/>
    <x v="0"/>
    <x v="1"/>
    <s v="JDI"/>
    <s v=" "/>
    <n v="2.1"/>
    <n v="1600"/>
    <n v="1600"/>
    <n v="1077.4960475223581"/>
    <n v="90"/>
    <s v=" "/>
    <n v="2"/>
    <n v="8.2500000000000004E-3"/>
    <n v="0.31059336000000004"/>
  </r>
  <r>
    <x v="0"/>
    <x v="3"/>
    <s v="Q1"/>
    <s v="Meta"/>
    <s v="Quest 2"/>
    <s v="VR"/>
    <s v="Standalone"/>
    <x v="0"/>
    <x v="0"/>
    <s v="JDI"/>
    <s v="Sharp/BOE"/>
    <n v="5.5"/>
    <n v="3840"/>
    <n v="1832"/>
    <n v="773.56797048396322"/>
    <n v="90"/>
    <d v="2020-10-01T00:00:00"/>
    <n v="1"/>
    <n v="1.375"/>
    <n v="77.64833999999999"/>
  </r>
  <r>
    <x v="0"/>
    <x v="3"/>
    <s v="Q1"/>
    <s v="Meta"/>
    <s v="Quest Pro"/>
    <s v="AR passthrough"/>
    <s v="Standalone"/>
    <x v="0"/>
    <x v="1"/>
    <s v="BOE"/>
    <s v="JDI"/>
    <n v="2.5"/>
    <n v="1920"/>
    <n v="1800"/>
    <n v="1052.7221855741429"/>
    <n v="90"/>
    <d v="2022-10-01T00:00:00"/>
    <n v="2"/>
    <n v="3.6299999999999999E-2"/>
    <n v="1.3666107839999999"/>
  </r>
  <r>
    <x v="0"/>
    <x v="3"/>
    <s v="Q1"/>
    <s v="Pico"/>
    <s v="Neo 3 / G3"/>
    <s v="VR"/>
    <s v="Standalone"/>
    <x v="0"/>
    <x v="0"/>
    <s v="JDI"/>
    <s v="Innolux"/>
    <n v="5.5"/>
    <n v="3840"/>
    <n v="1832"/>
    <n v="773.56797048396322"/>
    <n v="90"/>
    <d v="2021-05-01T00:00:00"/>
    <n v="1"/>
    <n v="0.12375"/>
    <n v="6.9883505999999986"/>
  </r>
  <r>
    <x v="0"/>
    <x v="3"/>
    <s v="Q1"/>
    <s v="Pico"/>
    <s v="Pico 4"/>
    <s v="VR"/>
    <s v="Standalone"/>
    <x v="0"/>
    <x v="1"/>
    <s v="Innolux"/>
    <m/>
    <n v="2.56"/>
    <n v="2160"/>
    <n v="2160"/>
    <n v="1193.242693252299"/>
    <n v="90"/>
    <d v="2022-09-01T00:00:00"/>
    <n v="2"/>
    <n v="8.9099999999999999E-2"/>
    <n v="3.3544082880000001"/>
  </r>
  <r>
    <x v="0"/>
    <x v="3"/>
    <s v="Q1"/>
    <s v="Pimax"/>
    <s v="Pimax VR"/>
    <s v="VR"/>
    <s v="Tethered"/>
    <x v="0"/>
    <x v="1"/>
    <s v="BOE"/>
    <s v="Innolux"/>
    <m/>
    <m/>
    <m/>
    <n v="0"/>
    <s v="Unknown"/>
    <s v=" "/>
    <n v="2"/>
    <n v="5.4999999999999997E-3"/>
    <n v="0.20706223999999998"/>
  </r>
  <r>
    <x v="0"/>
    <x v="3"/>
    <s v="Q1"/>
    <s v="Shiftall"/>
    <s v="MeganeX"/>
    <s v="VR"/>
    <s v="Tethered"/>
    <x v="2"/>
    <x v="4"/>
    <s v="Lakeside"/>
    <m/>
    <n v="1.3"/>
    <n v="2560"/>
    <n v="2560"/>
    <n v="2784.9128612885565"/>
    <n v="120"/>
    <m/>
    <n v="2"/>
    <n v="5.5000000000000003E-4"/>
    <n v="0.11026125000000001"/>
  </r>
  <r>
    <x v="0"/>
    <x v="3"/>
    <s v="Q1"/>
    <s v="Others"/>
    <s v="Dual LCD VR headset"/>
    <s v="VR"/>
    <s v="Unknown"/>
    <x v="0"/>
    <x v="1"/>
    <s v="Unknown"/>
    <s v=" "/>
    <m/>
    <m/>
    <m/>
    <n v="0"/>
    <s v="Unknown"/>
    <s v=" "/>
    <n v="2"/>
    <n v="1.375E-2"/>
    <n v="0.51765559999999999"/>
  </r>
  <r>
    <x v="0"/>
    <x v="3"/>
    <s v="Q1"/>
    <s v="Others"/>
    <s v="Single LCD VR headset"/>
    <s v="VR"/>
    <s v="Unknown"/>
    <x v="0"/>
    <x v="0"/>
    <s v="Unknown"/>
    <s v=" "/>
    <m/>
    <m/>
    <m/>
    <n v="0"/>
    <s v="Unknown"/>
    <s v=" "/>
    <n v="1"/>
    <n v="5.7750000000000003E-2"/>
    <n v="3.2612302799999995"/>
  </r>
  <r>
    <x v="1"/>
    <x v="3"/>
    <s v="Q1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2.1999999999999999E-2"/>
    <n v="1.7128488959999997"/>
  </r>
  <r>
    <x v="1"/>
    <x v="3"/>
    <s v="Q1"/>
    <s v="Google"/>
    <s v="Glass"/>
    <s v="AR see-through"/>
    <s v="Standalone"/>
    <x v="3"/>
    <x v="5"/>
    <s v="Kopin"/>
    <m/>
    <m/>
    <n v="640"/>
    <n v="360"/>
    <n v="0"/>
    <s v="Unknown"/>
    <d v="2019-05-01T00:00:00"/>
    <n v="1"/>
    <n v="3.163E-3"/>
    <n v="0.12890034095399999"/>
  </r>
  <r>
    <x v="1"/>
    <x v="3"/>
    <s v="Q1"/>
    <s v="Lenovo"/>
    <s v="T1"/>
    <s v="AR see-through"/>
    <s v="Tethered"/>
    <x v="2"/>
    <x v="4"/>
    <s v="SeeYa"/>
    <m/>
    <n v="0.49"/>
    <n v="1920"/>
    <n v="1080"/>
    <n v="4495.7289185353029"/>
    <n v="60"/>
    <d v="2022-11-01T00:00:00"/>
    <n v="2"/>
    <n v="1.375E-2"/>
    <n v="0.71499999999999997"/>
  </r>
  <r>
    <x v="1"/>
    <x v="3"/>
    <s v="Q1"/>
    <s v="Lenovo"/>
    <s v="ThinkReality A3"/>
    <s v="AR see-through"/>
    <s v="Tethered"/>
    <x v="2"/>
    <x v="4"/>
    <s v="Sony"/>
    <m/>
    <n v="0.71"/>
    <n v="1920"/>
    <n v="1080"/>
    <n v="3102.6861550454905"/>
    <s v="Unknown"/>
    <d v="2021-06-01T00:00:00"/>
    <n v="2"/>
    <n v="1.9250000000000001E-3"/>
    <n v="0.14987427839999998"/>
  </r>
  <r>
    <x v="1"/>
    <x v="3"/>
    <s v="Q1"/>
    <s v="Magic Leap"/>
    <s v="ML 2"/>
    <s v="AR see-through"/>
    <s v="Standalone"/>
    <x v="4"/>
    <x v="6"/>
    <s v="Unknown"/>
    <m/>
    <m/>
    <n v="1440"/>
    <n v="1760"/>
    <n v="0"/>
    <s v="Unknown"/>
    <d v="2022-09-01T00:00:00"/>
    <n v="2"/>
    <n v="5.4999999999999997E-3"/>
    <n v="0.245485647"/>
  </r>
  <r>
    <x v="1"/>
    <x v="3"/>
    <s v="Q1"/>
    <s v="Microsoft"/>
    <s v="HoloLens 2"/>
    <s v="AR see-through"/>
    <s v="Standalone"/>
    <x v="5"/>
    <x v="7"/>
    <s v="Unknown"/>
    <m/>
    <m/>
    <m/>
    <m/>
    <n v="0"/>
    <s v="Unknown"/>
    <d v="2019-11-01T00:00:00"/>
    <n v="2"/>
    <n v="6.875E-3"/>
    <n v="0.70275820999999994"/>
  </r>
  <r>
    <x v="1"/>
    <x v="3"/>
    <s v="Q1"/>
    <s v="XREAL"/>
    <s v="Light"/>
    <s v="AR see-through"/>
    <s v="Tethered"/>
    <x v="2"/>
    <x v="4"/>
    <s v="BOE"/>
    <m/>
    <n v="0.71"/>
    <n v="1920"/>
    <n v="1080"/>
    <n v="3102.6861550454905"/>
    <n v="90"/>
    <d v="2020-08-01T00:00:00"/>
    <n v="2"/>
    <n v="8.2500000000000004E-2"/>
    <n v="6.4231833599999995"/>
  </r>
  <r>
    <x v="1"/>
    <x v="3"/>
    <s v="Q1"/>
    <s v="Oppo"/>
    <s v="Air Glass"/>
    <s v="AR see-through"/>
    <s v="Tethered"/>
    <x v="7"/>
    <x v="9"/>
    <s v="JBD"/>
    <m/>
    <n v="0.13"/>
    <n v="640"/>
    <n v="480"/>
    <n v="6153.8461538461534"/>
    <s v="Unknown"/>
    <d v="2022-01-01T00:00:00"/>
    <n v="1"/>
    <n v="6.8799999999999992E-4"/>
    <n v="5.4286970239999982E-2"/>
  </r>
  <r>
    <x v="1"/>
    <x v="3"/>
    <s v="Q1"/>
    <s v="Rokid"/>
    <s v="Air"/>
    <s v="AR see-through"/>
    <s v="Tethered"/>
    <x v="2"/>
    <x v="4"/>
    <s v="SeeYa"/>
    <m/>
    <n v="0.49"/>
    <n v="1920"/>
    <n v="1080"/>
    <n v="4495.7289185353029"/>
    <n v="75"/>
    <d v="2021-11-01T00:00:00"/>
    <n v="2"/>
    <n v="1.0999999999999999E-2"/>
    <n v="0.57199999999999995"/>
  </r>
  <r>
    <x v="1"/>
    <x v="3"/>
    <s v="Q1"/>
    <s v="TCL"/>
    <s v="NXTWear"/>
    <s v="AR see-through"/>
    <s v="Tethered"/>
    <x v="2"/>
    <x v="4"/>
    <s v="Sony"/>
    <m/>
    <n v="0.55000000000000004"/>
    <n v="1920"/>
    <n v="1080"/>
    <n v="4005.2857637859966"/>
    <s v="Unknown"/>
    <d v="2022-11-01T00:00:00"/>
    <n v="2"/>
    <n v="8.2500000000000004E-3"/>
    <n v="0.47850000000000004"/>
  </r>
  <r>
    <x v="1"/>
    <x v="3"/>
    <s v="Q1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4.1299999999999996E-4"/>
    <n v="3.3260879420999992E-2"/>
  </r>
  <r>
    <x v="1"/>
    <x v="3"/>
    <s v="Q1"/>
    <s v="Vuzix"/>
    <s v="Shield"/>
    <s v="AR see-through"/>
    <s v="Standalone"/>
    <x v="7"/>
    <x v="10"/>
    <s v="JBD"/>
    <m/>
    <n v="0.13"/>
    <n v="640"/>
    <n v="480"/>
    <n v="6153.8461538461534"/>
    <s v="Unknown"/>
    <d v="2022-12-01T00:00:00"/>
    <n v="2"/>
    <n v="5.5000000000000003E-4"/>
    <n v="4.3398013999999992E-2"/>
  </r>
  <r>
    <x v="1"/>
    <x v="3"/>
    <s v="Q1"/>
    <s v="Others"/>
    <s v="Binocular MicroLED"/>
    <s v="AR see-through"/>
    <s v="Unknown"/>
    <x v="7"/>
    <x v="10"/>
    <s v="Unknown"/>
    <m/>
    <m/>
    <m/>
    <m/>
    <n v="0"/>
    <s v="Unknown"/>
    <s v=" "/>
    <n v="2"/>
    <n v="2.7500000000000002E-4"/>
    <n v="2.1699006999999996E-2"/>
  </r>
  <r>
    <x v="1"/>
    <x v="3"/>
    <s v="Q1"/>
    <s v="Others"/>
    <s v="DLP glasses"/>
    <s v="AR see-through"/>
    <s v="Unknown"/>
    <x v="6"/>
    <x v="8"/>
    <s v="Unknown"/>
    <m/>
    <m/>
    <m/>
    <m/>
    <n v="0"/>
    <s v="Unknown"/>
    <s v=" "/>
    <n v="1"/>
    <n v="2.7500000000000002E-4"/>
    <n v="2.2147074675E-2"/>
  </r>
  <r>
    <x v="1"/>
    <x v="3"/>
    <s v="Q1"/>
    <s v="Others"/>
    <s v="LBS glasses"/>
    <s v="AR see-through"/>
    <s v="Unknown"/>
    <x v="5"/>
    <x v="7"/>
    <s v="Unknown"/>
    <m/>
    <m/>
    <m/>
    <m/>
    <n v="0"/>
    <s v="Unknown"/>
    <s v=" "/>
    <n v="2"/>
    <n v="8.25E-4"/>
    <n v="8.43309852E-2"/>
  </r>
  <r>
    <x v="1"/>
    <x v="3"/>
    <s v="Q1"/>
    <s v="Others"/>
    <s v="LCoS glasses"/>
    <s v="AR see-through"/>
    <s v="Unknown"/>
    <x v="4"/>
    <x v="6"/>
    <s v="Unknown"/>
    <m/>
    <m/>
    <m/>
    <m/>
    <n v="0"/>
    <s v="Unknown"/>
    <s v=" "/>
    <n v="2"/>
    <n v="4.1250000000000002E-3"/>
    <n v="0.18411423525000004"/>
  </r>
  <r>
    <x v="1"/>
    <x v="3"/>
    <s v="Q1"/>
    <s v="Others"/>
    <s v="Monocular MicroLED"/>
    <s v="AR see-through"/>
    <s v="Unknown"/>
    <x v="7"/>
    <x v="9"/>
    <s v="Unknown"/>
    <m/>
    <m/>
    <m/>
    <m/>
    <n v="0"/>
    <s v="Unknown"/>
    <s v=" "/>
    <n v="1"/>
    <n v="1.3800000000000002E-4"/>
    <n v="1.0888956239999999E-2"/>
  </r>
  <r>
    <x v="1"/>
    <x v="3"/>
    <s v="Q1"/>
    <s v="Others"/>
    <s v="SiOLED glasses"/>
    <s v="AR see-through"/>
    <s v="Unknown"/>
    <x v="2"/>
    <x v="4"/>
    <s v="Unknown"/>
    <m/>
    <m/>
    <m/>
    <m/>
    <n v="0"/>
    <s v="Unknown"/>
    <s v=" "/>
    <n v="2"/>
    <n v="3.8500000000000001E-3"/>
    <n v="0.29974855679999995"/>
  </r>
  <r>
    <x v="0"/>
    <x v="3"/>
    <s v="Q2"/>
    <s v="Arpara"/>
    <s v="5K VR"/>
    <s v="VR"/>
    <s v="Unknown"/>
    <x v="2"/>
    <x v="4"/>
    <s v="SeeYa"/>
    <s v=" "/>
    <n v="1.03"/>
    <n v="2560"/>
    <n v="2560"/>
    <n v="3514.9385627913821"/>
    <s v="Unknown"/>
    <s v=" "/>
    <n v="2"/>
    <n v="5.5000000000000003E-4"/>
    <n v="0.11026125000000001"/>
  </r>
  <r>
    <x v="0"/>
    <x v="3"/>
    <s v="Q2"/>
    <s v="DPVR"/>
    <s v="P1 family"/>
    <s v="VR"/>
    <s v="Standalone"/>
    <x v="0"/>
    <x v="0"/>
    <s v="Unknown"/>
    <s v=" "/>
    <m/>
    <m/>
    <m/>
    <n v="0"/>
    <s v="Unknown"/>
    <d v="2019-11-01T00:00:00"/>
    <n v="1"/>
    <n v="0.11"/>
    <n v="6.2118671999999995"/>
  </r>
  <r>
    <x v="0"/>
    <x v="3"/>
    <s v="Q2"/>
    <s v="HTC"/>
    <s v="Vive LCD headsets"/>
    <s v="VR"/>
    <s v="Standalone"/>
    <x v="0"/>
    <x v="1"/>
    <s v="JDI"/>
    <s v=" "/>
    <m/>
    <m/>
    <m/>
    <n v="0"/>
    <s v="Unknown"/>
    <d v="2019-10-01T00:00:00"/>
    <n v="2"/>
    <n v="1.925E-2"/>
    <n v="0.72471784000000006"/>
  </r>
  <r>
    <x v="0"/>
    <x v="3"/>
    <s v="Q2"/>
    <s v="Lenovo"/>
    <s v="ThinkReality VRX"/>
    <s v="AR passthrough"/>
    <s v="Standalone"/>
    <x v="0"/>
    <x v="1"/>
    <s v="Unknown"/>
    <m/>
    <m/>
    <m/>
    <m/>
    <n v="0"/>
    <s v="Unknown"/>
    <d v="2023-06-01T00:00:00"/>
    <n v="2"/>
    <n v="5.4999999999999997E-3"/>
    <n v="0.20706223999999998"/>
  </r>
  <r>
    <x v="0"/>
    <x v="3"/>
    <s v="Q2"/>
    <s v="Lynx"/>
    <s v="R1"/>
    <s v="AR passthrough"/>
    <s v="Standalone"/>
    <x v="0"/>
    <x v="1"/>
    <s v="JDI"/>
    <s v=" "/>
    <n v="2.1"/>
    <n v="1600"/>
    <n v="1600"/>
    <n v="1077.4960475223581"/>
    <n v="90"/>
    <s v=" "/>
    <n v="2"/>
    <n v="8.2500000000000004E-3"/>
    <n v="0.31059336000000004"/>
  </r>
  <r>
    <x v="0"/>
    <x v="3"/>
    <s v="Q2"/>
    <s v="Meta"/>
    <s v="Quest 2"/>
    <s v="VR"/>
    <s v="Standalone"/>
    <x v="0"/>
    <x v="0"/>
    <s v="JDI"/>
    <s v="Sharp/BOE"/>
    <n v="5.5"/>
    <n v="3840"/>
    <n v="1832"/>
    <n v="773.56797048396322"/>
    <n v="90"/>
    <d v="2020-10-01T00:00:00"/>
    <n v="1"/>
    <n v="1.375"/>
    <n v="77.64833999999999"/>
  </r>
  <r>
    <x v="0"/>
    <x v="3"/>
    <s v="Q2"/>
    <s v="Meta"/>
    <s v="Quest Pro"/>
    <s v="AR passthrough"/>
    <s v="Standalone"/>
    <x v="0"/>
    <x v="1"/>
    <s v="BOE"/>
    <s v="JDI"/>
    <n v="2.5"/>
    <n v="1920"/>
    <n v="1800"/>
    <n v="1052.7221855741429"/>
    <n v="90"/>
    <d v="2022-10-01T00:00:00"/>
    <n v="2"/>
    <n v="3.6299999999999999E-2"/>
    <n v="1.3666107839999999"/>
  </r>
  <r>
    <x v="0"/>
    <x v="3"/>
    <s v="Q2"/>
    <s v="Pico"/>
    <s v="Neo 3 / G3"/>
    <s v="VR"/>
    <s v="Standalone"/>
    <x v="0"/>
    <x v="0"/>
    <s v="JDI"/>
    <s v="Innolux"/>
    <n v="5.5"/>
    <n v="3840"/>
    <n v="1832"/>
    <n v="773.56797048396322"/>
    <n v="90"/>
    <d v="2021-05-01T00:00:00"/>
    <n v="1"/>
    <n v="0.12375"/>
    <n v="6.9883505999999986"/>
  </r>
  <r>
    <x v="0"/>
    <x v="3"/>
    <s v="Q2"/>
    <s v="Pico"/>
    <s v="Pico 4"/>
    <s v="VR"/>
    <s v="Standalone"/>
    <x v="0"/>
    <x v="1"/>
    <s v="Innolux"/>
    <m/>
    <n v="2.56"/>
    <n v="2160"/>
    <n v="2160"/>
    <n v="1193.242693252299"/>
    <n v="90"/>
    <d v="2022-09-01T00:00:00"/>
    <n v="2"/>
    <n v="8.9099999999999999E-2"/>
    <n v="3.3544082880000001"/>
  </r>
  <r>
    <x v="0"/>
    <x v="3"/>
    <s v="Q2"/>
    <s v="Pimax"/>
    <s v="Pimax VR"/>
    <s v="VR"/>
    <s v="Tethered"/>
    <x v="0"/>
    <x v="1"/>
    <s v="BOE"/>
    <s v="Innolux"/>
    <m/>
    <m/>
    <m/>
    <n v="0"/>
    <s v="Unknown"/>
    <s v=" "/>
    <n v="2"/>
    <n v="5.4999999999999997E-3"/>
    <n v="0.20706223999999998"/>
  </r>
  <r>
    <x v="0"/>
    <x v="3"/>
    <s v="Q2"/>
    <s v="Shiftall"/>
    <s v="MeganeX"/>
    <s v="VR"/>
    <s v="Tethered"/>
    <x v="2"/>
    <x v="4"/>
    <s v="Lakeside"/>
    <m/>
    <n v="1.3"/>
    <n v="2560"/>
    <n v="2560"/>
    <n v="2784.9128612885565"/>
    <n v="120"/>
    <m/>
    <n v="2"/>
    <n v="5.5000000000000003E-4"/>
    <n v="0.11026125000000001"/>
  </r>
  <r>
    <x v="0"/>
    <x v="3"/>
    <s v="Q2"/>
    <s v="Sony"/>
    <s v="PlayStation VR2"/>
    <s v="VR"/>
    <s v="Tethered"/>
    <x v="1"/>
    <x v="2"/>
    <s v="SDC"/>
    <m/>
    <n v="3.36"/>
    <n v="2040"/>
    <n v="2000"/>
    <n v="850.25339693662363"/>
    <n v="120"/>
    <d v="2023-02-01T00:00:00"/>
    <n v="2"/>
    <n v="0.4"/>
    <n v="20"/>
  </r>
  <r>
    <x v="0"/>
    <x v="3"/>
    <s v="Q2"/>
    <s v="Others"/>
    <s v="Dual LCD VR headset"/>
    <s v="VR"/>
    <s v="Unknown"/>
    <x v="0"/>
    <x v="1"/>
    <s v="Unknown"/>
    <s v=" "/>
    <m/>
    <m/>
    <m/>
    <n v="0"/>
    <s v="Unknown"/>
    <s v=" "/>
    <n v="2"/>
    <n v="1.375E-2"/>
    <n v="0.51765559999999999"/>
  </r>
  <r>
    <x v="0"/>
    <x v="3"/>
    <s v="Q2"/>
    <s v="Others"/>
    <s v="Single LCD VR headset"/>
    <s v="VR"/>
    <s v="Unknown"/>
    <x v="0"/>
    <x v="0"/>
    <s v="Unknown"/>
    <s v=" "/>
    <m/>
    <m/>
    <m/>
    <n v="0"/>
    <s v="Unknown"/>
    <s v=" "/>
    <n v="1"/>
    <n v="5.7750000000000003E-2"/>
    <n v="3.2612302799999995"/>
  </r>
  <r>
    <x v="1"/>
    <x v="3"/>
    <s v="Q2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2.1999999999999999E-2"/>
    <n v="1.7128488959999997"/>
  </r>
  <r>
    <x v="1"/>
    <x v="3"/>
    <s v="Q2"/>
    <s v="Google"/>
    <s v="Glass"/>
    <s v="AR see-through"/>
    <s v="Standalone"/>
    <x v="3"/>
    <x v="5"/>
    <s v="Kopin"/>
    <m/>
    <m/>
    <n v="640"/>
    <n v="360"/>
    <n v="0"/>
    <s v="Unknown"/>
    <d v="2019-05-01T00:00:00"/>
    <n v="1"/>
    <n v="3.163E-3"/>
    <n v="0.12890034095399999"/>
  </r>
  <r>
    <x v="1"/>
    <x v="3"/>
    <s v="Q2"/>
    <s v="Lenovo"/>
    <s v="T1"/>
    <s v="AR see-through"/>
    <s v="Tethered"/>
    <x v="2"/>
    <x v="4"/>
    <s v="SeeYa"/>
    <m/>
    <n v="0.49"/>
    <n v="1920"/>
    <n v="1080"/>
    <n v="4495.7289185353029"/>
    <n v="60"/>
    <d v="2022-11-01T00:00:00"/>
    <n v="2"/>
    <n v="1.375E-2"/>
    <n v="0.71499999999999997"/>
  </r>
  <r>
    <x v="1"/>
    <x v="3"/>
    <s v="Q2"/>
    <s v="Lenovo"/>
    <s v="ThinkReality A3"/>
    <s v="AR see-through"/>
    <s v="Tethered"/>
    <x v="2"/>
    <x v="4"/>
    <s v="Sony"/>
    <m/>
    <n v="0.71"/>
    <n v="1920"/>
    <n v="1080"/>
    <n v="3102.6861550454905"/>
    <s v="Unknown"/>
    <d v="2021-06-01T00:00:00"/>
    <n v="2"/>
    <n v="1.9250000000000001E-3"/>
    <n v="0.14987427839999998"/>
  </r>
  <r>
    <x v="1"/>
    <x v="3"/>
    <s v="Q2"/>
    <s v="Magic Leap"/>
    <s v="ML 2"/>
    <s v="AR see-through"/>
    <s v="Standalone"/>
    <x v="4"/>
    <x v="6"/>
    <s v="Unknown"/>
    <m/>
    <m/>
    <n v="1440"/>
    <n v="1760"/>
    <n v="0"/>
    <s v="Unknown"/>
    <d v="2022-09-01T00:00:00"/>
    <n v="2"/>
    <n v="5.4999999999999997E-3"/>
    <n v="0.245485647"/>
  </r>
  <r>
    <x v="1"/>
    <x v="3"/>
    <s v="Q2"/>
    <s v="Microsoft"/>
    <s v="HoloLens 2"/>
    <s v="AR see-through"/>
    <s v="Standalone"/>
    <x v="5"/>
    <x v="7"/>
    <s v="Unknown"/>
    <m/>
    <m/>
    <m/>
    <m/>
    <n v="0"/>
    <s v="Unknown"/>
    <d v="2019-11-01T00:00:00"/>
    <n v="2"/>
    <n v="6.875E-3"/>
    <n v="0.70275820999999994"/>
  </r>
  <r>
    <x v="1"/>
    <x v="3"/>
    <s v="Q2"/>
    <s v="XREAL"/>
    <s v="Light"/>
    <s v="AR see-through"/>
    <s v="Tethered"/>
    <x v="2"/>
    <x v="4"/>
    <s v="BOE"/>
    <m/>
    <n v="0.71"/>
    <n v="1920"/>
    <n v="1080"/>
    <n v="3102.6861550454905"/>
    <n v="90"/>
    <d v="2020-08-01T00:00:00"/>
    <n v="2"/>
    <n v="8.2500000000000004E-2"/>
    <n v="6.4231833599999995"/>
  </r>
  <r>
    <x v="1"/>
    <x v="3"/>
    <s v="Q2"/>
    <s v="Oppo"/>
    <s v="Air Glass"/>
    <s v="AR see-through"/>
    <s v="Tethered"/>
    <x v="7"/>
    <x v="9"/>
    <s v="JBD"/>
    <m/>
    <n v="0.13"/>
    <n v="640"/>
    <n v="480"/>
    <n v="6153.8461538461534"/>
    <s v="Unknown"/>
    <d v="2022-01-01T00:00:00"/>
    <n v="1"/>
    <n v="6.8799999999999992E-4"/>
    <n v="5.4286970239999982E-2"/>
  </r>
  <r>
    <x v="1"/>
    <x v="3"/>
    <s v="Q2"/>
    <s v="Rokid"/>
    <s v="Air"/>
    <s v="AR see-through"/>
    <s v="Tethered"/>
    <x v="2"/>
    <x v="4"/>
    <s v="SeeYa"/>
    <m/>
    <n v="0.49"/>
    <n v="1920"/>
    <n v="1080"/>
    <n v="4495.7289185353029"/>
    <n v="75"/>
    <d v="2021-11-01T00:00:00"/>
    <n v="2"/>
    <n v="1.0999999999999999E-2"/>
    <n v="0.57199999999999995"/>
  </r>
  <r>
    <x v="1"/>
    <x v="3"/>
    <s v="Q2"/>
    <s v="TCL"/>
    <s v="NXTWear"/>
    <s v="AR see-through"/>
    <s v="Tethered"/>
    <x v="2"/>
    <x v="4"/>
    <s v="Sony"/>
    <m/>
    <n v="0.55000000000000004"/>
    <n v="1920"/>
    <n v="1080"/>
    <n v="4005.2857637859966"/>
    <s v="Unknown"/>
    <d v="2022-11-01T00:00:00"/>
    <n v="2"/>
    <n v="8.2500000000000004E-3"/>
    <n v="0.47850000000000004"/>
  </r>
  <r>
    <x v="1"/>
    <x v="3"/>
    <s v="Q2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4.1299999999999996E-4"/>
    <n v="3.3260879420999992E-2"/>
  </r>
  <r>
    <x v="1"/>
    <x v="3"/>
    <s v="Q2"/>
    <s v="Vuzix"/>
    <s v="Shield"/>
    <s v="AR see-through"/>
    <s v="Standalone"/>
    <x v="7"/>
    <x v="10"/>
    <s v="JBD"/>
    <m/>
    <n v="0.13"/>
    <n v="640"/>
    <n v="480"/>
    <n v="6153.8461538461534"/>
    <s v="Unknown"/>
    <d v="2022-12-01T00:00:00"/>
    <n v="2"/>
    <n v="5.5000000000000003E-4"/>
    <n v="4.3398013999999992E-2"/>
  </r>
  <r>
    <x v="1"/>
    <x v="3"/>
    <s v="Q2"/>
    <s v="Others"/>
    <s v="Binocular MicroLED"/>
    <s v="AR see-through"/>
    <s v="Unknown"/>
    <x v="7"/>
    <x v="10"/>
    <s v="Unknown"/>
    <m/>
    <m/>
    <m/>
    <m/>
    <n v="0"/>
    <s v="Unknown"/>
    <s v=" "/>
    <n v="2"/>
    <n v="2.7500000000000002E-4"/>
    <n v="2.1699006999999996E-2"/>
  </r>
  <r>
    <x v="1"/>
    <x v="3"/>
    <s v="Q2"/>
    <s v="Others"/>
    <s v="DLP glasses"/>
    <s v="AR see-through"/>
    <s v="Unknown"/>
    <x v="6"/>
    <x v="8"/>
    <s v="Unknown"/>
    <m/>
    <m/>
    <m/>
    <m/>
    <n v="0"/>
    <s v="Unknown"/>
    <s v=" "/>
    <n v="1"/>
    <n v="2.7500000000000002E-4"/>
    <n v="2.2147074675E-2"/>
  </r>
  <r>
    <x v="1"/>
    <x v="3"/>
    <s v="Q2"/>
    <s v="Others"/>
    <s v="LBS glasses"/>
    <s v="AR see-through"/>
    <s v="Unknown"/>
    <x v="5"/>
    <x v="7"/>
    <s v="Unknown"/>
    <m/>
    <m/>
    <m/>
    <m/>
    <n v="0"/>
    <s v="Unknown"/>
    <s v=" "/>
    <n v="2"/>
    <n v="8.25E-4"/>
    <n v="8.43309852E-2"/>
  </r>
  <r>
    <x v="1"/>
    <x v="3"/>
    <s v="Q2"/>
    <s v="Others"/>
    <s v="LCoS glasses"/>
    <s v="AR see-through"/>
    <s v="Unknown"/>
    <x v="4"/>
    <x v="6"/>
    <s v="Unknown"/>
    <m/>
    <m/>
    <m/>
    <m/>
    <n v="0"/>
    <s v="Unknown"/>
    <s v=" "/>
    <n v="2"/>
    <n v="4.1250000000000002E-3"/>
    <n v="0.18411423525000004"/>
  </r>
  <r>
    <x v="1"/>
    <x v="3"/>
    <s v="Q2"/>
    <s v="Others"/>
    <s v="Monocular MicroLED"/>
    <s v="AR see-through"/>
    <s v="Unknown"/>
    <x v="7"/>
    <x v="9"/>
    <s v="Unknown"/>
    <m/>
    <m/>
    <m/>
    <m/>
    <n v="0"/>
    <s v="Unknown"/>
    <s v=" "/>
    <n v="1"/>
    <n v="1.3800000000000002E-4"/>
    <n v="1.0888956239999999E-2"/>
  </r>
  <r>
    <x v="1"/>
    <x v="3"/>
    <s v="Q2"/>
    <s v="Others"/>
    <s v="SiOLED glasses"/>
    <s v="AR see-through"/>
    <s v="Unknown"/>
    <x v="2"/>
    <x v="4"/>
    <s v="Unknown"/>
    <m/>
    <m/>
    <m/>
    <m/>
    <n v="0"/>
    <s v="Unknown"/>
    <s v=" "/>
    <n v="2"/>
    <n v="3.8500000000000001E-3"/>
    <n v="0.29974855679999995"/>
  </r>
  <r>
    <x v="0"/>
    <x v="3"/>
    <s v="Q3"/>
    <s v="Arpara"/>
    <s v="5K VR"/>
    <s v="VR"/>
    <s v="Unknown"/>
    <x v="2"/>
    <x v="4"/>
    <s v="SeeYa"/>
    <s v=" "/>
    <n v="1.03"/>
    <n v="2560"/>
    <n v="2560"/>
    <n v="3514.9385627913821"/>
    <s v="Unknown"/>
    <s v=" "/>
    <n v="2"/>
    <n v="5.5000000000000003E-4"/>
    <n v="0.11026125000000001"/>
  </r>
  <r>
    <x v="0"/>
    <x v="3"/>
    <s v="Q3"/>
    <s v="DPVR"/>
    <s v="P1 family"/>
    <s v="VR"/>
    <s v="Standalone"/>
    <x v="0"/>
    <x v="0"/>
    <s v="Unknown"/>
    <s v=" "/>
    <m/>
    <m/>
    <m/>
    <n v="0"/>
    <s v="Unknown"/>
    <d v="2019-11-01T00:00:00"/>
    <n v="1"/>
    <n v="0.11"/>
    <n v="6.2118671999999995"/>
  </r>
  <r>
    <x v="0"/>
    <x v="3"/>
    <s v="Q3"/>
    <s v="HTC"/>
    <s v="Vive LCD headsets"/>
    <s v="VR"/>
    <s v="Standalone"/>
    <x v="0"/>
    <x v="1"/>
    <s v="JDI"/>
    <s v=" "/>
    <m/>
    <m/>
    <m/>
    <n v="0"/>
    <s v="Unknown"/>
    <d v="2019-10-01T00:00:00"/>
    <n v="2"/>
    <n v="1.925E-2"/>
    <n v="0.72471784000000006"/>
  </r>
  <r>
    <x v="0"/>
    <x v="3"/>
    <s v="Q3"/>
    <s v="Lenovo"/>
    <s v="ThinkReality VRX"/>
    <s v="AR passthrough"/>
    <s v="Standalone"/>
    <x v="0"/>
    <x v="1"/>
    <s v="Unknown"/>
    <m/>
    <m/>
    <m/>
    <m/>
    <n v="0"/>
    <s v="Unknown"/>
    <d v="2023-06-01T00:00:00"/>
    <n v="2"/>
    <n v="5.4999999999999997E-3"/>
    <n v="0.20706223999999998"/>
  </r>
  <r>
    <x v="0"/>
    <x v="3"/>
    <s v="Q3"/>
    <s v="Lynx"/>
    <s v="R1"/>
    <s v="AR passthrough"/>
    <s v="Standalone"/>
    <x v="0"/>
    <x v="1"/>
    <s v="JDI"/>
    <s v=" "/>
    <n v="2.1"/>
    <n v="1600"/>
    <n v="1600"/>
    <n v="1077.4960475223581"/>
    <n v="90"/>
    <s v=" "/>
    <n v="2"/>
    <n v="8.2500000000000004E-3"/>
    <n v="0.31059336000000004"/>
  </r>
  <r>
    <x v="0"/>
    <x v="3"/>
    <s v="Q3"/>
    <s v="Meta"/>
    <s v="Quest 2"/>
    <s v="VR"/>
    <s v="Standalone"/>
    <x v="0"/>
    <x v="0"/>
    <s v="JDI"/>
    <s v="Sharp/BOE"/>
    <n v="5.5"/>
    <n v="3840"/>
    <n v="1832"/>
    <n v="773.56797048396322"/>
    <n v="90"/>
    <d v="2020-10-01T00:00:00"/>
    <n v="1"/>
    <n v="1.375"/>
    <n v="77.64833999999999"/>
  </r>
  <r>
    <x v="0"/>
    <x v="3"/>
    <s v="Q3"/>
    <s v="Meta"/>
    <s v="Quest Pro"/>
    <s v="AR passthrough"/>
    <s v="Standalone"/>
    <x v="0"/>
    <x v="1"/>
    <s v="BOE"/>
    <s v="JDI"/>
    <n v="2.5"/>
    <n v="1920"/>
    <n v="1800"/>
    <n v="1052.7221855741429"/>
    <n v="90"/>
    <d v="2022-10-01T00:00:00"/>
    <n v="2"/>
    <n v="3.6299999999999999E-2"/>
    <n v="1.3666107839999999"/>
  </r>
  <r>
    <x v="0"/>
    <x v="3"/>
    <s v="Q3"/>
    <s v="Pico"/>
    <s v="Neo 3 / G3"/>
    <s v="VR"/>
    <s v="Standalone"/>
    <x v="0"/>
    <x v="0"/>
    <s v="JDI"/>
    <s v="Innolux"/>
    <n v="5.5"/>
    <n v="3840"/>
    <n v="1832"/>
    <n v="773.56797048396322"/>
    <n v="90"/>
    <d v="2021-05-01T00:00:00"/>
    <n v="1"/>
    <n v="0.12375"/>
    <n v="6.9883505999999986"/>
  </r>
  <r>
    <x v="0"/>
    <x v="3"/>
    <s v="Q3"/>
    <s v="Pico"/>
    <s v="Pico 4"/>
    <s v="VR"/>
    <s v="Standalone"/>
    <x v="0"/>
    <x v="1"/>
    <s v="Innolux"/>
    <m/>
    <n v="2.56"/>
    <n v="2160"/>
    <n v="2160"/>
    <n v="1193.242693252299"/>
    <n v="90"/>
    <d v="2022-09-01T00:00:00"/>
    <n v="2"/>
    <n v="8.9099999999999999E-2"/>
    <n v="3.3544082880000001"/>
  </r>
  <r>
    <x v="0"/>
    <x v="3"/>
    <s v="Q3"/>
    <s v="Pimax"/>
    <s v="Pimax VR"/>
    <s v="VR"/>
    <s v="Tethered"/>
    <x v="0"/>
    <x v="1"/>
    <s v="BOE"/>
    <s v="Innolux"/>
    <m/>
    <m/>
    <m/>
    <n v="0"/>
    <s v="Unknown"/>
    <s v=" "/>
    <n v="2"/>
    <n v="5.4999999999999997E-3"/>
    <n v="0.20706223999999998"/>
  </r>
  <r>
    <x v="0"/>
    <x v="3"/>
    <s v="Q3"/>
    <s v="Shiftall"/>
    <s v="MeganeX"/>
    <s v="VR"/>
    <s v="Tethered"/>
    <x v="2"/>
    <x v="4"/>
    <s v="Lakeside"/>
    <m/>
    <n v="1.3"/>
    <n v="2560"/>
    <n v="2560"/>
    <n v="2784.9128612885565"/>
    <n v="120"/>
    <m/>
    <n v="2"/>
    <n v="5.5000000000000003E-4"/>
    <n v="0.11026125000000001"/>
  </r>
  <r>
    <x v="0"/>
    <x v="3"/>
    <s v="Q3"/>
    <s v="Sony"/>
    <s v="PlayStation VR2"/>
    <s v="VR"/>
    <s v="Tethered"/>
    <x v="1"/>
    <x v="2"/>
    <s v="SDC"/>
    <m/>
    <n v="3.36"/>
    <n v="2040"/>
    <n v="2000"/>
    <n v="850.25339693662363"/>
    <n v="120"/>
    <d v="2023-02-01T00:00:00"/>
    <n v="2"/>
    <n v="1.6"/>
    <n v="78.400000000000006"/>
  </r>
  <r>
    <x v="0"/>
    <x v="3"/>
    <s v="Q3"/>
    <s v="Others"/>
    <s v="Dual LCD VR headset"/>
    <s v="VR"/>
    <s v="Unknown"/>
    <x v="0"/>
    <x v="1"/>
    <s v="Unknown"/>
    <s v=" "/>
    <m/>
    <m/>
    <m/>
    <n v="0"/>
    <s v="Unknown"/>
    <s v=" "/>
    <n v="2"/>
    <n v="1.375E-2"/>
    <n v="0.51765559999999999"/>
  </r>
  <r>
    <x v="0"/>
    <x v="3"/>
    <s v="Q3"/>
    <s v="Others"/>
    <s v="Single LCD VR headset"/>
    <s v="VR"/>
    <s v="Unknown"/>
    <x v="0"/>
    <x v="0"/>
    <s v="Unknown"/>
    <s v=" "/>
    <m/>
    <m/>
    <m/>
    <n v="0"/>
    <s v="Unknown"/>
    <s v=" "/>
    <n v="1"/>
    <n v="5.7750000000000003E-2"/>
    <n v="3.2612302799999995"/>
  </r>
  <r>
    <x v="1"/>
    <x v="3"/>
    <s v="Q3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2.1999999999999999E-2"/>
    <n v="1.7128488959999997"/>
  </r>
  <r>
    <x v="1"/>
    <x v="3"/>
    <s v="Q3"/>
    <s v="Google"/>
    <s v="Glass"/>
    <s v="AR see-through"/>
    <s v="Standalone"/>
    <x v="3"/>
    <x v="5"/>
    <s v="Kopin"/>
    <m/>
    <m/>
    <n v="640"/>
    <n v="360"/>
    <n v="0"/>
    <s v="Unknown"/>
    <d v="2019-05-01T00:00:00"/>
    <n v="1"/>
    <n v="3.163E-3"/>
    <n v="0.12890034095399999"/>
  </r>
  <r>
    <x v="1"/>
    <x v="3"/>
    <s v="Q3"/>
    <s v="Lenovo"/>
    <s v="T1"/>
    <s v="AR see-through"/>
    <s v="Tethered"/>
    <x v="2"/>
    <x v="4"/>
    <s v="SeeYa"/>
    <m/>
    <n v="0.49"/>
    <n v="1920"/>
    <n v="1080"/>
    <n v="4495.7289185353029"/>
    <n v="60"/>
    <d v="2022-11-01T00:00:00"/>
    <n v="2"/>
    <n v="1.375E-2"/>
    <n v="0.71499999999999997"/>
  </r>
  <r>
    <x v="1"/>
    <x v="3"/>
    <s v="Q3"/>
    <s v="Lenovo"/>
    <s v="ThinkReality A3"/>
    <s v="AR see-through"/>
    <s v="Tethered"/>
    <x v="2"/>
    <x v="4"/>
    <s v="Sony"/>
    <m/>
    <n v="0.71"/>
    <n v="1920"/>
    <n v="1080"/>
    <n v="3102.6861550454905"/>
    <s v="Unknown"/>
    <d v="2021-06-01T00:00:00"/>
    <n v="2"/>
    <n v="1.9250000000000001E-3"/>
    <n v="0.14987427839999998"/>
  </r>
  <r>
    <x v="1"/>
    <x v="3"/>
    <s v="Q3"/>
    <s v="Magic Leap"/>
    <s v="ML 2"/>
    <s v="AR see-through"/>
    <s v="Standalone"/>
    <x v="4"/>
    <x v="6"/>
    <s v="Unknown"/>
    <m/>
    <m/>
    <n v="1440"/>
    <n v="1760"/>
    <n v="0"/>
    <s v="Unknown"/>
    <d v="2022-09-01T00:00:00"/>
    <n v="2"/>
    <n v="5.4999999999999997E-3"/>
    <n v="0.245485647"/>
  </r>
  <r>
    <x v="1"/>
    <x v="3"/>
    <s v="Q3"/>
    <s v="Microsoft"/>
    <s v="HoloLens 2"/>
    <s v="AR see-through"/>
    <s v="Standalone"/>
    <x v="5"/>
    <x v="7"/>
    <s v="Unknown"/>
    <m/>
    <m/>
    <m/>
    <m/>
    <n v="0"/>
    <s v="Unknown"/>
    <d v="2019-11-01T00:00:00"/>
    <n v="2"/>
    <n v="6.875E-3"/>
    <n v="0.70275820999999994"/>
  </r>
  <r>
    <x v="1"/>
    <x v="3"/>
    <s v="Q3"/>
    <s v="XREAL"/>
    <s v="Light"/>
    <s v="AR see-through"/>
    <s v="Tethered"/>
    <x v="2"/>
    <x v="4"/>
    <s v="BOE"/>
    <m/>
    <n v="0.71"/>
    <n v="1920"/>
    <n v="1080"/>
    <n v="3102.6861550454905"/>
    <n v="90"/>
    <d v="2020-08-01T00:00:00"/>
    <n v="2"/>
    <n v="8.2500000000000004E-2"/>
    <n v="6.4231833599999995"/>
  </r>
  <r>
    <x v="1"/>
    <x v="3"/>
    <s v="Q3"/>
    <s v="Oppo"/>
    <s v="Air Glass"/>
    <s v="AR see-through"/>
    <s v="Tethered"/>
    <x v="7"/>
    <x v="9"/>
    <s v="JBD"/>
    <m/>
    <n v="0.13"/>
    <n v="640"/>
    <n v="480"/>
    <n v="6153.8461538461534"/>
    <s v="Unknown"/>
    <d v="2022-01-01T00:00:00"/>
    <n v="1"/>
    <n v="6.8799999999999992E-4"/>
    <n v="5.4286970239999982E-2"/>
  </r>
  <r>
    <x v="1"/>
    <x v="3"/>
    <s v="Q3"/>
    <s v="Rokid"/>
    <s v="Air"/>
    <s v="AR see-through"/>
    <s v="Tethered"/>
    <x v="2"/>
    <x v="4"/>
    <s v="SeeYa"/>
    <m/>
    <n v="0.49"/>
    <n v="1920"/>
    <n v="1080"/>
    <n v="4495.7289185353029"/>
    <n v="75"/>
    <d v="2021-11-01T00:00:00"/>
    <n v="2"/>
    <n v="1.0999999999999999E-2"/>
    <n v="0.57199999999999995"/>
  </r>
  <r>
    <x v="1"/>
    <x v="3"/>
    <s v="Q3"/>
    <s v="TCL"/>
    <s v="NXTWear"/>
    <s v="AR see-through"/>
    <s v="Tethered"/>
    <x v="2"/>
    <x v="4"/>
    <s v="Sony"/>
    <m/>
    <n v="0.55000000000000004"/>
    <n v="1920"/>
    <n v="1080"/>
    <n v="4005.2857637859966"/>
    <s v="Unknown"/>
    <d v="2022-11-01T00:00:00"/>
    <n v="2"/>
    <n v="8.2500000000000004E-3"/>
    <n v="0.47850000000000004"/>
  </r>
  <r>
    <x v="1"/>
    <x v="3"/>
    <s v="Q3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4.1299999999999996E-4"/>
    <n v="3.3260879420999992E-2"/>
  </r>
  <r>
    <x v="1"/>
    <x v="3"/>
    <s v="Q3"/>
    <s v="Vuzix"/>
    <s v="Shield"/>
    <s v="AR see-through"/>
    <s v="Standalone"/>
    <x v="7"/>
    <x v="10"/>
    <s v="JBD"/>
    <m/>
    <n v="0.13"/>
    <n v="640"/>
    <n v="480"/>
    <n v="6153.8461538461534"/>
    <s v="Unknown"/>
    <d v="2022-12-01T00:00:00"/>
    <n v="2"/>
    <n v="5.5000000000000003E-4"/>
    <n v="4.3398013999999992E-2"/>
  </r>
  <r>
    <x v="1"/>
    <x v="3"/>
    <s v="Q3"/>
    <s v="Others"/>
    <s v="Binocular MicroLED"/>
    <s v="AR see-through"/>
    <s v="Unknown"/>
    <x v="7"/>
    <x v="10"/>
    <s v="Unknown"/>
    <m/>
    <m/>
    <m/>
    <m/>
    <n v="0"/>
    <s v="Unknown"/>
    <s v=" "/>
    <n v="2"/>
    <n v="2.7500000000000002E-4"/>
    <n v="2.1699006999999996E-2"/>
  </r>
  <r>
    <x v="1"/>
    <x v="3"/>
    <s v="Q3"/>
    <s v="Others"/>
    <s v="DLP glasses"/>
    <s v="AR see-through"/>
    <s v="Unknown"/>
    <x v="6"/>
    <x v="8"/>
    <s v="Unknown"/>
    <m/>
    <m/>
    <m/>
    <m/>
    <n v="0"/>
    <s v="Unknown"/>
    <s v=" "/>
    <n v="1"/>
    <n v="2.7500000000000002E-4"/>
    <n v="2.2147074675E-2"/>
  </r>
  <r>
    <x v="1"/>
    <x v="3"/>
    <s v="Q3"/>
    <s v="Others"/>
    <s v="LBS glasses"/>
    <s v="AR see-through"/>
    <s v="Unknown"/>
    <x v="5"/>
    <x v="7"/>
    <s v="Unknown"/>
    <m/>
    <m/>
    <m/>
    <m/>
    <n v="0"/>
    <s v="Unknown"/>
    <s v=" "/>
    <n v="2"/>
    <n v="8.25E-4"/>
    <n v="8.43309852E-2"/>
  </r>
  <r>
    <x v="1"/>
    <x v="3"/>
    <s v="Q3"/>
    <s v="Others"/>
    <s v="LCoS glasses"/>
    <s v="AR see-through"/>
    <s v="Unknown"/>
    <x v="4"/>
    <x v="6"/>
    <s v="Unknown"/>
    <m/>
    <m/>
    <m/>
    <m/>
    <n v="0"/>
    <s v="Unknown"/>
    <s v=" "/>
    <n v="2"/>
    <n v="4.1250000000000002E-3"/>
    <n v="0.18411423525000004"/>
  </r>
  <r>
    <x v="1"/>
    <x v="3"/>
    <s v="Q3"/>
    <s v="Others"/>
    <s v="Monocular MicroLED"/>
    <s v="AR see-through"/>
    <s v="Unknown"/>
    <x v="7"/>
    <x v="9"/>
    <s v="Unknown"/>
    <m/>
    <m/>
    <m/>
    <m/>
    <n v="0"/>
    <s v="Unknown"/>
    <s v=" "/>
    <n v="1"/>
    <n v="1.3800000000000002E-4"/>
    <n v="1.0888956239999999E-2"/>
  </r>
  <r>
    <x v="1"/>
    <x v="3"/>
    <s v="Q3"/>
    <s v="Others"/>
    <s v="SiOLED glasses"/>
    <s v="AR see-through"/>
    <s v="Unknown"/>
    <x v="2"/>
    <x v="4"/>
    <s v="Unknown"/>
    <m/>
    <m/>
    <m/>
    <m/>
    <n v="0"/>
    <s v="Unknown"/>
    <s v=" "/>
    <n v="2"/>
    <n v="3.8500000000000001E-3"/>
    <n v="0.29974855679999995"/>
  </r>
  <r>
    <x v="0"/>
    <x v="3"/>
    <s v="Q4"/>
    <s v="Arpara"/>
    <s v="5K VR"/>
    <s v="VR"/>
    <s v="Unknown"/>
    <x v="2"/>
    <x v="4"/>
    <s v="SeeYa"/>
    <s v=" "/>
    <n v="1.03"/>
    <n v="2560"/>
    <n v="2560"/>
    <n v="3514.9385627913821"/>
    <s v="Unknown"/>
    <s v=" "/>
    <n v="2"/>
    <n v="5.5000000000000003E-4"/>
    <n v="0.11026125000000001"/>
  </r>
  <r>
    <x v="0"/>
    <x v="3"/>
    <s v="Q4"/>
    <s v="DPVR"/>
    <s v="P1 family"/>
    <s v="VR"/>
    <s v="Standalone"/>
    <x v="0"/>
    <x v="0"/>
    <s v="Unknown"/>
    <s v=" "/>
    <m/>
    <m/>
    <m/>
    <n v="0"/>
    <s v="Unknown"/>
    <d v="2019-11-01T00:00:00"/>
    <n v="1"/>
    <n v="0.11"/>
    <n v="6.2118671999999995"/>
  </r>
  <r>
    <x v="0"/>
    <x v="3"/>
    <s v="Q4"/>
    <s v="HTC"/>
    <s v="Vive LCD headsets"/>
    <s v="VR"/>
    <s v="Standalone"/>
    <x v="0"/>
    <x v="1"/>
    <s v="JDI"/>
    <s v=" "/>
    <m/>
    <m/>
    <m/>
    <n v="0"/>
    <s v="Unknown"/>
    <d v="2019-10-01T00:00:00"/>
    <n v="2"/>
    <n v="1.925E-2"/>
    <n v="0.72471784000000006"/>
  </r>
  <r>
    <x v="0"/>
    <x v="3"/>
    <s v="Q4"/>
    <s v="Lenovo"/>
    <s v="ThinkReality VRX"/>
    <s v="AR passthrough"/>
    <s v="Standalone"/>
    <x v="0"/>
    <x v="1"/>
    <s v="Unknown"/>
    <m/>
    <m/>
    <m/>
    <m/>
    <n v="0"/>
    <s v="Unknown"/>
    <d v="2023-06-01T00:00:00"/>
    <n v="2"/>
    <n v="5.4999999999999997E-3"/>
    <n v="0.20706223999999998"/>
  </r>
  <r>
    <x v="0"/>
    <x v="3"/>
    <s v="Q4"/>
    <s v="Lynx"/>
    <s v="R1"/>
    <s v="AR passthrough"/>
    <s v="Standalone"/>
    <x v="0"/>
    <x v="1"/>
    <s v="JDI"/>
    <s v=" "/>
    <n v="2.1"/>
    <n v="1600"/>
    <n v="1600"/>
    <n v="1077.4960475223581"/>
    <n v="90"/>
    <s v=" "/>
    <n v="2"/>
    <n v="8.2500000000000004E-3"/>
    <n v="0.31059336000000004"/>
  </r>
  <r>
    <x v="0"/>
    <x v="3"/>
    <s v="Q4"/>
    <s v="Meta"/>
    <s v="Quest 2"/>
    <s v="VR"/>
    <s v="Standalone"/>
    <x v="0"/>
    <x v="0"/>
    <s v="JDI"/>
    <s v="Sharp/BOE"/>
    <n v="5.5"/>
    <n v="3840"/>
    <n v="1832"/>
    <n v="773.56797048396322"/>
    <n v="90"/>
    <d v="2020-10-01T00:00:00"/>
    <n v="1"/>
    <n v="1.375"/>
    <n v="77.64833999999999"/>
  </r>
  <r>
    <x v="0"/>
    <x v="3"/>
    <s v="Q4"/>
    <s v="Meta"/>
    <s v="Quest Pro"/>
    <s v="AR passthrough"/>
    <s v="Standalone"/>
    <x v="0"/>
    <x v="1"/>
    <s v="BOE"/>
    <s v="JDI"/>
    <n v="2.5"/>
    <n v="1920"/>
    <n v="1800"/>
    <n v="1052.7221855741429"/>
    <n v="90"/>
    <d v="2022-10-01T00:00:00"/>
    <n v="2"/>
    <n v="3.6299999999999999E-2"/>
    <n v="1.3666107839999999"/>
  </r>
  <r>
    <x v="0"/>
    <x v="3"/>
    <s v="Q4"/>
    <s v="Pico"/>
    <s v="Neo 3 / G3"/>
    <s v="VR"/>
    <s v="Standalone"/>
    <x v="0"/>
    <x v="0"/>
    <s v="JDI"/>
    <s v="Innolux"/>
    <n v="5.5"/>
    <n v="3840"/>
    <n v="1832"/>
    <n v="773.56797048396322"/>
    <n v="90"/>
    <d v="2021-05-01T00:00:00"/>
    <n v="1"/>
    <n v="0.12375"/>
    <n v="6.9883505999999986"/>
  </r>
  <r>
    <x v="0"/>
    <x v="3"/>
    <s v="Q4"/>
    <s v="Pico"/>
    <s v="Pico 4"/>
    <s v="VR"/>
    <s v="Standalone"/>
    <x v="0"/>
    <x v="1"/>
    <s v="Innolux"/>
    <m/>
    <n v="2.56"/>
    <n v="2160"/>
    <n v="2160"/>
    <n v="1193.242693252299"/>
    <n v="90"/>
    <d v="2022-09-01T00:00:00"/>
    <n v="2"/>
    <n v="8.9099999999999999E-2"/>
    <n v="3.3544082880000001"/>
  </r>
  <r>
    <x v="0"/>
    <x v="3"/>
    <s v="Q4"/>
    <s v="Pimax"/>
    <s v="Pimax VR"/>
    <s v="VR"/>
    <s v="Tethered"/>
    <x v="0"/>
    <x v="1"/>
    <s v="BOE"/>
    <s v="Innolux"/>
    <m/>
    <m/>
    <m/>
    <n v="0"/>
    <s v="Unknown"/>
    <s v=" "/>
    <n v="2"/>
    <n v="5.4999999999999997E-3"/>
    <n v="0.20706223999999998"/>
  </r>
  <r>
    <x v="0"/>
    <x v="3"/>
    <s v="Q4"/>
    <s v="Shiftall"/>
    <s v="MeganeX"/>
    <s v="VR"/>
    <s v="Tethered"/>
    <x v="2"/>
    <x v="4"/>
    <s v="Lakeside"/>
    <m/>
    <n v="1.3"/>
    <n v="2560"/>
    <n v="2560"/>
    <n v="2784.9128612885565"/>
    <n v="120"/>
    <m/>
    <n v="2"/>
    <n v="5.5000000000000003E-4"/>
    <n v="0.11026125000000001"/>
  </r>
  <r>
    <x v="0"/>
    <x v="3"/>
    <s v="Q4"/>
    <s v="Sony"/>
    <s v="PlayStation VR2"/>
    <s v="VR"/>
    <s v="Tethered"/>
    <x v="1"/>
    <x v="2"/>
    <s v="SDC"/>
    <m/>
    <n v="3.36"/>
    <n v="2040"/>
    <n v="2000"/>
    <n v="850.25339693662363"/>
    <n v="120"/>
    <d v="2023-02-01T00:00:00"/>
    <n v="2"/>
    <n v="1.2"/>
    <n v="57.623999999999995"/>
  </r>
  <r>
    <x v="0"/>
    <x v="3"/>
    <s v="Q4"/>
    <s v="Others"/>
    <s v="Dual LCD VR headset"/>
    <s v="VR"/>
    <s v="Unknown"/>
    <x v="0"/>
    <x v="1"/>
    <s v="Unknown"/>
    <s v=" "/>
    <m/>
    <m/>
    <m/>
    <n v="0"/>
    <s v="Unknown"/>
    <s v=" "/>
    <n v="2"/>
    <n v="1.375E-2"/>
    <n v="0.51765559999999999"/>
  </r>
  <r>
    <x v="0"/>
    <x v="3"/>
    <s v="Q4"/>
    <s v="Others"/>
    <s v="Single LCD VR headset"/>
    <s v="VR"/>
    <s v="Unknown"/>
    <x v="0"/>
    <x v="0"/>
    <s v="Unknown"/>
    <s v=" "/>
    <m/>
    <m/>
    <m/>
    <n v="0"/>
    <s v="Unknown"/>
    <s v=" "/>
    <n v="1"/>
    <n v="5.7750000000000003E-2"/>
    <n v="3.2612302799999995"/>
  </r>
  <r>
    <x v="1"/>
    <x v="3"/>
    <s v="Q4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2.1999999999999999E-2"/>
    <n v="1.7128488959999997"/>
  </r>
  <r>
    <x v="1"/>
    <x v="3"/>
    <s v="Q4"/>
    <s v="Google"/>
    <s v="Glass"/>
    <s v="AR see-through"/>
    <s v="Standalone"/>
    <x v="3"/>
    <x v="5"/>
    <s v="Kopin"/>
    <m/>
    <m/>
    <n v="640"/>
    <n v="360"/>
    <n v="0"/>
    <s v="Unknown"/>
    <d v="2019-05-01T00:00:00"/>
    <n v="1"/>
    <n v="3.163E-3"/>
    <n v="0.12890034095399999"/>
  </r>
  <r>
    <x v="1"/>
    <x v="3"/>
    <s v="Q4"/>
    <s v="Lenovo"/>
    <s v="T1"/>
    <s v="AR see-through"/>
    <s v="Tethered"/>
    <x v="2"/>
    <x v="4"/>
    <s v="SeeYa"/>
    <m/>
    <n v="0.49"/>
    <n v="1920"/>
    <n v="1080"/>
    <n v="4495.7289185353029"/>
    <n v="60"/>
    <d v="2022-11-01T00:00:00"/>
    <n v="2"/>
    <n v="1.375E-2"/>
    <n v="0.71499999999999997"/>
  </r>
  <r>
    <x v="1"/>
    <x v="3"/>
    <s v="Q4"/>
    <s v="Lenovo"/>
    <s v="ThinkReality A3"/>
    <s v="AR see-through"/>
    <s v="Tethered"/>
    <x v="2"/>
    <x v="4"/>
    <s v="Sony"/>
    <m/>
    <n v="0.71"/>
    <n v="1920"/>
    <n v="1080"/>
    <n v="3102.6861550454905"/>
    <s v="Unknown"/>
    <d v="2021-06-01T00:00:00"/>
    <n v="2"/>
    <n v="1.9250000000000001E-3"/>
    <n v="0.14987427839999998"/>
  </r>
  <r>
    <x v="1"/>
    <x v="3"/>
    <s v="Q4"/>
    <s v="Magic Leap"/>
    <s v="ML 2"/>
    <s v="AR see-through"/>
    <s v="Standalone"/>
    <x v="4"/>
    <x v="6"/>
    <s v="Unknown"/>
    <m/>
    <m/>
    <n v="1440"/>
    <n v="1760"/>
    <n v="0"/>
    <s v="Unknown"/>
    <d v="2022-09-01T00:00:00"/>
    <n v="2"/>
    <n v="5.4999999999999997E-3"/>
    <n v="0.245485647"/>
  </r>
  <r>
    <x v="1"/>
    <x v="3"/>
    <s v="Q4"/>
    <s v="Microsoft"/>
    <s v="HoloLens 2"/>
    <s v="AR see-through"/>
    <s v="Standalone"/>
    <x v="5"/>
    <x v="7"/>
    <s v="Unknown"/>
    <m/>
    <m/>
    <m/>
    <m/>
    <n v="0"/>
    <s v="Unknown"/>
    <d v="2019-11-01T00:00:00"/>
    <n v="2"/>
    <n v="6.875E-3"/>
    <n v="0.70275820999999994"/>
  </r>
  <r>
    <x v="1"/>
    <x v="3"/>
    <s v="Q4"/>
    <s v="XREAL"/>
    <s v="Light"/>
    <s v="AR see-through"/>
    <s v="Tethered"/>
    <x v="2"/>
    <x v="4"/>
    <s v="BOE"/>
    <m/>
    <n v="0.71"/>
    <n v="1920"/>
    <n v="1080"/>
    <n v="3102.6861550454905"/>
    <n v="90"/>
    <d v="2020-08-01T00:00:00"/>
    <n v="2"/>
    <n v="8.2500000000000004E-2"/>
    <n v="6.4231833599999995"/>
  </r>
  <r>
    <x v="1"/>
    <x v="3"/>
    <s v="Q4"/>
    <s v="Oppo"/>
    <s v="Air Glass"/>
    <s v="AR see-through"/>
    <s v="Tethered"/>
    <x v="7"/>
    <x v="9"/>
    <s v="JBD"/>
    <m/>
    <n v="0.13"/>
    <n v="640"/>
    <n v="480"/>
    <n v="6153.8461538461534"/>
    <s v="Unknown"/>
    <d v="2022-01-01T00:00:00"/>
    <n v="1"/>
    <n v="6.8799999999999992E-4"/>
    <n v="5.4286970239999982E-2"/>
  </r>
  <r>
    <x v="1"/>
    <x v="3"/>
    <s v="Q4"/>
    <s v="Rokid"/>
    <s v="Air"/>
    <s v="AR see-through"/>
    <s v="Tethered"/>
    <x v="2"/>
    <x v="4"/>
    <s v="SeeYa"/>
    <m/>
    <n v="0.49"/>
    <n v="1920"/>
    <n v="1080"/>
    <n v="4495.7289185353029"/>
    <n v="75"/>
    <d v="2021-11-01T00:00:00"/>
    <n v="2"/>
    <n v="1.0999999999999999E-2"/>
    <n v="0.57199999999999995"/>
  </r>
  <r>
    <x v="1"/>
    <x v="3"/>
    <s v="Q4"/>
    <s v="TCL"/>
    <s v="NXTWear"/>
    <s v="AR see-through"/>
    <s v="Tethered"/>
    <x v="2"/>
    <x v="4"/>
    <s v="Sony"/>
    <m/>
    <n v="0.55000000000000004"/>
    <n v="1920"/>
    <n v="1080"/>
    <n v="4005.2857637859966"/>
    <s v="Unknown"/>
    <d v="2022-11-01T00:00:00"/>
    <n v="2"/>
    <n v="8.2500000000000004E-3"/>
    <n v="0.47850000000000004"/>
  </r>
  <r>
    <x v="1"/>
    <x v="3"/>
    <s v="Q4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4.1299999999999996E-4"/>
    <n v="3.3260879420999992E-2"/>
  </r>
  <r>
    <x v="1"/>
    <x v="3"/>
    <s v="Q4"/>
    <s v="Vuzix"/>
    <s v="Shield"/>
    <s v="AR see-through"/>
    <s v="Standalone"/>
    <x v="7"/>
    <x v="10"/>
    <s v="JBD"/>
    <m/>
    <n v="0.13"/>
    <n v="640"/>
    <n v="480"/>
    <n v="6153.8461538461534"/>
    <s v="Unknown"/>
    <d v="2022-12-01T00:00:00"/>
    <n v="2"/>
    <n v="5.5000000000000003E-4"/>
    <n v="4.3398013999999992E-2"/>
  </r>
  <r>
    <x v="1"/>
    <x v="3"/>
    <s v="Q4"/>
    <s v="Others"/>
    <s v="Binocular MicroLED"/>
    <s v="AR see-through"/>
    <s v="Unknown"/>
    <x v="7"/>
    <x v="10"/>
    <s v="Unknown"/>
    <m/>
    <m/>
    <m/>
    <m/>
    <n v="0"/>
    <s v="Unknown"/>
    <s v=" "/>
    <n v="2"/>
    <n v="2.7500000000000002E-4"/>
    <n v="2.1699006999999996E-2"/>
  </r>
  <r>
    <x v="1"/>
    <x v="3"/>
    <s v="Q4"/>
    <s v="Others"/>
    <s v="DLP glasses"/>
    <s v="AR see-through"/>
    <s v="Unknown"/>
    <x v="6"/>
    <x v="8"/>
    <s v="Unknown"/>
    <m/>
    <m/>
    <m/>
    <m/>
    <n v="0"/>
    <s v="Unknown"/>
    <s v=" "/>
    <n v="1"/>
    <n v="2.7500000000000002E-4"/>
    <n v="2.2147074675E-2"/>
  </r>
  <r>
    <x v="1"/>
    <x v="3"/>
    <s v="Q4"/>
    <s v="Others"/>
    <s v="LBS glasses"/>
    <s v="AR see-through"/>
    <s v="Unknown"/>
    <x v="5"/>
    <x v="7"/>
    <s v="Unknown"/>
    <m/>
    <m/>
    <m/>
    <m/>
    <n v="0"/>
    <s v="Unknown"/>
    <s v=" "/>
    <n v="2"/>
    <n v="8.25E-4"/>
    <n v="8.43309852E-2"/>
  </r>
  <r>
    <x v="1"/>
    <x v="3"/>
    <s v="Q4"/>
    <s v="Others"/>
    <s v="LCoS glasses"/>
    <s v="AR see-through"/>
    <s v="Unknown"/>
    <x v="4"/>
    <x v="6"/>
    <s v="Unknown"/>
    <m/>
    <m/>
    <m/>
    <m/>
    <n v="0"/>
    <s v="Unknown"/>
    <s v=" "/>
    <n v="2"/>
    <n v="4.1250000000000002E-3"/>
    <n v="0.18411423525000004"/>
  </r>
  <r>
    <x v="1"/>
    <x v="3"/>
    <s v="Q4"/>
    <s v="Others"/>
    <s v="Monocular MicroLED"/>
    <s v="AR see-through"/>
    <s v="Unknown"/>
    <x v="7"/>
    <x v="9"/>
    <s v="Unknown"/>
    <m/>
    <m/>
    <m/>
    <m/>
    <n v="0"/>
    <s v="Unknown"/>
    <s v=" "/>
    <n v="1"/>
    <n v="1.3800000000000002E-4"/>
    <n v="1.0888956239999999E-2"/>
  </r>
  <r>
    <x v="1"/>
    <x v="3"/>
    <s v="Q4"/>
    <s v="Others"/>
    <s v="SiOLED glasses"/>
    <s v="AR see-through"/>
    <s v="Unknown"/>
    <x v="2"/>
    <x v="4"/>
    <s v="Unknown"/>
    <m/>
    <m/>
    <m/>
    <m/>
    <n v="0"/>
    <s v="Unknown"/>
    <s v=" "/>
    <n v="2"/>
    <n v="3.8500000000000001E-3"/>
    <n v="0.29974855679999995"/>
  </r>
  <r>
    <x v="0"/>
    <x v="4"/>
    <s v="Q1"/>
    <s v="Bigscreen"/>
    <s v="Beyond"/>
    <s v="VR"/>
    <s v="Tethered"/>
    <x v="2"/>
    <x v="4"/>
    <s v="SeeYa"/>
    <m/>
    <n v="1.03"/>
    <n v="2560"/>
    <n v="2560"/>
    <n v="3514.9385627913821"/>
    <n v="90"/>
    <m/>
    <n v="2"/>
    <n v="5.4999999999999997E-3"/>
    <n v="0.76999999999999991"/>
  </r>
  <r>
    <x v="0"/>
    <x v="4"/>
    <s v="Q1"/>
    <s v="DPVR"/>
    <s v="P1 family"/>
    <s v="VR"/>
    <s v="Standalone"/>
    <x v="0"/>
    <x v="0"/>
    <s v="Unknown"/>
    <s v=" "/>
    <m/>
    <m/>
    <m/>
    <n v="0"/>
    <s v="Unknown"/>
    <d v="2019-11-01T00:00:00"/>
    <n v="1"/>
    <n v="9.8230000000000001E-3"/>
    <n v="0.54362534614079983"/>
  </r>
  <r>
    <x v="0"/>
    <x v="4"/>
    <s v="Q1"/>
    <s v="HP"/>
    <s v="Reverb G2"/>
    <s v="VR"/>
    <s v="Tethered"/>
    <x v="0"/>
    <x v="1"/>
    <s v="Unknown"/>
    <s v=" "/>
    <n v="2.89"/>
    <n v="2160"/>
    <n v="2160"/>
    <n v="1056.990067379199"/>
    <n v="90"/>
    <d v="2020-11-01T00:00:00"/>
    <n v="2"/>
    <n v="3.6739999999999997E-3"/>
    <n v="0.13555122479359999"/>
  </r>
  <r>
    <x v="0"/>
    <x v="4"/>
    <s v="Q1"/>
    <s v="HTC"/>
    <s v="Vive LCD headsets"/>
    <s v="VR"/>
    <s v="Standalone"/>
    <x v="0"/>
    <x v="1"/>
    <s v="JDI"/>
    <s v=" "/>
    <m/>
    <m/>
    <m/>
    <n v="0"/>
    <s v="Unknown"/>
    <d v="2019-10-01T00:00:00"/>
    <n v="2"/>
    <n v="6.1600000000000005E-3"/>
    <n v="0.22727151462400005"/>
  </r>
  <r>
    <x v="0"/>
    <x v="4"/>
    <s v="Q1"/>
    <s v="Lenovo"/>
    <s v="ThinkReality VRX"/>
    <s v="AR passthrough"/>
    <s v="Standalone"/>
    <x v="0"/>
    <x v="1"/>
    <s v="Unknown"/>
    <m/>
    <m/>
    <m/>
    <m/>
    <n v="0"/>
    <s v="Unknown"/>
    <d v="2023-06-01T00:00:00"/>
    <n v="2"/>
    <n v="8.8000000000000005E-3"/>
    <n v="0.32467359232000004"/>
  </r>
  <r>
    <x v="0"/>
    <x v="4"/>
    <s v="Q1"/>
    <s v="Meta"/>
    <s v="Quest 2"/>
    <s v="VR"/>
    <s v="Standalone"/>
    <x v="0"/>
    <x v="0"/>
    <s v="JDI"/>
    <s v="Sharp/BOE"/>
    <n v="5.5"/>
    <n v="3840"/>
    <n v="1832"/>
    <n v="773.56797048396322"/>
    <n v="90"/>
    <d v="2020-10-01T00:00:00"/>
    <n v="1"/>
    <n v="0.53900000000000003"/>
    <n v="29.829386294399995"/>
  </r>
  <r>
    <x v="0"/>
    <x v="4"/>
    <s v="Q1"/>
    <s v="Meta"/>
    <s v="Quest Pro"/>
    <s v="AR passthrough"/>
    <s v="Standalone"/>
    <x v="0"/>
    <x v="1"/>
    <s v="BOE"/>
    <s v="JDI"/>
    <n v="2.5"/>
    <n v="1920"/>
    <n v="1800"/>
    <n v="1052.7221855741429"/>
    <n v="90"/>
    <d v="2022-10-01T00:00:00"/>
    <n v="2"/>
    <n v="1.1000000000000001E-3"/>
    <n v="4.9500000000000002E-2"/>
  </r>
  <r>
    <x v="0"/>
    <x v="4"/>
    <s v="Q1"/>
    <s v="Pico"/>
    <s v="Neo 3 / G3"/>
    <s v="VR"/>
    <s v="Standalone"/>
    <x v="0"/>
    <x v="0"/>
    <s v="JDI"/>
    <s v="Innolux"/>
    <n v="5.5"/>
    <n v="3840"/>
    <n v="1832"/>
    <n v="773.56797048396322"/>
    <n v="90"/>
    <d v="2021-05-01T00:00:00"/>
    <n v="1"/>
    <n v="4.3999999999999997E-2"/>
    <n v="2.4350519423999994"/>
  </r>
  <r>
    <x v="0"/>
    <x v="4"/>
    <s v="Q1"/>
    <s v="Pico"/>
    <s v="Pico 4"/>
    <s v="VR"/>
    <s v="Standalone"/>
    <x v="0"/>
    <x v="1"/>
    <s v="Innolux"/>
    <m/>
    <n v="2.56"/>
    <n v="2160"/>
    <n v="2160"/>
    <n v="1193.242693252299"/>
    <n v="90"/>
    <d v="2022-09-01T00:00:00"/>
    <n v="2"/>
    <n v="9.6799999999999997E-2"/>
    <n v="3.5714095155200001"/>
  </r>
  <r>
    <x v="0"/>
    <x v="4"/>
    <s v="Q1"/>
    <s v="Pimax"/>
    <s v="Pimax VR"/>
    <s v="VR"/>
    <s v="Tethered"/>
    <x v="0"/>
    <x v="1"/>
    <s v="BOE"/>
    <s v="Innolux"/>
    <m/>
    <m/>
    <m/>
    <n v="0"/>
    <s v="Unknown"/>
    <s v=" "/>
    <n v="2"/>
    <n v="3.96E-3"/>
    <n v="0.14610311654400002"/>
  </r>
  <r>
    <x v="0"/>
    <x v="4"/>
    <s v="Q1"/>
    <s v="Sony"/>
    <s v="PlayStation VR2"/>
    <s v="VR"/>
    <s v="Tethered"/>
    <x v="1"/>
    <x v="2"/>
    <s v="SDC"/>
    <m/>
    <n v="3.36"/>
    <n v="2040"/>
    <n v="2000"/>
    <n v="850.25339693662363"/>
    <n v="120"/>
    <d v="2023-02-01T00:00:00"/>
    <n v="2"/>
    <n v="0.9"/>
    <n v="42.353639999999999"/>
  </r>
  <r>
    <x v="0"/>
    <x v="4"/>
    <s v="Q1"/>
    <s v="Others"/>
    <s v="Dual LCD VR headset"/>
    <s v="VR"/>
    <s v="Unknown"/>
    <x v="0"/>
    <x v="1"/>
    <s v="Unknown"/>
    <s v=" "/>
    <m/>
    <m/>
    <m/>
    <n v="0"/>
    <s v="Unknown"/>
    <s v=" "/>
    <n v="2"/>
    <n v="3.124E-3"/>
    <n v="0.11525912527360001"/>
  </r>
  <r>
    <x v="0"/>
    <x v="4"/>
    <s v="Q1"/>
    <s v="Others"/>
    <s v="Single LCD VR headset"/>
    <s v="VR"/>
    <s v="Unknown"/>
    <x v="0"/>
    <x v="0"/>
    <s v="Unknown"/>
    <s v=" "/>
    <m/>
    <m/>
    <m/>
    <n v="0"/>
    <s v="Unknown"/>
    <s v=" "/>
    <n v="1"/>
    <n v="2.7654000000000001E-2"/>
    <n v="1.5304301457983998"/>
  </r>
  <r>
    <x v="0"/>
    <x v="4"/>
    <s v="Q1"/>
    <s v="Varjo"/>
    <s v="Bionic models"/>
    <s v="VR"/>
    <s v="Tethered"/>
    <x v="2"/>
    <x v="4"/>
    <s v="SeeYa"/>
    <m/>
    <n v="1.03"/>
    <n v="2560"/>
    <n v="2560"/>
    <n v="3514.9385627913821"/>
    <m/>
    <d v="2019-02-01T00:00:00"/>
    <n v="2"/>
    <n v="7.2820000000000003E-3"/>
    <n v="1.16788716"/>
  </r>
  <r>
    <x v="0"/>
    <x v="4"/>
    <s v="Q1"/>
    <s v="Varjo"/>
    <s v="Aero"/>
    <s v="VR"/>
    <s v="Tethered"/>
    <x v="0"/>
    <x v="1"/>
    <s v="Unknown"/>
    <m/>
    <n v="3.2"/>
    <n v="2880"/>
    <n v="2720"/>
    <n v="1237.9418403139946"/>
    <n v="90"/>
    <d v="2021-10-01T00:00:00"/>
    <n v="2"/>
    <n v="2.2000000000000001E-3"/>
    <n v="0.12100000000000001"/>
  </r>
  <r>
    <x v="1"/>
    <x v="4"/>
    <s v="Q1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8.9099999999999995E-3"/>
    <n v="0.62369999999999992"/>
  </r>
  <r>
    <x v="1"/>
    <x v="4"/>
    <s v="Q1"/>
    <s v="Lenovo"/>
    <s v="T1"/>
    <s v="AR see-through"/>
    <s v="Tethered"/>
    <x v="2"/>
    <x v="4"/>
    <s v="SeeYa"/>
    <m/>
    <n v="0.49"/>
    <n v="1920"/>
    <n v="1080"/>
    <n v="4495.7289185353029"/>
    <n v="60"/>
    <d v="2022-11-01T00:00:00"/>
    <n v="2"/>
    <n v="1.43E-2"/>
    <n v="0.71499999999999997"/>
  </r>
  <r>
    <x v="1"/>
    <x v="4"/>
    <s v="Q1"/>
    <s v="Lenovo"/>
    <s v="ThinkReality A3"/>
    <s v="AR see-through"/>
    <s v="Tethered"/>
    <x v="2"/>
    <x v="4"/>
    <s v="Sony"/>
    <m/>
    <n v="0.71"/>
    <n v="1920"/>
    <n v="1080"/>
    <n v="3102.6861550454905"/>
    <s v="Unknown"/>
    <d v="2021-06-01T00:00:00"/>
    <n v="2"/>
    <n v="1.4959999999999999E-3"/>
    <n v="0.11065003868159998"/>
  </r>
  <r>
    <x v="1"/>
    <x v="4"/>
    <s v="Q1"/>
    <s v="Magic Leap"/>
    <s v="ML 2"/>
    <s v="AR see-through"/>
    <s v="Standalone"/>
    <x v="4"/>
    <x v="6"/>
    <s v="Unknown"/>
    <m/>
    <m/>
    <n v="1440"/>
    <n v="1760"/>
    <n v="0"/>
    <s v="Unknown"/>
    <d v="2022-09-01T00:00:00"/>
    <n v="2"/>
    <n v="2.3540000000000002E-3"/>
    <n v="0.10401717834684002"/>
  </r>
  <r>
    <x v="1"/>
    <x v="4"/>
    <s v="Q1"/>
    <s v="Rokid"/>
    <s v="Air"/>
    <s v="AR see-through"/>
    <s v="Tethered"/>
    <x v="2"/>
    <x v="4"/>
    <s v="SeeYa"/>
    <m/>
    <n v="0.49"/>
    <n v="1920"/>
    <n v="1080"/>
    <n v="4495.7289185353029"/>
    <n v="75"/>
    <d v="2021-11-01T00:00:00"/>
    <n v="2"/>
    <n v="2.4199999999999998E-3"/>
    <n v="0.121"/>
  </r>
  <r>
    <x v="1"/>
    <x v="4"/>
    <s v="Q1"/>
    <s v="Rokid"/>
    <s v="Max"/>
    <s v="AR see-through"/>
    <s v="Tethered"/>
    <x v="2"/>
    <x v="4"/>
    <s v="Sony"/>
    <m/>
    <n v="0.55000000000000004"/>
    <n v="1920"/>
    <n v="1080"/>
    <n v="4005.2857637859966"/>
    <n v="120"/>
    <d v="2023-04-01T00:00:00"/>
    <n v="2"/>
    <n v="1.5094E-2"/>
    <n v="0.83016999999999996"/>
  </r>
  <r>
    <x v="1"/>
    <x v="4"/>
    <s v="Q1"/>
    <s v="TCL"/>
    <s v="NXTWear"/>
    <s v="AR see-through"/>
    <s v="Tethered"/>
    <x v="2"/>
    <x v="4"/>
    <s v="Sony"/>
    <m/>
    <n v="0.55000000000000004"/>
    <n v="1920"/>
    <n v="1080"/>
    <n v="4005.2857637859966"/>
    <s v="Unknown"/>
    <d v="2022-11-01T00:00:00"/>
    <n v="2"/>
    <n v="5.7419999999999999E-2"/>
    <n v="3.1581000000000001"/>
  </r>
  <r>
    <x v="1"/>
    <x v="4"/>
    <s v="Q1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1.1E-4"/>
    <n v="8.7702415712999984E-3"/>
  </r>
  <r>
    <x v="1"/>
    <x v="4"/>
    <s v="Q1"/>
    <s v="Vuzix"/>
    <s v="Shield"/>
    <s v="AR see-through"/>
    <s v="Standalone"/>
    <x v="7"/>
    <x v="10"/>
    <s v="JBD"/>
    <m/>
    <n v="0.13"/>
    <n v="640"/>
    <n v="480"/>
    <n v="6153.8461538461534"/>
    <s v="Unknown"/>
    <d v="2022-12-01T00:00:00"/>
    <n v="2"/>
    <n v="4.4000000000000002E-4"/>
    <n v="3.2635306527999994E-2"/>
  </r>
  <r>
    <x v="1"/>
    <x v="4"/>
    <s v="Q1"/>
    <s v="Others"/>
    <s v="LCoS glasses"/>
    <s v="AR see-through"/>
    <s v="Unknown"/>
    <x v="4"/>
    <x v="6"/>
    <s v="Unknown"/>
    <m/>
    <m/>
    <m/>
    <m/>
    <n v="0"/>
    <s v="Unknown"/>
    <s v=" "/>
    <n v="2"/>
    <n v="2.2000000000000001E-3"/>
    <n v="9.7212316212000008E-2"/>
  </r>
  <r>
    <x v="1"/>
    <x v="4"/>
    <s v="Q1"/>
    <s v="Others"/>
    <s v="Monocular MicroLED"/>
    <s v="AR see-through"/>
    <s v="Unknown"/>
    <x v="7"/>
    <x v="9"/>
    <s v="Unknown"/>
    <m/>
    <m/>
    <m/>
    <m/>
    <n v="0"/>
    <s v="Unknown"/>
    <s v=" "/>
    <n v="1"/>
    <n v="2.7500000000000002E-4"/>
    <n v="2.0397066579999998E-2"/>
  </r>
  <r>
    <x v="1"/>
    <x v="4"/>
    <s v="Q1"/>
    <s v="Others"/>
    <s v="SiOLED glasses"/>
    <s v="AR see-through"/>
    <s v="Unknown"/>
    <x v="2"/>
    <x v="4"/>
    <s v="Unknown"/>
    <m/>
    <m/>
    <m/>
    <m/>
    <n v="0"/>
    <s v="Unknown"/>
    <s v=" "/>
    <n v="2"/>
    <n v="2.332E-2"/>
    <n v="1.7248388382719997"/>
  </r>
  <r>
    <x v="1"/>
    <x v="4"/>
    <s v="Q1"/>
    <s v="XREAL"/>
    <s v="Air"/>
    <s v="AR see-through"/>
    <s v="Tethered"/>
    <x v="2"/>
    <x v="4"/>
    <s v="BOE"/>
    <m/>
    <n v="0.71"/>
    <n v="1920"/>
    <n v="1080"/>
    <n v="3102.6861550454905"/>
    <n v="90"/>
    <d v="2021-10-01T00:00:00"/>
    <n v="2"/>
    <n v="2.64E-2"/>
    <n v="1.9526477414399996"/>
  </r>
  <r>
    <x v="1"/>
    <x v="4"/>
    <s v="Q1"/>
    <s v="XREAL"/>
    <s v="Air 2"/>
    <s v="AR see-through"/>
    <s v="Tethered"/>
    <x v="2"/>
    <x v="4"/>
    <s v="Sony"/>
    <m/>
    <n v="0.55000000000000004"/>
    <n v="1920"/>
    <n v="1080"/>
    <n v="4005.2857637859966"/>
    <n v="120"/>
    <d v="2023-09-01T00:00:00"/>
    <n v="2"/>
    <n v="8.7999999999999995E-2"/>
    <n v="4.84"/>
  </r>
  <r>
    <x v="1"/>
    <x v="4"/>
    <s v="Q1"/>
    <s v="INMO"/>
    <s v="Go"/>
    <s v="AR see-through"/>
    <s v="Standalone"/>
    <x v="7"/>
    <x v="9"/>
    <s v="JBD"/>
    <m/>
    <n v="0.13"/>
    <n v="640"/>
    <n v="480"/>
    <n v="6153.8461538461534"/>
    <s v="Unknown"/>
    <d v="2023-09-01T00:00:00"/>
    <n v="1"/>
    <n v="3.3E-3"/>
    <n v="0.24476479895999995"/>
  </r>
  <r>
    <x v="0"/>
    <x v="4"/>
    <s v="Q2"/>
    <s v="Apple"/>
    <s v="Vision Pro"/>
    <s v="AR passthrough"/>
    <s v="Standalone"/>
    <x v="2"/>
    <x v="4"/>
    <s v="Sony"/>
    <m/>
    <n v="1.42"/>
    <n v="3660"/>
    <n v="3200"/>
    <n v="3423.6942337059722"/>
    <n v="100"/>
    <d v="2024-02-01T00:00:00"/>
    <n v="2"/>
    <n v="0.02"/>
    <n v="6"/>
  </r>
  <r>
    <x v="0"/>
    <x v="4"/>
    <s v="Q2"/>
    <s v="Bigscreen"/>
    <s v="Beyond"/>
    <s v="VR"/>
    <s v="Tethered"/>
    <x v="2"/>
    <x v="4"/>
    <s v="SeeYa"/>
    <m/>
    <n v="1.03"/>
    <n v="2560"/>
    <n v="2560"/>
    <n v="3514.9385627913821"/>
    <n v="90"/>
    <m/>
    <n v="2"/>
    <n v="1.6500000000000001E-2"/>
    <n v="2.31"/>
  </r>
  <r>
    <x v="0"/>
    <x v="4"/>
    <s v="Q2"/>
    <s v="DPVR"/>
    <s v="P1 family"/>
    <s v="VR"/>
    <s v="Standalone"/>
    <x v="0"/>
    <x v="0"/>
    <s v="Unknown"/>
    <s v=" "/>
    <m/>
    <m/>
    <m/>
    <n v="0"/>
    <s v="Unknown"/>
    <d v="2019-11-01T00:00:00"/>
    <n v="1"/>
    <n v="1.1396000000000002E-2"/>
    <n v="0.63067845308159998"/>
  </r>
  <r>
    <x v="0"/>
    <x v="4"/>
    <s v="Q2"/>
    <s v="HP"/>
    <s v="Reverb G2"/>
    <s v="VR"/>
    <s v="Tethered"/>
    <x v="0"/>
    <x v="1"/>
    <s v="Unknown"/>
    <s v=" "/>
    <n v="2.89"/>
    <n v="2160"/>
    <n v="2160"/>
    <n v="1056.990067379199"/>
    <n v="90"/>
    <d v="2020-11-01T00:00:00"/>
    <n v="2"/>
    <n v="4.4000000000000002E-4"/>
    <n v="1.6233679616000002E-2"/>
  </r>
  <r>
    <x v="0"/>
    <x v="4"/>
    <s v="Q2"/>
    <s v="HTC"/>
    <s v="Vive LCD headsets"/>
    <s v="VR"/>
    <s v="Standalone"/>
    <x v="0"/>
    <x v="1"/>
    <s v="JDI"/>
    <s v=" "/>
    <m/>
    <m/>
    <m/>
    <n v="0"/>
    <s v="Unknown"/>
    <d v="2019-10-01T00:00:00"/>
    <n v="2"/>
    <n v="9.4600000000000014E-3"/>
    <n v="0.34902411174400011"/>
  </r>
  <r>
    <x v="0"/>
    <x v="4"/>
    <s v="Q2"/>
    <s v="Lenovo"/>
    <s v="ThinkReality VRX"/>
    <s v="AR passthrough"/>
    <s v="Standalone"/>
    <x v="0"/>
    <x v="1"/>
    <s v="Unknown"/>
    <m/>
    <m/>
    <m/>
    <m/>
    <n v="0"/>
    <s v="Unknown"/>
    <d v="2023-06-01T00:00:00"/>
    <n v="2"/>
    <n v="8.8000000000000005E-3"/>
    <n v="0.32467359232000004"/>
  </r>
  <r>
    <x v="0"/>
    <x v="4"/>
    <s v="Q2"/>
    <s v="Meta"/>
    <s v="Quest 2"/>
    <s v="VR"/>
    <s v="Standalone"/>
    <x v="0"/>
    <x v="0"/>
    <s v="JDI"/>
    <s v="Sharp/BOE"/>
    <n v="5.5"/>
    <n v="3840"/>
    <n v="1832"/>
    <n v="773.56797048396322"/>
    <n v="90"/>
    <d v="2020-10-01T00:00:00"/>
    <n v="1"/>
    <n v="0.71499999999999997"/>
    <n v="39.569594063999986"/>
  </r>
  <r>
    <x v="0"/>
    <x v="4"/>
    <s v="Q2"/>
    <s v="Meta"/>
    <s v="Quest 3"/>
    <s v="VR"/>
    <s v="Standalone"/>
    <x v="0"/>
    <x v="1"/>
    <s v="Sharp"/>
    <s v="JDI"/>
    <m/>
    <m/>
    <m/>
    <n v="0"/>
    <m/>
    <d v="2023-10-01T00:00:00"/>
    <n v="2"/>
    <n v="3.41"/>
    <n v="125.81101702400002"/>
  </r>
  <r>
    <x v="0"/>
    <x v="4"/>
    <s v="Q2"/>
    <s v="Meta"/>
    <s v="Quest Pro"/>
    <s v="AR passthrough"/>
    <s v="Standalone"/>
    <x v="0"/>
    <x v="1"/>
    <s v="BOE"/>
    <s v="JDI"/>
    <n v="2.5"/>
    <n v="1920"/>
    <n v="1800"/>
    <n v="1052.7221855741429"/>
    <n v="90"/>
    <d v="2022-10-01T00:00:00"/>
    <n v="2"/>
    <n v="6.6E-4"/>
    <n v="2.9700000000000001E-2"/>
  </r>
  <r>
    <x v="0"/>
    <x v="4"/>
    <s v="Q2"/>
    <s v="Pico"/>
    <s v="Neo 3 / G3"/>
    <s v="VR"/>
    <s v="Standalone"/>
    <x v="0"/>
    <x v="0"/>
    <s v="JDI"/>
    <s v="Innolux"/>
    <n v="5.5"/>
    <n v="3840"/>
    <n v="1832"/>
    <n v="773.56797048396322"/>
    <n v="90"/>
    <d v="2021-05-01T00:00:00"/>
    <n v="1"/>
    <n v="7.6999999999999999E-2"/>
    <n v="4.2613408991999986"/>
  </r>
  <r>
    <x v="0"/>
    <x v="4"/>
    <s v="Q2"/>
    <s v="Pico"/>
    <s v="Pico 4"/>
    <s v="VR"/>
    <s v="Standalone"/>
    <x v="0"/>
    <x v="1"/>
    <s v="Innolux"/>
    <m/>
    <n v="2.56"/>
    <n v="2160"/>
    <n v="2160"/>
    <n v="1193.242693252299"/>
    <n v="90"/>
    <d v="2022-09-01T00:00:00"/>
    <n v="2"/>
    <n v="0.13639999999999999"/>
    <n v="5.0324406809600006"/>
  </r>
  <r>
    <x v="0"/>
    <x v="4"/>
    <s v="Q2"/>
    <s v="Pimax"/>
    <s v="Pimax VR"/>
    <s v="VR"/>
    <s v="Tethered"/>
    <x v="0"/>
    <x v="1"/>
    <s v="BOE"/>
    <s v="Innolux"/>
    <m/>
    <m/>
    <m/>
    <n v="0"/>
    <s v="Unknown"/>
    <s v=" "/>
    <n v="2"/>
    <n v="3.7400000000000003E-3"/>
    <n v="0.13798627673600003"/>
  </r>
  <r>
    <x v="0"/>
    <x v="4"/>
    <s v="Q2"/>
    <s v="Shiftall"/>
    <s v="MeganeX"/>
    <s v="VR"/>
    <s v="Tethered"/>
    <x v="2"/>
    <x v="4"/>
    <s v="Lakeside"/>
    <m/>
    <n v="1.3"/>
    <n v="2560"/>
    <n v="2560"/>
    <n v="2784.9128612885565"/>
    <n v="120"/>
    <m/>
    <n v="2"/>
    <n v="4.4000000000000003E-3"/>
    <n v="0.70567200000000008"/>
  </r>
  <r>
    <x v="0"/>
    <x v="4"/>
    <s v="Q2"/>
    <s v="Sony"/>
    <s v="PlayStation VR2"/>
    <s v="VR"/>
    <s v="Tethered"/>
    <x v="1"/>
    <x v="2"/>
    <s v="SDC"/>
    <m/>
    <n v="3.36"/>
    <n v="2040"/>
    <n v="2000"/>
    <n v="850.25339693662363"/>
    <n v="120"/>
    <d v="2023-02-01T00:00:00"/>
    <n v="2"/>
    <n v="0.6"/>
    <n v="28.235759999999996"/>
  </r>
  <r>
    <x v="0"/>
    <x v="4"/>
    <s v="Q2"/>
    <s v="Others"/>
    <s v="Dual LCD VR headset"/>
    <s v="VR"/>
    <s v="Unknown"/>
    <x v="0"/>
    <x v="1"/>
    <s v="Unknown"/>
    <s v=" "/>
    <m/>
    <m/>
    <m/>
    <n v="0"/>
    <s v="Unknown"/>
    <s v=" "/>
    <n v="2"/>
    <n v="1.232E-3"/>
    <n v="4.5454302924800002E-2"/>
  </r>
  <r>
    <x v="0"/>
    <x v="4"/>
    <s v="Q2"/>
    <s v="Others"/>
    <s v="Single LCD VR headset"/>
    <s v="VR"/>
    <s v="Unknown"/>
    <x v="0"/>
    <x v="0"/>
    <s v="Unknown"/>
    <s v=" "/>
    <m/>
    <m/>
    <m/>
    <n v="0"/>
    <s v="Unknown"/>
    <s v=" "/>
    <n v="1"/>
    <n v="5.7100999999999999E-2"/>
    <n v="3.1600886582495993"/>
  </r>
  <r>
    <x v="0"/>
    <x v="4"/>
    <s v="Q2"/>
    <s v="Varjo"/>
    <s v="Bionic models"/>
    <s v="VR"/>
    <s v="Tethered"/>
    <x v="2"/>
    <x v="4"/>
    <s v="SeeYa"/>
    <m/>
    <n v="1.03"/>
    <n v="2560"/>
    <n v="2560"/>
    <n v="3514.9385627913821"/>
    <m/>
    <d v="2019-02-01T00:00:00"/>
    <n v="2"/>
    <n v="5.2910000000000006E-3"/>
    <n v="0.84857058000000007"/>
  </r>
  <r>
    <x v="0"/>
    <x v="4"/>
    <s v="Q2"/>
    <s v="Varjo"/>
    <s v="Aero"/>
    <s v="VR"/>
    <s v="Tethered"/>
    <x v="0"/>
    <x v="1"/>
    <s v="Unknown"/>
    <m/>
    <n v="3.2"/>
    <n v="2880"/>
    <n v="2720"/>
    <n v="1237.9418403139946"/>
    <n v="90"/>
    <d v="2021-10-01T00:00:00"/>
    <n v="2"/>
    <n v="1.7600000000000001E-3"/>
    <n v="9.6799999999999997E-2"/>
  </r>
  <r>
    <x v="0"/>
    <x v="4"/>
    <s v="Q2"/>
    <s v="Varjo"/>
    <s v="XR-4"/>
    <s v="VR"/>
    <s v="Tethered"/>
    <x v="0"/>
    <x v="1"/>
    <s v="CSOT"/>
    <m/>
    <n v="3.59"/>
    <n v="3840"/>
    <n v="3744"/>
    <n v="1493.9073665208787"/>
    <n v="90"/>
    <d v="2023-12-01T00:00:00"/>
    <n v="2"/>
    <n v="4.4000000000000002E-4"/>
    <n v="2.4199999999999999E-2"/>
  </r>
  <r>
    <x v="1"/>
    <x v="4"/>
    <s v="Q2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1.9910000000000001E-2"/>
    <n v="1.3936999999999999"/>
  </r>
  <r>
    <x v="1"/>
    <x v="4"/>
    <s v="Q2"/>
    <s v="Lenovo"/>
    <s v="T1"/>
    <s v="AR see-through"/>
    <s v="Tethered"/>
    <x v="2"/>
    <x v="4"/>
    <s v="SeeYa"/>
    <m/>
    <n v="0.49"/>
    <n v="1920"/>
    <n v="1080"/>
    <n v="4495.7289185353029"/>
    <n v="60"/>
    <d v="2022-11-01T00:00:00"/>
    <n v="2"/>
    <n v="2.1999999999999999E-2"/>
    <n v="1.0999999999999999"/>
  </r>
  <r>
    <x v="1"/>
    <x v="4"/>
    <s v="Q2"/>
    <s v="Lenovo"/>
    <s v="ThinkReality A3"/>
    <s v="AR see-through"/>
    <s v="Tethered"/>
    <x v="2"/>
    <x v="4"/>
    <s v="Sony"/>
    <m/>
    <n v="0.71"/>
    <n v="1920"/>
    <n v="1080"/>
    <n v="3102.6861550454905"/>
    <s v="Unknown"/>
    <d v="2021-06-01T00:00:00"/>
    <n v="2"/>
    <n v="1.232E-3"/>
    <n v="9.112356126719999E-2"/>
  </r>
  <r>
    <x v="1"/>
    <x v="4"/>
    <s v="Q2"/>
    <s v="Magic Leap"/>
    <s v="ML 2"/>
    <s v="AR see-through"/>
    <s v="Standalone"/>
    <x v="4"/>
    <x v="6"/>
    <s v="Unknown"/>
    <m/>
    <m/>
    <n v="1440"/>
    <n v="1760"/>
    <n v="0"/>
    <s v="Unknown"/>
    <d v="2022-09-01T00:00:00"/>
    <n v="2"/>
    <n v="3.63E-3"/>
    <n v="0.16040032174980001"/>
  </r>
  <r>
    <x v="1"/>
    <x v="4"/>
    <s v="Q2"/>
    <s v="Rokid"/>
    <s v="Air"/>
    <s v="AR see-through"/>
    <s v="Tethered"/>
    <x v="2"/>
    <x v="4"/>
    <s v="SeeYa"/>
    <m/>
    <n v="0.49"/>
    <n v="1920"/>
    <n v="1080"/>
    <n v="4495.7289185353029"/>
    <n v="75"/>
    <d v="2021-11-01T00:00:00"/>
    <n v="2"/>
    <n v="9.4600000000000014E-3"/>
    <n v="0.47300000000000009"/>
  </r>
  <r>
    <x v="1"/>
    <x v="4"/>
    <s v="Q2"/>
    <s v="Rokid"/>
    <s v="Max"/>
    <s v="AR see-through"/>
    <s v="Tethered"/>
    <x v="2"/>
    <x v="4"/>
    <s v="Sony"/>
    <m/>
    <n v="0.55000000000000004"/>
    <n v="1920"/>
    <n v="1080"/>
    <n v="4005.2857637859966"/>
    <n v="120"/>
    <d v="2023-04-01T00:00:00"/>
    <n v="2"/>
    <n v="1.7664000000000003E-2"/>
    <n v="0.97152000000000016"/>
  </r>
  <r>
    <x v="1"/>
    <x v="4"/>
    <s v="Q2"/>
    <s v="TCL"/>
    <s v="NXTWear"/>
    <s v="AR see-through"/>
    <s v="Tethered"/>
    <x v="2"/>
    <x v="4"/>
    <s v="Sony"/>
    <m/>
    <n v="0.55000000000000004"/>
    <n v="1920"/>
    <n v="1080"/>
    <n v="4005.2857637859966"/>
    <s v="Unknown"/>
    <d v="2022-11-01T00:00:00"/>
    <n v="2"/>
    <n v="0.11131999999999999"/>
    <n v="6.1225999999999994"/>
  </r>
  <r>
    <x v="1"/>
    <x v="4"/>
    <s v="Q2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3.7399999999999998E-4"/>
    <n v="2.9818821342419994E-2"/>
  </r>
  <r>
    <x v="1"/>
    <x v="4"/>
    <s v="Q2"/>
    <s v="Vuzix"/>
    <s v="Shield"/>
    <s v="AR see-through"/>
    <s v="Standalone"/>
    <x v="7"/>
    <x v="10"/>
    <s v="JBD"/>
    <m/>
    <n v="0.13"/>
    <n v="640"/>
    <n v="480"/>
    <n v="6153.8461538461534"/>
    <s v="Unknown"/>
    <d v="2022-12-01T00:00:00"/>
    <n v="2"/>
    <n v="9.8999999999999999E-4"/>
    <n v="7.3429439687999989E-2"/>
  </r>
  <r>
    <x v="1"/>
    <x v="4"/>
    <s v="Q2"/>
    <s v="Others"/>
    <s v="Binocular MicroLED"/>
    <s v="AR see-through"/>
    <s v="Unknown"/>
    <x v="7"/>
    <x v="10"/>
    <s v="Unknown"/>
    <m/>
    <m/>
    <m/>
    <m/>
    <n v="0"/>
    <s v="Unknown"/>
    <s v=" "/>
    <n v="2"/>
    <n v="1.056E-2"/>
    <n v="0.78324735667199985"/>
  </r>
  <r>
    <x v="1"/>
    <x v="4"/>
    <s v="Q2"/>
    <s v="Others"/>
    <s v="LCoS glasses"/>
    <s v="AR see-through"/>
    <s v="Unknown"/>
    <x v="4"/>
    <x v="6"/>
    <s v="Unknown"/>
    <m/>
    <m/>
    <m/>
    <m/>
    <n v="0"/>
    <s v="Unknown"/>
    <s v=" "/>
    <n v="2"/>
    <n v="2.2000000000000001E-3"/>
    <n v="9.7212316212000008E-2"/>
  </r>
  <r>
    <x v="1"/>
    <x v="4"/>
    <s v="Q2"/>
    <s v="Others"/>
    <s v="Monocular MicroLED"/>
    <s v="AR see-through"/>
    <s v="Unknown"/>
    <x v="7"/>
    <x v="9"/>
    <s v="Unknown"/>
    <m/>
    <m/>
    <m/>
    <m/>
    <n v="0"/>
    <s v="Unknown"/>
    <s v=" "/>
    <n v="1"/>
    <n v="2.7500000000000002E-4"/>
    <n v="2.0397066579999998E-2"/>
  </r>
  <r>
    <x v="1"/>
    <x v="4"/>
    <s v="Q2"/>
    <s v="Others"/>
    <s v="SiOLED glasses"/>
    <s v="AR see-through"/>
    <s v="Unknown"/>
    <x v="2"/>
    <x v="4"/>
    <s v="Unknown"/>
    <m/>
    <m/>
    <m/>
    <m/>
    <n v="0"/>
    <s v="Unknown"/>
    <s v=" "/>
    <n v="2"/>
    <n v="2.0899999999999998E-2"/>
    <n v="1.5458461286399996"/>
  </r>
  <r>
    <x v="1"/>
    <x v="4"/>
    <s v="Q2"/>
    <s v="XREAL"/>
    <s v="Air"/>
    <s v="AR see-through"/>
    <s v="Tethered"/>
    <x v="2"/>
    <x v="4"/>
    <s v="BOE"/>
    <m/>
    <n v="0.71"/>
    <n v="1920"/>
    <n v="1080"/>
    <n v="3102.6861550454905"/>
    <n v="90"/>
    <d v="2021-10-01T00:00:00"/>
    <n v="2"/>
    <n v="1.0999999999999999E-2"/>
    <n v="0.81360322559999976"/>
  </r>
  <r>
    <x v="1"/>
    <x v="4"/>
    <s v="Q2"/>
    <s v="XREAL"/>
    <s v="Air 2"/>
    <s v="AR see-through"/>
    <s v="Tethered"/>
    <x v="2"/>
    <x v="4"/>
    <s v="Sony"/>
    <m/>
    <n v="0.55000000000000004"/>
    <n v="1920"/>
    <n v="1080"/>
    <n v="4005.2857637859966"/>
    <n v="120"/>
    <d v="2023-09-01T00:00:00"/>
    <n v="2"/>
    <n v="0.1298"/>
    <n v="7.1390000000000002"/>
  </r>
  <r>
    <x v="1"/>
    <x v="4"/>
    <s v="Q2"/>
    <s v="INMO"/>
    <s v="Go"/>
    <s v="AR see-through"/>
    <s v="Standalone"/>
    <x v="7"/>
    <x v="9"/>
    <s v="JBD"/>
    <m/>
    <n v="0.13"/>
    <n v="640"/>
    <n v="480"/>
    <n v="6153.8461538461534"/>
    <s v="Unknown"/>
    <d v="2023-09-01T00:00:00"/>
    <n v="1"/>
    <n v="1.6500000000000001E-2"/>
    <n v="1.2238239947999998"/>
  </r>
  <r>
    <x v="0"/>
    <x v="4"/>
    <s v="Q3"/>
    <s v="Apple"/>
    <s v="Vision Pro"/>
    <s v="AR passthrough"/>
    <s v="Standalone"/>
    <x v="2"/>
    <x v="4"/>
    <s v="Sony"/>
    <m/>
    <n v="1.42"/>
    <n v="3660"/>
    <n v="3200"/>
    <n v="3423.6942337059722"/>
    <n v="100"/>
    <d v="2024-02-01T00:00:00"/>
    <n v="2"/>
    <n v="0.04"/>
    <n v="11.200000000000001"/>
  </r>
  <r>
    <x v="0"/>
    <x v="4"/>
    <s v="Q3"/>
    <s v="Bigscreen"/>
    <s v="Beyond"/>
    <s v="VR"/>
    <s v="Tethered"/>
    <x v="2"/>
    <x v="4"/>
    <s v="SeeYa"/>
    <m/>
    <n v="1.03"/>
    <n v="2560"/>
    <n v="2560"/>
    <n v="3514.9385627913821"/>
    <n v="90"/>
    <m/>
    <n v="2"/>
    <n v="8.8000000000000005E-3"/>
    <n v="1.232"/>
  </r>
  <r>
    <x v="0"/>
    <x v="4"/>
    <s v="Q3"/>
    <s v="DPVR"/>
    <s v="P1 family"/>
    <s v="VR"/>
    <s v="Standalone"/>
    <x v="0"/>
    <x v="0"/>
    <s v="Unknown"/>
    <s v=" "/>
    <m/>
    <m/>
    <m/>
    <n v="0"/>
    <s v="Unknown"/>
    <d v="2019-11-01T00:00:00"/>
    <n v="1"/>
    <n v="4.2460000000000006E-3"/>
    <n v="0.23498251244159998"/>
  </r>
  <r>
    <x v="0"/>
    <x v="4"/>
    <s v="Q3"/>
    <s v="HP"/>
    <s v="Reverb G2"/>
    <s v="VR"/>
    <s v="Tethered"/>
    <x v="0"/>
    <x v="1"/>
    <s v="Unknown"/>
    <s v=" "/>
    <n v="2.89"/>
    <n v="2160"/>
    <n v="2160"/>
    <n v="1056.990067379199"/>
    <n v="90"/>
    <d v="2020-11-01T00:00:00"/>
    <n v="2"/>
    <n v="2.2000000000000001E-4"/>
    <n v="8.1168398080000009E-3"/>
  </r>
  <r>
    <x v="0"/>
    <x v="4"/>
    <s v="Q3"/>
    <s v="HTC"/>
    <s v="Vive LCD headsets"/>
    <s v="VR"/>
    <s v="Standalone"/>
    <x v="0"/>
    <x v="1"/>
    <s v="JDI"/>
    <s v=" "/>
    <m/>
    <m/>
    <m/>
    <n v="0"/>
    <s v="Unknown"/>
    <d v="2019-10-01T00:00:00"/>
    <n v="2"/>
    <n v="3.7400000000000003E-3"/>
    <n v="0.13798627673600003"/>
  </r>
  <r>
    <x v="0"/>
    <x v="4"/>
    <s v="Q3"/>
    <s v="Lenovo"/>
    <s v="ThinkReality VRX"/>
    <s v="AR passthrough"/>
    <s v="Standalone"/>
    <x v="0"/>
    <x v="1"/>
    <s v="Unknown"/>
    <m/>
    <m/>
    <m/>
    <m/>
    <n v="0"/>
    <s v="Unknown"/>
    <d v="2023-06-01T00:00:00"/>
    <n v="2"/>
    <n v="9.9000000000000008E-3"/>
    <n v="0.36525779136000008"/>
  </r>
  <r>
    <x v="0"/>
    <x v="4"/>
    <s v="Q3"/>
    <s v="Lynx"/>
    <s v="R1"/>
    <s v="AR passthrough"/>
    <s v="Standalone"/>
    <x v="0"/>
    <x v="1"/>
    <s v="JDI"/>
    <s v=" "/>
    <n v="2.1"/>
    <n v="1600"/>
    <n v="1600"/>
    <n v="1077.4960475223581"/>
    <n v="90"/>
    <s v=" "/>
    <n v="2"/>
    <n v="2.2000000000000001E-4"/>
    <n v="8.1168398080000009E-3"/>
  </r>
  <r>
    <x v="0"/>
    <x v="4"/>
    <s v="Q3"/>
    <s v="Meta"/>
    <s v="Quest 2"/>
    <s v="VR"/>
    <s v="Standalone"/>
    <x v="0"/>
    <x v="0"/>
    <s v="JDI"/>
    <s v="Sharp/BOE"/>
    <n v="5.5"/>
    <n v="3840"/>
    <n v="1832"/>
    <n v="773.56797048396322"/>
    <n v="90"/>
    <d v="2020-10-01T00:00:00"/>
    <n v="1"/>
    <n v="0.16500000000000001"/>
    <n v="9.1314447839999975"/>
  </r>
  <r>
    <x v="0"/>
    <x v="4"/>
    <s v="Q3"/>
    <s v="Meta"/>
    <s v="Quest 3"/>
    <s v="VR"/>
    <s v="Standalone"/>
    <x v="0"/>
    <x v="1"/>
    <s v="Sharp"/>
    <s v="JDI"/>
    <m/>
    <m/>
    <m/>
    <n v="0"/>
    <m/>
    <d v="2023-10-01T00:00:00"/>
    <n v="2"/>
    <n v="1.6279999999999999"/>
    <n v="60.064614579200004"/>
  </r>
  <r>
    <x v="0"/>
    <x v="4"/>
    <s v="Q3"/>
    <s v="Meta"/>
    <s v="Quest Pro"/>
    <s v="AR passthrough"/>
    <s v="Standalone"/>
    <x v="0"/>
    <x v="1"/>
    <s v="BOE"/>
    <s v="JDI"/>
    <n v="2.5"/>
    <n v="1920"/>
    <n v="1800"/>
    <n v="1052.7221855741429"/>
    <n v="90"/>
    <d v="2022-10-01T00:00:00"/>
    <n v="2"/>
    <n v="2.2000000000000001E-4"/>
    <n v="9.9000000000000008E-3"/>
  </r>
  <r>
    <x v="0"/>
    <x v="4"/>
    <s v="Q3"/>
    <s v="Pico"/>
    <s v="Neo 3 / G3"/>
    <s v="VR"/>
    <s v="Standalone"/>
    <x v="0"/>
    <x v="0"/>
    <s v="JDI"/>
    <s v="Innolux"/>
    <n v="5.5"/>
    <n v="3840"/>
    <n v="1832"/>
    <n v="773.56797048396322"/>
    <n v="90"/>
    <d v="2021-05-01T00:00:00"/>
    <n v="1"/>
    <n v="6.523000000000001E-2"/>
    <n v="3.6099645046079996"/>
  </r>
  <r>
    <x v="0"/>
    <x v="4"/>
    <s v="Q3"/>
    <s v="Pico"/>
    <s v="Pico 4"/>
    <s v="VR"/>
    <s v="Standalone"/>
    <x v="0"/>
    <x v="1"/>
    <s v="Innolux"/>
    <m/>
    <n v="2.56"/>
    <n v="2160"/>
    <n v="2160"/>
    <n v="1193.242693252299"/>
    <n v="90"/>
    <d v="2022-09-01T00:00:00"/>
    <n v="2"/>
    <n v="9.9000000000000005E-2"/>
    <n v="3.6525779136000005"/>
  </r>
  <r>
    <x v="0"/>
    <x v="4"/>
    <s v="Q3"/>
    <s v="Pimax"/>
    <s v="Pimax VR"/>
    <s v="VR"/>
    <s v="Tethered"/>
    <x v="0"/>
    <x v="1"/>
    <s v="BOE"/>
    <s v="Innolux"/>
    <m/>
    <m/>
    <m/>
    <n v="0"/>
    <s v="Unknown"/>
    <s v=" "/>
    <n v="2"/>
    <n v="1.5400000000000001E-3"/>
    <n v="5.6817878656000013E-2"/>
  </r>
  <r>
    <x v="0"/>
    <x v="4"/>
    <s v="Q3"/>
    <s v="Shiftall"/>
    <s v="MeganeX"/>
    <s v="VR"/>
    <s v="Tethered"/>
    <x v="2"/>
    <x v="4"/>
    <s v="Lakeside"/>
    <m/>
    <n v="1.3"/>
    <n v="2560"/>
    <n v="2560"/>
    <n v="2784.9128612885565"/>
    <n v="120"/>
    <m/>
    <n v="2"/>
    <n v="2.2000000000000001E-3"/>
    <n v="0.35283600000000004"/>
  </r>
  <r>
    <x v="0"/>
    <x v="4"/>
    <s v="Q3"/>
    <s v="Others"/>
    <s v="Single LCD VR headset"/>
    <s v="VR"/>
    <s v="Unknown"/>
    <x v="0"/>
    <x v="0"/>
    <s v="Unknown"/>
    <s v=" "/>
    <m/>
    <m/>
    <m/>
    <n v="0"/>
    <s v="Unknown"/>
    <s v=" "/>
    <n v="1"/>
    <n v="2.4199999999999999E-2"/>
    <n v="1.3392785683199997"/>
  </r>
  <r>
    <x v="0"/>
    <x v="4"/>
    <s v="Q3"/>
    <s v="Varjo"/>
    <s v="Bionic models"/>
    <s v="VR"/>
    <s v="Tethered"/>
    <x v="2"/>
    <x v="4"/>
    <s v="SeeYa"/>
    <m/>
    <n v="1.03"/>
    <n v="2560"/>
    <n v="2560"/>
    <n v="3514.9385627913821"/>
    <m/>
    <d v="2019-02-01T00:00:00"/>
    <n v="2"/>
    <n v="4.444E-3"/>
    <n v="0.71272871999999998"/>
  </r>
  <r>
    <x v="0"/>
    <x v="4"/>
    <s v="Q3"/>
    <s v="Varjo"/>
    <s v="Aero"/>
    <s v="VR"/>
    <s v="Tethered"/>
    <x v="0"/>
    <x v="1"/>
    <s v="Unknown"/>
    <m/>
    <n v="3.2"/>
    <n v="2880"/>
    <n v="2720"/>
    <n v="1237.9418403139946"/>
    <n v="90"/>
    <d v="2021-10-01T00:00:00"/>
    <n v="2"/>
    <n v="1.1000000000000001E-3"/>
    <n v="6.0500000000000005E-2"/>
  </r>
  <r>
    <x v="0"/>
    <x v="4"/>
    <s v="Q3"/>
    <s v="Varjo"/>
    <s v="XR-4"/>
    <s v="VR"/>
    <s v="Tethered"/>
    <x v="0"/>
    <x v="1"/>
    <s v="CSOT"/>
    <m/>
    <n v="3.59"/>
    <n v="3840"/>
    <n v="3744"/>
    <n v="1493.9073665208787"/>
    <n v="90"/>
    <d v="2023-12-01T00:00:00"/>
    <n v="2"/>
    <n v="8.8000000000000003E-4"/>
    <n v="4.8399999999999999E-2"/>
  </r>
  <r>
    <x v="1"/>
    <x v="4"/>
    <s v="Q3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9.4600000000000014E-3"/>
    <n v="0.66220000000000012"/>
  </r>
  <r>
    <x v="1"/>
    <x v="4"/>
    <s v="Q3"/>
    <s v="Lenovo"/>
    <s v="T1"/>
    <s v="AR see-through"/>
    <s v="Tethered"/>
    <x v="2"/>
    <x v="4"/>
    <s v="SeeYa"/>
    <m/>
    <n v="0.49"/>
    <n v="1920"/>
    <n v="1080"/>
    <n v="4495.7289185353029"/>
    <n v="60"/>
    <d v="2022-11-01T00:00:00"/>
    <n v="2"/>
    <n v="9.7899999999999984E-3"/>
    <n v="0.48949999999999994"/>
  </r>
  <r>
    <x v="1"/>
    <x v="4"/>
    <s v="Q3"/>
    <s v="Lenovo"/>
    <s v="ThinkReality A3"/>
    <s v="AR see-through"/>
    <s v="Tethered"/>
    <x v="2"/>
    <x v="4"/>
    <s v="Sony"/>
    <m/>
    <n v="0.71"/>
    <n v="1920"/>
    <n v="1080"/>
    <n v="3102.6861550454905"/>
    <s v="Unknown"/>
    <d v="2021-06-01T00:00:00"/>
    <n v="2"/>
    <n v="2.6400000000000002E-4"/>
    <n v="1.9526477414399997E-2"/>
  </r>
  <r>
    <x v="1"/>
    <x v="4"/>
    <s v="Q3"/>
    <s v="Magic Leap"/>
    <s v="ML 2"/>
    <s v="AR see-through"/>
    <s v="Standalone"/>
    <x v="4"/>
    <x v="6"/>
    <s v="Unknown"/>
    <m/>
    <m/>
    <n v="1440"/>
    <n v="1760"/>
    <n v="0"/>
    <s v="Unknown"/>
    <d v="2022-09-01T00:00:00"/>
    <n v="2"/>
    <n v="1.32E-3"/>
    <n v="5.8327389727200002E-2"/>
  </r>
  <r>
    <x v="1"/>
    <x v="4"/>
    <s v="Q3"/>
    <s v="Rokid"/>
    <s v="Air"/>
    <s v="AR see-through"/>
    <s v="Tethered"/>
    <x v="2"/>
    <x v="4"/>
    <s v="SeeYa"/>
    <m/>
    <n v="0.49"/>
    <n v="1920"/>
    <n v="1080"/>
    <n v="4495.7289185353029"/>
    <n v="75"/>
    <d v="2021-11-01T00:00:00"/>
    <n v="2"/>
    <n v="4.8399999999999997E-3"/>
    <n v="0.24199999999999999"/>
  </r>
  <r>
    <x v="1"/>
    <x v="4"/>
    <s v="Q3"/>
    <s v="Rokid"/>
    <s v="Max"/>
    <s v="AR see-through"/>
    <s v="Tethered"/>
    <x v="2"/>
    <x v="4"/>
    <s v="Sony"/>
    <m/>
    <n v="0.55000000000000004"/>
    <n v="1920"/>
    <n v="1080"/>
    <n v="4005.2857637859966"/>
    <n v="120"/>
    <d v="2023-04-01T00:00:00"/>
    <n v="2"/>
    <n v="9.9000000000000008E-3"/>
    <n v="0.5445000000000001"/>
  </r>
  <r>
    <x v="1"/>
    <x v="4"/>
    <s v="Q3"/>
    <s v="TCL"/>
    <s v="NXTWear"/>
    <s v="AR see-through"/>
    <s v="Tethered"/>
    <x v="2"/>
    <x v="4"/>
    <s v="Sony"/>
    <m/>
    <n v="0.55000000000000004"/>
    <n v="1920"/>
    <n v="1080"/>
    <n v="4005.2857637859966"/>
    <s v="Unknown"/>
    <d v="2022-11-01T00:00:00"/>
    <n v="2"/>
    <n v="4.0039999999999999E-2"/>
    <n v="2.2021999999999999"/>
  </r>
  <r>
    <x v="1"/>
    <x v="4"/>
    <s v="Q3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1.1E-4"/>
    <n v="8.7702415712999984E-3"/>
  </r>
  <r>
    <x v="1"/>
    <x v="4"/>
    <s v="Q3"/>
    <s v="Vuzix"/>
    <s v="Shield"/>
    <s v="AR see-through"/>
    <s v="Standalone"/>
    <x v="7"/>
    <x v="10"/>
    <s v="JBD"/>
    <m/>
    <n v="0.13"/>
    <n v="640"/>
    <n v="480"/>
    <n v="6153.8461538461534"/>
    <s v="Unknown"/>
    <d v="2022-12-01T00:00:00"/>
    <n v="2"/>
    <n v="2.2000000000000001E-4"/>
    <n v="1.6317653263999997E-2"/>
  </r>
  <r>
    <x v="1"/>
    <x v="4"/>
    <s v="Q3"/>
    <s v="Others"/>
    <s v="Binocular MicroLED"/>
    <s v="AR see-through"/>
    <s v="Unknown"/>
    <x v="7"/>
    <x v="10"/>
    <s v="Unknown"/>
    <m/>
    <m/>
    <m/>
    <m/>
    <n v="0"/>
    <s v="Unknown"/>
    <s v=" "/>
    <n v="2"/>
    <n v="3.96E-3"/>
    <n v="0.29371775875199996"/>
  </r>
  <r>
    <x v="1"/>
    <x v="4"/>
    <s v="Q3"/>
    <s v="Others"/>
    <s v="LCoS glasses"/>
    <s v="AR see-through"/>
    <s v="Unknown"/>
    <x v="4"/>
    <x v="6"/>
    <s v="Unknown"/>
    <m/>
    <m/>
    <m/>
    <m/>
    <n v="0"/>
    <s v="Unknown"/>
    <s v=" "/>
    <n v="2"/>
    <n v="4.4000000000000003E-3"/>
    <n v="0.19442463242400002"/>
  </r>
  <r>
    <x v="1"/>
    <x v="4"/>
    <s v="Q3"/>
    <s v="Others"/>
    <s v="Monocular MicroLED"/>
    <s v="AR see-through"/>
    <s v="Unknown"/>
    <x v="7"/>
    <x v="9"/>
    <s v="Unknown"/>
    <m/>
    <m/>
    <m/>
    <m/>
    <n v="0"/>
    <s v="Unknown"/>
    <s v=" "/>
    <n v="1"/>
    <n v="1.1E-4"/>
    <n v="8.1588266319999984E-3"/>
  </r>
  <r>
    <x v="1"/>
    <x v="4"/>
    <s v="Q3"/>
    <s v="Others"/>
    <s v="SiOLED glasses"/>
    <s v="AR see-through"/>
    <s v="Unknown"/>
    <x v="2"/>
    <x v="4"/>
    <s v="Unknown"/>
    <m/>
    <m/>
    <m/>
    <m/>
    <n v="0"/>
    <s v="Unknown"/>
    <s v=" "/>
    <n v="2"/>
    <n v="3.4099999999999998E-2"/>
    <n v="2.5221699993599995"/>
  </r>
  <r>
    <x v="1"/>
    <x v="4"/>
    <s v="Q3"/>
    <s v="XREAL"/>
    <s v="Air"/>
    <s v="AR see-through"/>
    <s v="Tethered"/>
    <x v="2"/>
    <x v="4"/>
    <s v="BOE"/>
    <m/>
    <n v="0.71"/>
    <n v="1920"/>
    <n v="1080"/>
    <n v="3102.6861550454905"/>
    <n v="90"/>
    <d v="2021-10-01T00:00:00"/>
    <n v="2"/>
    <n v="6.6879999999999995E-3"/>
    <n v="0.49467076116479985"/>
  </r>
  <r>
    <x v="1"/>
    <x v="4"/>
    <s v="Q3"/>
    <s v="XREAL"/>
    <s v="Air 2"/>
    <s v="AR see-through"/>
    <s v="Tethered"/>
    <x v="2"/>
    <x v="4"/>
    <s v="Sony"/>
    <m/>
    <n v="0.55000000000000004"/>
    <n v="1920"/>
    <n v="1080"/>
    <n v="4005.2857637859966"/>
    <n v="120"/>
    <d v="2023-09-01T00:00:00"/>
    <n v="2"/>
    <n v="7.5240000000000001E-2"/>
    <n v="4.1382000000000003"/>
  </r>
  <r>
    <x v="1"/>
    <x v="4"/>
    <s v="Q3"/>
    <s v="Meizu"/>
    <s v="MYVU"/>
    <s v="AR see-through"/>
    <s v="Standalone"/>
    <x v="7"/>
    <x v="10"/>
    <s v="JBD"/>
    <m/>
    <n v="0.13"/>
    <n v="640"/>
    <n v="480"/>
    <n v="6153.8461538461534"/>
    <s v="Unknown"/>
    <d v="2023-12-01T00:00:00"/>
    <n v="2"/>
    <n v="1.2E-2"/>
    <n v="0.89005381439999987"/>
  </r>
  <r>
    <x v="1"/>
    <x v="4"/>
    <s v="Q3"/>
    <s v="INMO"/>
    <s v="Go"/>
    <s v="AR see-through"/>
    <s v="Standalone"/>
    <x v="7"/>
    <x v="9"/>
    <s v="JBD"/>
    <m/>
    <n v="0.13"/>
    <n v="640"/>
    <n v="480"/>
    <n v="6153.8461538461534"/>
    <s v="Unknown"/>
    <d v="2023-09-01T00:00:00"/>
    <n v="1"/>
    <n v="5.4999999999999997E-3"/>
    <n v="0.4079413315999999"/>
  </r>
  <r>
    <x v="0"/>
    <x v="4"/>
    <s v="Q4"/>
    <s v="Apple"/>
    <s v="Vision Pro"/>
    <s v="AR passthrough"/>
    <s v="Standalone"/>
    <x v="2"/>
    <x v="4"/>
    <s v="Sony"/>
    <m/>
    <n v="1.42"/>
    <n v="3660"/>
    <n v="3200"/>
    <n v="3423.6942337059722"/>
    <n v="100"/>
    <d v="2024-02-01T00:00:00"/>
    <n v="2"/>
    <n v="0.31"/>
    <n v="80.599999999999994"/>
  </r>
  <r>
    <x v="0"/>
    <x v="4"/>
    <s v="Q4"/>
    <s v="Bigscreen"/>
    <s v="Beyond"/>
    <s v="VR"/>
    <s v="Tethered"/>
    <x v="2"/>
    <x v="4"/>
    <s v="SeeYa"/>
    <m/>
    <n v="1.03"/>
    <n v="2560"/>
    <n v="2560"/>
    <n v="3514.9385627913821"/>
    <n v="90"/>
    <m/>
    <n v="2"/>
    <n v="8.8000000000000005E-3"/>
    <n v="1.232"/>
  </r>
  <r>
    <x v="0"/>
    <x v="4"/>
    <s v="Q4"/>
    <s v="DPVR"/>
    <s v="P1 family"/>
    <s v="VR"/>
    <s v="Standalone"/>
    <x v="0"/>
    <x v="0"/>
    <s v="Unknown"/>
    <s v=" "/>
    <m/>
    <m/>
    <m/>
    <n v="0"/>
    <s v="Unknown"/>
    <d v="2019-11-01T00:00:00"/>
    <n v="1"/>
    <n v="9.1300000000000007E-4"/>
    <n v="5.0527327804799994E-2"/>
  </r>
  <r>
    <x v="0"/>
    <x v="4"/>
    <s v="Q4"/>
    <s v="HP"/>
    <s v="Reverb G2"/>
    <s v="VR"/>
    <s v="Tethered"/>
    <x v="0"/>
    <x v="1"/>
    <s v="Unknown"/>
    <s v=" "/>
    <n v="2.89"/>
    <n v="2160"/>
    <n v="2160"/>
    <n v="1056.990067379199"/>
    <n v="90"/>
    <d v="2020-11-01T00:00:00"/>
    <n v="2"/>
    <n v="2.2000000000000001E-4"/>
    <n v="8.1168398080000009E-3"/>
  </r>
  <r>
    <x v="0"/>
    <x v="4"/>
    <s v="Q4"/>
    <s v="HTC"/>
    <s v="Vive LCD headsets"/>
    <s v="VR"/>
    <s v="Standalone"/>
    <x v="0"/>
    <x v="1"/>
    <s v="JDI"/>
    <s v=" "/>
    <m/>
    <m/>
    <m/>
    <n v="0"/>
    <s v="Unknown"/>
    <d v="2019-10-01T00:00:00"/>
    <n v="2"/>
    <n v="2.4199999999999998E-3"/>
    <n v="8.9285237887999996E-2"/>
  </r>
  <r>
    <x v="0"/>
    <x v="4"/>
    <s v="Q4"/>
    <s v="Lenovo"/>
    <s v="ThinkReality VRX"/>
    <s v="AR passthrough"/>
    <s v="Standalone"/>
    <x v="0"/>
    <x v="1"/>
    <s v="Unknown"/>
    <m/>
    <m/>
    <m/>
    <m/>
    <n v="0"/>
    <s v="Unknown"/>
    <d v="2023-06-01T00:00:00"/>
    <n v="2"/>
    <n v="1.1000000000000001E-3"/>
    <n v="4.0584199040000005E-2"/>
  </r>
  <r>
    <x v="0"/>
    <x v="4"/>
    <s v="Q4"/>
    <s v="Meta"/>
    <s v="Quest 2"/>
    <s v="VR"/>
    <s v="Standalone"/>
    <x v="0"/>
    <x v="0"/>
    <s v="JDI"/>
    <s v="Sharp/BOE"/>
    <n v="5.5"/>
    <n v="3840"/>
    <n v="1832"/>
    <n v="773.56797048396322"/>
    <n v="90"/>
    <d v="2020-10-01T00:00:00"/>
    <n v="1"/>
    <n v="5.5329999999999997E-2"/>
    <n v="3.062077817567999"/>
  </r>
  <r>
    <x v="0"/>
    <x v="4"/>
    <s v="Q4"/>
    <s v="Meta"/>
    <s v="Quest 3"/>
    <s v="VR"/>
    <s v="Standalone"/>
    <x v="0"/>
    <x v="1"/>
    <s v="Sharp"/>
    <s v="JDI"/>
    <m/>
    <m/>
    <m/>
    <n v="0"/>
    <m/>
    <d v="2023-10-01T00:00:00"/>
    <n v="2"/>
    <n v="1.3859999999999999"/>
    <n v="51.136090790399997"/>
  </r>
  <r>
    <x v="0"/>
    <x v="4"/>
    <s v="Q4"/>
    <s v="Pico"/>
    <s v="Neo 3 / G3"/>
    <s v="VR"/>
    <s v="Standalone"/>
    <x v="0"/>
    <x v="0"/>
    <s v="JDI"/>
    <s v="Innolux"/>
    <n v="5.5"/>
    <n v="3840"/>
    <n v="1832"/>
    <n v="773.56797048396322"/>
    <n v="90"/>
    <d v="2021-05-01T00:00:00"/>
    <n v="1"/>
    <n v="1.661E-2"/>
    <n v="0.91923210825599977"/>
  </r>
  <r>
    <x v="0"/>
    <x v="4"/>
    <s v="Q4"/>
    <s v="Pico"/>
    <s v="Pico 4"/>
    <s v="VR"/>
    <s v="Standalone"/>
    <x v="0"/>
    <x v="1"/>
    <s v="Innolux"/>
    <m/>
    <n v="2.56"/>
    <n v="2160"/>
    <n v="2160"/>
    <n v="1193.242693252299"/>
    <n v="90"/>
    <d v="2022-09-01T00:00:00"/>
    <n v="2"/>
    <n v="0.14080000000000001"/>
    <n v="5.1947774771200006"/>
  </r>
  <r>
    <x v="0"/>
    <x v="4"/>
    <s v="Q4"/>
    <s v="Pimax"/>
    <s v="Pimax VR"/>
    <s v="VR"/>
    <s v="Tethered"/>
    <x v="0"/>
    <x v="1"/>
    <s v="BOE"/>
    <s v="Innolux"/>
    <m/>
    <m/>
    <m/>
    <n v="0"/>
    <s v="Unknown"/>
    <s v=" "/>
    <n v="2"/>
    <n v="1.32E-3"/>
    <n v="4.8701038848000006E-2"/>
  </r>
  <r>
    <x v="0"/>
    <x v="4"/>
    <s v="Q4"/>
    <s v="Sony"/>
    <s v="PlayStation VR2"/>
    <s v="VR"/>
    <s v="Tethered"/>
    <x v="1"/>
    <x v="2"/>
    <s v="SDC"/>
    <m/>
    <n v="3.36"/>
    <n v="2040"/>
    <n v="2000"/>
    <n v="850.25339693662363"/>
    <n v="120"/>
    <d v="2023-02-01T00:00:00"/>
    <n v="2"/>
    <n v="0.2"/>
    <n v="9.4119200000000003"/>
  </r>
  <r>
    <x v="0"/>
    <x v="4"/>
    <s v="Q4"/>
    <s v="Others"/>
    <s v="Single LCD VR headset"/>
    <s v="VR"/>
    <s v="Unknown"/>
    <x v="0"/>
    <x v="0"/>
    <s v="Unknown"/>
    <s v=" "/>
    <m/>
    <m/>
    <m/>
    <n v="0"/>
    <s v="Unknown"/>
    <s v=" "/>
    <n v="1"/>
    <n v="4.9500000000000002E-2"/>
    <n v="2.7394334351999996"/>
  </r>
  <r>
    <x v="0"/>
    <x v="4"/>
    <s v="Q4"/>
    <s v="Varjo"/>
    <s v="Bionic models"/>
    <s v="VR"/>
    <s v="Tethered"/>
    <x v="2"/>
    <x v="4"/>
    <s v="SeeYa"/>
    <m/>
    <n v="1.03"/>
    <n v="2560"/>
    <n v="2560"/>
    <n v="3514.9385627913821"/>
    <m/>
    <d v="2019-02-01T00:00:00"/>
    <n v="2"/>
    <n v="2.8159999999999999E-3"/>
    <n v="0.45163007999999999"/>
  </r>
  <r>
    <x v="0"/>
    <x v="4"/>
    <s v="Q4"/>
    <s v="Varjo"/>
    <s v="Aero"/>
    <s v="VR"/>
    <s v="Tethered"/>
    <x v="0"/>
    <x v="1"/>
    <s v="Unknown"/>
    <m/>
    <n v="3.2"/>
    <n v="2880"/>
    <n v="2720"/>
    <n v="1237.9418403139946"/>
    <n v="90"/>
    <d v="2021-10-01T00:00:00"/>
    <n v="2"/>
    <n v="8.8000000000000003E-4"/>
    <n v="4.8399999999999999E-2"/>
  </r>
  <r>
    <x v="0"/>
    <x v="4"/>
    <s v="Q4"/>
    <s v="Varjo"/>
    <s v="XR-4"/>
    <s v="VR"/>
    <s v="Tethered"/>
    <x v="0"/>
    <x v="1"/>
    <s v="CSOT"/>
    <m/>
    <n v="3.59"/>
    <n v="3840"/>
    <n v="3744"/>
    <n v="1493.9073665208787"/>
    <n v="90"/>
    <d v="2023-12-01T00:00:00"/>
    <n v="2"/>
    <n v="2.2000000000000001E-3"/>
    <n v="0.12100000000000001"/>
  </r>
  <r>
    <x v="1"/>
    <x v="4"/>
    <s v="Q4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1.056E-2"/>
    <n v="0.73919999999999997"/>
  </r>
  <r>
    <x v="1"/>
    <x v="4"/>
    <s v="Q4"/>
    <s v="Lenovo"/>
    <s v="T1"/>
    <s v="AR see-through"/>
    <s v="Tethered"/>
    <x v="2"/>
    <x v="4"/>
    <s v="SeeYa"/>
    <m/>
    <n v="0.49"/>
    <n v="1920"/>
    <n v="1080"/>
    <n v="4495.7289185353029"/>
    <n v="60"/>
    <d v="2022-11-01T00:00:00"/>
    <n v="2"/>
    <n v="6.6E-3"/>
    <n v="0.33"/>
  </r>
  <r>
    <x v="1"/>
    <x v="4"/>
    <s v="Q4"/>
    <s v="Magic Leap"/>
    <s v="ML 2"/>
    <s v="AR see-through"/>
    <s v="Standalone"/>
    <x v="4"/>
    <x v="6"/>
    <s v="Unknown"/>
    <m/>
    <m/>
    <n v="1440"/>
    <n v="1760"/>
    <n v="0"/>
    <s v="Unknown"/>
    <d v="2022-09-01T00:00:00"/>
    <n v="2"/>
    <n v="6.6E-4"/>
    <n v="2.9163694863600001E-2"/>
  </r>
  <r>
    <x v="1"/>
    <x v="4"/>
    <s v="Q4"/>
    <s v="Rokid"/>
    <s v="Air"/>
    <s v="AR see-through"/>
    <s v="Tethered"/>
    <x v="2"/>
    <x v="4"/>
    <s v="SeeYa"/>
    <m/>
    <n v="0.49"/>
    <n v="1920"/>
    <n v="1080"/>
    <n v="4495.7289185353029"/>
    <n v="75"/>
    <d v="2021-11-01T00:00:00"/>
    <n v="2"/>
    <n v="2.2000000000000001E-3"/>
    <n v="0.11"/>
  </r>
  <r>
    <x v="1"/>
    <x v="4"/>
    <s v="Q4"/>
    <s v="Rokid"/>
    <s v="Max"/>
    <s v="AR see-through"/>
    <s v="Tethered"/>
    <x v="2"/>
    <x v="4"/>
    <s v="Sony"/>
    <m/>
    <n v="0.55000000000000004"/>
    <n v="1920"/>
    <n v="1080"/>
    <n v="4005.2857637859966"/>
    <n v="120"/>
    <d v="2023-04-01T00:00:00"/>
    <n v="2"/>
    <n v="1.54E-2"/>
    <n v="0.84699999999999998"/>
  </r>
  <r>
    <x v="1"/>
    <x v="4"/>
    <s v="Q4"/>
    <s v="TCL"/>
    <s v="NXTWear"/>
    <s v="AR see-through"/>
    <s v="Tethered"/>
    <x v="2"/>
    <x v="4"/>
    <s v="Sony"/>
    <m/>
    <n v="0.55000000000000004"/>
    <n v="1920"/>
    <n v="1080"/>
    <n v="4005.2857637859966"/>
    <s v="Unknown"/>
    <d v="2022-11-01T00:00:00"/>
    <n v="2"/>
    <n v="4.6200000000000005E-2"/>
    <n v="2.5410000000000004"/>
  </r>
  <r>
    <x v="1"/>
    <x v="4"/>
    <s v="Q4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1.1E-4"/>
    <n v="8.7702415712999984E-3"/>
  </r>
  <r>
    <x v="1"/>
    <x v="4"/>
    <s v="Q4"/>
    <s v="Vuzix"/>
    <s v="Shield"/>
    <s v="AR see-through"/>
    <s v="Standalone"/>
    <x v="7"/>
    <x v="10"/>
    <s v="JBD"/>
    <m/>
    <n v="0.13"/>
    <n v="640"/>
    <n v="480"/>
    <n v="6153.8461538461534"/>
    <s v="Unknown"/>
    <d v="2022-12-01T00:00:00"/>
    <n v="2"/>
    <n v="2.2000000000000001E-4"/>
    <n v="1.6317653263999997E-2"/>
  </r>
  <r>
    <x v="1"/>
    <x v="4"/>
    <s v="Q4"/>
    <s v="Others"/>
    <s v="Binocular MicroLED"/>
    <s v="AR see-through"/>
    <s v="Unknown"/>
    <x v="7"/>
    <x v="10"/>
    <s v="Unknown"/>
    <m/>
    <m/>
    <m/>
    <m/>
    <n v="0"/>
    <s v="Unknown"/>
    <s v=" "/>
    <n v="2"/>
    <n v="2.2000000000000001E-3"/>
    <n v="0.16317653263999998"/>
  </r>
  <r>
    <x v="1"/>
    <x v="4"/>
    <s v="Q4"/>
    <s v="Others"/>
    <s v="LCoS glasses"/>
    <s v="AR see-through"/>
    <s v="Unknown"/>
    <x v="4"/>
    <x v="6"/>
    <s v="Unknown"/>
    <m/>
    <m/>
    <m/>
    <m/>
    <n v="0"/>
    <s v="Unknown"/>
    <s v=" "/>
    <n v="2"/>
    <n v="4.4000000000000003E-3"/>
    <n v="0.19442463242400002"/>
  </r>
  <r>
    <x v="1"/>
    <x v="4"/>
    <s v="Q4"/>
    <s v="Others"/>
    <s v="Monocular MicroLED"/>
    <s v="AR see-through"/>
    <s v="Unknown"/>
    <x v="7"/>
    <x v="9"/>
    <s v="Unknown"/>
    <m/>
    <m/>
    <m/>
    <m/>
    <n v="0"/>
    <s v="Unknown"/>
    <s v=" "/>
    <n v="1"/>
    <n v="1.1E-4"/>
    <n v="8.1588266319999984E-3"/>
  </r>
  <r>
    <x v="1"/>
    <x v="4"/>
    <s v="Q4"/>
    <s v="Others"/>
    <s v="SiOLED glasses"/>
    <s v="AR see-through"/>
    <s v="Unknown"/>
    <x v="2"/>
    <x v="4"/>
    <s v="Unknown"/>
    <m/>
    <m/>
    <m/>
    <m/>
    <n v="0"/>
    <s v="Unknown"/>
    <s v=" "/>
    <n v="2"/>
    <n v="1.474E-2"/>
    <n v="1.0902283223039997"/>
  </r>
  <r>
    <x v="1"/>
    <x v="4"/>
    <s v="Q4"/>
    <s v="XREAL"/>
    <s v="Air 2"/>
    <s v="AR see-through"/>
    <s v="Tethered"/>
    <x v="2"/>
    <x v="4"/>
    <s v="Sony"/>
    <m/>
    <n v="0.55000000000000004"/>
    <n v="1920"/>
    <n v="1080"/>
    <n v="4005.2857637859966"/>
    <n v="120"/>
    <d v="2023-09-01T00:00:00"/>
    <n v="2"/>
    <n v="5.3240000000000003E-2"/>
    <n v="2.9282000000000004"/>
  </r>
  <r>
    <x v="1"/>
    <x v="4"/>
    <s v="Q4"/>
    <s v="INMO"/>
    <s v="Go"/>
    <s v="AR see-through"/>
    <s v="Standalone"/>
    <x v="7"/>
    <x v="9"/>
    <s v="JBD"/>
    <m/>
    <n v="0.13"/>
    <n v="640"/>
    <n v="480"/>
    <n v="6153.8461538461534"/>
    <s v="Unknown"/>
    <d v="2023-09-01T00:00:00"/>
    <n v="1"/>
    <n v="4.4000000000000003E-3"/>
    <n v="0.32635306527999997"/>
  </r>
  <r>
    <x v="0"/>
    <x v="5"/>
    <s v="Q1"/>
    <s v="Apple"/>
    <s v="Vision Pro"/>
    <s v="AR passthrough"/>
    <s v="Standalone"/>
    <x v="2"/>
    <x v="4"/>
    <s v="Sony"/>
    <m/>
    <n v="1.42"/>
    <n v="3660"/>
    <n v="3200"/>
    <n v="3423.6942337059722"/>
    <n v="100"/>
    <d v="2024-02-01T00:00:00"/>
    <n v="2"/>
    <n v="0.4"/>
    <n v="92"/>
  </r>
  <r>
    <x v="0"/>
    <x v="5"/>
    <s v="Q1"/>
    <s v="Bigscreen"/>
    <s v="Beyond"/>
    <s v="VR"/>
    <s v="Tethered"/>
    <x v="2"/>
    <x v="4"/>
    <s v="SeeYa"/>
    <m/>
    <n v="1.03"/>
    <n v="2560"/>
    <n v="2560"/>
    <n v="3514.9385627913821"/>
    <n v="90"/>
    <m/>
    <n v="2"/>
    <n v="3.2399999999999998E-2"/>
    <n v="3.726"/>
  </r>
  <r>
    <x v="0"/>
    <x v="5"/>
    <s v="Q1"/>
    <s v="DPVR"/>
    <s v="P1 family"/>
    <s v="VR"/>
    <s v="Standalone"/>
    <x v="0"/>
    <x v="0"/>
    <s v="Unknown"/>
    <s v=" "/>
    <m/>
    <m/>
    <m/>
    <n v="0"/>
    <s v="Unknown"/>
    <d v="2019-11-01T00:00:00"/>
    <n v="1"/>
    <n v="7.7000000000000002E-3"/>
    <n v="0.41761140812159991"/>
  </r>
  <r>
    <x v="0"/>
    <x v="5"/>
    <s v="Q1"/>
    <s v="HP"/>
    <s v="Reverb G2"/>
    <s v="VR"/>
    <s v="Tethered"/>
    <x v="0"/>
    <x v="1"/>
    <s v="Unknown"/>
    <s v=" "/>
    <n v="2.89"/>
    <n v="2160"/>
    <n v="2160"/>
    <n v="1056.990067379199"/>
    <n v="90"/>
    <d v="2020-11-01T00:00:00"/>
    <n v="2"/>
    <n v="2.2000000000000001E-4"/>
    <n v="7.9545030118400011E-3"/>
  </r>
  <r>
    <x v="0"/>
    <x v="5"/>
    <s v="Q1"/>
    <s v="HTC"/>
    <s v="Vive LCD headsets"/>
    <s v="VR"/>
    <s v="Standalone"/>
    <x v="0"/>
    <x v="1"/>
    <s v="JDI"/>
    <s v=" "/>
    <m/>
    <m/>
    <m/>
    <n v="0"/>
    <s v="Unknown"/>
    <d v="2019-10-01T00:00:00"/>
    <n v="2"/>
    <n v="1.1000000000000001E-3"/>
    <n v="3.9772515059200007E-2"/>
  </r>
  <r>
    <x v="0"/>
    <x v="5"/>
    <s v="Q1"/>
    <s v="Lenovo"/>
    <s v="ThinkReality VRX"/>
    <s v="AR passthrough"/>
    <s v="Standalone"/>
    <x v="0"/>
    <x v="1"/>
    <s v="Unknown"/>
    <m/>
    <m/>
    <m/>
    <m/>
    <n v="0"/>
    <s v="Unknown"/>
    <d v="2023-06-01T00:00:00"/>
    <n v="2"/>
    <n v="4.4000000000000002E-4"/>
    <n v="1.5909006023680002E-2"/>
  </r>
  <r>
    <x v="0"/>
    <x v="5"/>
    <s v="Q1"/>
    <s v="Meta"/>
    <s v="Quest 2"/>
    <s v="VR"/>
    <s v="Standalone"/>
    <x v="0"/>
    <x v="0"/>
    <s v="JDI"/>
    <s v="Sharp/BOE"/>
    <n v="5.5"/>
    <n v="3840"/>
    <n v="1832"/>
    <n v="773.56797048396322"/>
    <n v="90"/>
    <d v="2020-10-01T00:00:00"/>
    <n v="1"/>
    <n v="0.04"/>
    <n v="2.1694099123199995"/>
  </r>
  <r>
    <x v="0"/>
    <x v="5"/>
    <s v="Q1"/>
    <s v="Meta"/>
    <s v="Quest 3"/>
    <s v="VR"/>
    <s v="Standalone"/>
    <x v="0"/>
    <x v="1"/>
    <s v="Sharp"/>
    <s v="JDI"/>
    <m/>
    <m/>
    <m/>
    <n v="0"/>
    <m/>
    <d v="2023-10-01T00:00:00"/>
    <n v="2"/>
    <n v="1.1000000000000001"/>
    <n v="39.772515059200011"/>
  </r>
  <r>
    <x v="0"/>
    <x v="5"/>
    <s v="Q1"/>
    <s v="Pico"/>
    <s v="Neo 3 / G3"/>
    <s v="VR"/>
    <s v="Standalone"/>
    <x v="0"/>
    <x v="0"/>
    <s v="JDI"/>
    <s v="Innolux"/>
    <n v="5.5"/>
    <n v="3840"/>
    <n v="1832"/>
    <n v="773.56797048396322"/>
    <n v="90"/>
    <d v="2021-05-01T00:00:00"/>
    <n v="1"/>
    <n v="6.6E-3"/>
    <n v="0.35795263553279993"/>
  </r>
  <r>
    <x v="0"/>
    <x v="5"/>
    <s v="Q1"/>
    <s v="Pico"/>
    <s v="Pico 4"/>
    <s v="VR"/>
    <s v="Standalone"/>
    <x v="0"/>
    <x v="1"/>
    <s v="Innolux"/>
    <m/>
    <n v="2.56"/>
    <n v="2160"/>
    <n v="2160"/>
    <n v="1193.242693252299"/>
    <n v="90"/>
    <d v="2022-09-01T00:00:00"/>
    <n v="2"/>
    <n v="0.1716"/>
    <n v="6.204512349235201"/>
  </r>
  <r>
    <x v="0"/>
    <x v="5"/>
    <s v="Q1"/>
    <s v="Pimax"/>
    <s v="Pimax VR"/>
    <s v="VR"/>
    <s v="Tethered"/>
    <x v="0"/>
    <x v="1"/>
    <s v="BOE"/>
    <s v="Innolux"/>
    <m/>
    <m/>
    <m/>
    <n v="0"/>
    <s v="Unknown"/>
    <s v=" "/>
    <n v="2"/>
    <n v="1.32E-3"/>
    <n v="4.7727018071040003E-2"/>
  </r>
  <r>
    <x v="0"/>
    <x v="5"/>
    <s v="Q1"/>
    <s v="Others"/>
    <s v="Single LCD VR headset"/>
    <s v="VR"/>
    <s v="Unknown"/>
    <x v="0"/>
    <x v="0"/>
    <s v="Unknown"/>
    <s v=" "/>
    <m/>
    <m/>
    <m/>
    <n v="0"/>
    <s v="Unknown"/>
    <s v=" "/>
    <n v="1"/>
    <n v="3.5584999999999999E-2"/>
    <n v="1.9299612932476795"/>
  </r>
  <r>
    <x v="0"/>
    <x v="5"/>
    <s v="Q1"/>
    <s v="Varjo"/>
    <s v="Bionic models"/>
    <s v="VR"/>
    <s v="Tethered"/>
    <x v="2"/>
    <x v="4"/>
    <s v="SeeYa"/>
    <m/>
    <n v="1.03"/>
    <n v="2560"/>
    <n v="2560"/>
    <n v="3514.9385627913821"/>
    <m/>
    <d v="2019-02-01T00:00:00"/>
    <n v="2"/>
    <n v="2.64E-3"/>
    <n v="0.34719062400000006"/>
  </r>
  <r>
    <x v="0"/>
    <x v="5"/>
    <s v="Q1"/>
    <s v="Varjo"/>
    <s v="Aero"/>
    <s v="VR"/>
    <s v="Tethered"/>
    <x v="0"/>
    <x v="1"/>
    <s v="Unknown"/>
    <m/>
    <n v="3.2"/>
    <n v="2880"/>
    <n v="2720"/>
    <n v="1237.9418403139946"/>
    <n v="90"/>
    <d v="2021-10-01T00:00:00"/>
    <n v="2"/>
    <n v="4.4000000000000002E-4"/>
    <n v="2.4199999999999999E-2"/>
  </r>
  <r>
    <x v="0"/>
    <x v="5"/>
    <s v="Q1"/>
    <s v="Varjo"/>
    <s v="XR-4"/>
    <s v="VR"/>
    <s v="Tethered"/>
    <x v="0"/>
    <x v="1"/>
    <s v="CSOT"/>
    <m/>
    <n v="3.59"/>
    <n v="3840"/>
    <n v="3744"/>
    <n v="1493.9073665208787"/>
    <n v="90"/>
    <d v="2023-12-01T00:00:00"/>
    <n v="2"/>
    <n v="2.2000000000000001E-3"/>
    <n v="0.12100000000000001"/>
  </r>
  <r>
    <x v="1"/>
    <x v="5"/>
    <s v="Q1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9.4600000000000014E-3"/>
    <n v="0.61490000000000011"/>
  </r>
  <r>
    <x v="1"/>
    <x v="5"/>
    <s v="Q1"/>
    <s v="Lenovo"/>
    <s v="T1"/>
    <s v="AR see-through"/>
    <s v="Tethered"/>
    <x v="2"/>
    <x v="4"/>
    <s v="SeeYa"/>
    <m/>
    <n v="0.49"/>
    <n v="1920"/>
    <n v="1080"/>
    <n v="4495.7289185353029"/>
    <n v="60"/>
    <d v="2022-11-01T00:00:00"/>
    <n v="2"/>
    <n v="6.6E-3"/>
    <n v="0.33"/>
  </r>
  <r>
    <x v="1"/>
    <x v="5"/>
    <s v="Q1"/>
    <s v="Rokid"/>
    <s v="Air"/>
    <s v="AR see-through"/>
    <s v="Tethered"/>
    <x v="2"/>
    <x v="4"/>
    <s v="SeeYa"/>
    <m/>
    <n v="0.49"/>
    <n v="1920"/>
    <n v="1080"/>
    <n v="4495.7289185353029"/>
    <n v="75"/>
    <d v="2021-11-01T00:00:00"/>
    <n v="2"/>
    <n v="1.8E-3"/>
    <n v="0.09"/>
  </r>
  <r>
    <x v="1"/>
    <x v="5"/>
    <s v="Q1"/>
    <s v="Rokid"/>
    <s v="Max"/>
    <s v="AR see-through"/>
    <s v="Tethered"/>
    <x v="2"/>
    <x v="4"/>
    <s v="Sony"/>
    <m/>
    <n v="0.55000000000000004"/>
    <n v="1920"/>
    <n v="1080"/>
    <n v="4005.2857637859966"/>
    <n v="120"/>
    <d v="2023-04-01T00:00:00"/>
    <n v="2"/>
    <n v="6.6E-3"/>
    <n v="0.36299999999999999"/>
  </r>
  <r>
    <x v="1"/>
    <x v="5"/>
    <s v="Q1"/>
    <s v="TCL"/>
    <s v="NXTWear"/>
    <s v="AR see-through"/>
    <s v="Tethered"/>
    <x v="2"/>
    <x v="4"/>
    <s v="Sony"/>
    <m/>
    <n v="0.55000000000000004"/>
    <n v="1920"/>
    <n v="1080"/>
    <n v="4005.2857637859966"/>
    <s v="Unknown"/>
    <d v="2022-11-01T00:00:00"/>
    <n v="2"/>
    <n v="4.0259999999999997E-2"/>
    <n v="2.2142999999999997"/>
  </r>
  <r>
    <x v="1"/>
    <x v="5"/>
    <s v="Q1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1.1E-4"/>
    <n v="8.6825391555869994E-3"/>
  </r>
  <r>
    <x v="1"/>
    <x v="5"/>
    <s v="Q1"/>
    <s v="Vuzix"/>
    <s v="Shield"/>
    <s v="AR see-through"/>
    <s v="Standalone"/>
    <x v="7"/>
    <x v="10"/>
    <s v="JBD"/>
    <m/>
    <n v="0.13"/>
    <n v="640"/>
    <n v="480"/>
    <n v="6153.8461538461534"/>
    <s v="Unknown"/>
    <d v="2022-12-01T00:00:00"/>
    <n v="2"/>
    <n v="4.4000000000000002E-4"/>
    <n v="3.0677188136319995E-2"/>
  </r>
  <r>
    <x v="1"/>
    <x v="5"/>
    <s v="Q1"/>
    <s v="Others"/>
    <s v="Binocular MicroLED"/>
    <s v="AR see-through"/>
    <s v="Unknown"/>
    <x v="7"/>
    <x v="10"/>
    <s v="Unknown"/>
    <m/>
    <m/>
    <m/>
    <m/>
    <n v="0"/>
    <s v="Unknown"/>
    <s v=" "/>
    <n v="2"/>
    <n v="1.7600000000000001E-3"/>
    <n v="0.12270875254527998"/>
  </r>
  <r>
    <x v="1"/>
    <x v="5"/>
    <s v="Q1"/>
    <s v="Others"/>
    <s v="LCoS glasses"/>
    <s v="AR see-through"/>
    <s v="Unknown"/>
    <x v="4"/>
    <x v="6"/>
    <s v="Unknown"/>
    <m/>
    <m/>
    <m/>
    <m/>
    <n v="0"/>
    <s v="Unknown"/>
    <s v=" "/>
    <n v="2"/>
    <n v="4.4000000000000003E-3"/>
    <n v="0.19248038609976001"/>
  </r>
  <r>
    <x v="1"/>
    <x v="5"/>
    <s v="Q1"/>
    <s v="XREAL"/>
    <s v="Air"/>
    <s v="AR see-through"/>
    <s v="Tethered"/>
    <x v="2"/>
    <x v="4"/>
    <s v="BOE"/>
    <m/>
    <n v="0.71"/>
    <n v="1920"/>
    <n v="1080"/>
    <n v="3102.6861550454905"/>
    <n v="90"/>
    <d v="2021-10-01T00:00:00"/>
    <n v="2"/>
    <n v="6.6E-3"/>
    <n v="0.46375383859199987"/>
  </r>
  <r>
    <x v="1"/>
    <x v="5"/>
    <s v="Q1"/>
    <s v="XREAL"/>
    <s v="Air 2"/>
    <s v="AR see-through"/>
    <s v="Tethered"/>
    <x v="2"/>
    <x v="4"/>
    <s v="Sony"/>
    <m/>
    <n v="0.55000000000000004"/>
    <n v="1920"/>
    <n v="1080"/>
    <n v="4005.2857637859966"/>
    <n v="120"/>
    <d v="2023-09-01T00:00:00"/>
    <n v="2"/>
    <n v="6.613200000000001E-2"/>
    <n v="3.6372600000000004"/>
  </r>
  <r>
    <x v="1"/>
    <x v="5"/>
    <s v="Q1"/>
    <s v="Meizu"/>
    <s v="MYVU"/>
    <s v="AR see-through"/>
    <s v="Standalone"/>
    <x v="7"/>
    <x v="10"/>
    <s v="JBD"/>
    <m/>
    <n v="0.13"/>
    <n v="640"/>
    <n v="480"/>
    <n v="6153.8461538461534"/>
    <s v="Unknown"/>
    <d v="2023-12-01T00:00:00"/>
    <n v="2"/>
    <n v="2.5000000000000001E-3"/>
    <n v="0.17430220531999996"/>
  </r>
  <r>
    <x v="1"/>
    <x v="5"/>
    <s v="Q1"/>
    <s v="INMO"/>
    <s v="Go"/>
    <s v="AR see-through"/>
    <s v="Standalone"/>
    <x v="7"/>
    <x v="9"/>
    <s v="JBD"/>
    <m/>
    <n v="0.13"/>
    <n v="640"/>
    <n v="480"/>
    <n v="6153.8461538461534"/>
    <s v="Unknown"/>
    <d v="2023-09-01T00:00:00"/>
    <n v="1"/>
    <n v="2.2000000000000001E-3"/>
    <n v="0.15338594068159997"/>
  </r>
  <r>
    <x v="1"/>
    <x v="5"/>
    <s v="Q1"/>
    <s v="Vuzix"/>
    <s v="Z100"/>
    <s v="AR see-through"/>
    <s v="Tethered"/>
    <x v="7"/>
    <x v="9"/>
    <s v="JBD"/>
    <m/>
    <n v="0.13"/>
    <n v="640"/>
    <n v="480"/>
    <n v="6153.8461538461534"/>
    <s v="Unknown"/>
    <d v="2024-11-01T00:00:00"/>
    <n v="1"/>
    <n v="1E-4"/>
    <n v="6.9720882127999985E-3"/>
  </r>
  <r>
    <x v="1"/>
    <x v="5"/>
    <s v="Q1"/>
    <s v="Viture"/>
    <s v="Viture Pro"/>
    <s v="AR see-through"/>
    <s v="Tethered"/>
    <x v="2"/>
    <x v="4"/>
    <s v="Sony"/>
    <m/>
    <n v="0.55000000000000004"/>
    <n v="1920"/>
    <n v="1080"/>
    <n v="4005.2857637859966"/>
    <n v="120"/>
    <d v="2024-06-01T00:00:00"/>
    <n v="2"/>
    <n v="1.6500000000000001E-2"/>
    <n v="0.90750000000000008"/>
  </r>
  <r>
    <x v="0"/>
    <x v="5"/>
    <s v="Q2"/>
    <s v="Apple"/>
    <s v="Vision Pro"/>
    <s v="AR passthrough"/>
    <s v="Standalone"/>
    <x v="2"/>
    <x v="4"/>
    <s v="Sony"/>
    <m/>
    <n v="1.42"/>
    <n v="3660"/>
    <n v="3200"/>
    <n v="3423.6942337059722"/>
    <n v="100"/>
    <d v="2024-02-01T00:00:00"/>
    <n v="2"/>
    <n v="0.3"/>
    <n v="69"/>
  </r>
  <r>
    <x v="0"/>
    <x v="5"/>
    <s v="Q2"/>
    <s v="Bigscreen"/>
    <s v="Beyond"/>
    <s v="VR"/>
    <s v="Tethered"/>
    <x v="2"/>
    <x v="4"/>
    <s v="SeeYa"/>
    <m/>
    <n v="1.03"/>
    <n v="2560"/>
    <n v="2560"/>
    <n v="3514.9385627913821"/>
    <n v="90"/>
    <m/>
    <n v="2"/>
    <n v="3.3000000000000002E-2"/>
    <n v="3.7950000000000004"/>
  </r>
  <r>
    <x v="0"/>
    <x v="5"/>
    <s v="Q2"/>
    <s v="HTC"/>
    <s v="Vive LCD headsets"/>
    <s v="VR"/>
    <s v="Standalone"/>
    <x v="0"/>
    <x v="1"/>
    <s v="JDI"/>
    <s v=" "/>
    <m/>
    <m/>
    <m/>
    <n v="0"/>
    <s v="Unknown"/>
    <d v="2019-10-01T00:00:00"/>
    <n v="2"/>
    <n v="2.7499999999999998E-3"/>
    <n v="9.9431287648000008E-2"/>
  </r>
  <r>
    <x v="0"/>
    <x v="5"/>
    <s v="Q2"/>
    <s v="Lenovo"/>
    <s v="ThinkReality VRX"/>
    <s v="AR passthrough"/>
    <s v="Standalone"/>
    <x v="0"/>
    <x v="1"/>
    <s v="Unknown"/>
    <m/>
    <m/>
    <m/>
    <m/>
    <n v="0"/>
    <s v="Unknown"/>
    <d v="2023-06-01T00:00:00"/>
    <n v="2"/>
    <n v="2.2000000000000001E-3"/>
    <n v="7.9545030118400015E-2"/>
  </r>
  <r>
    <x v="0"/>
    <x v="5"/>
    <s v="Q2"/>
    <s v="Meta"/>
    <s v="Quest 3"/>
    <s v="VR"/>
    <s v="Standalone"/>
    <x v="0"/>
    <x v="1"/>
    <s v="Sharp"/>
    <s v="JDI"/>
    <m/>
    <m/>
    <m/>
    <n v="0"/>
    <m/>
    <d v="2023-10-01T00:00:00"/>
    <n v="2"/>
    <n v="1.1000000000000001"/>
    <n v="39.772515059200011"/>
  </r>
  <r>
    <x v="0"/>
    <x v="5"/>
    <s v="Q2"/>
    <s v="Pico"/>
    <s v="Pico 4"/>
    <s v="VR"/>
    <s v="Standalone"/>
    <x v="0"/>
    <x v="1"/>
    <s v="Innolux"/>
    <m/>
    <n v="2.56"/>
    <n v="2160"/>
    <n v="2160"/>
    <n v="1193.242693252299"/>
    <n v="90"/>
    <d v="2022-09-01T00:00:00"/>
    <n v="2"/>
    <n v="0.14849999999999999"/>
    <n v="5.3692895329920001"/>
  </r>
  <r>
    <x v="0"/>
    <x v="5"/>
    <s v="Q2"/>
    <s v="Others"/>
    <s v="Single LCD VR headset"/>
    <s v="VR"/>
    <s v="Unknown"/>
    <x v="0"/>
    <x v="0"/>
    <s v="Unknown"/>
    <s v=" "/>
    <m/>
    <m/>
    <m/>
    <n v="0"/>
    <s v="Unknown"/>
    <s v=" "/>
    <n v="1"/>
    <n v="2.145E-2"/>
    <n v="1.1633460654815997"/>
  </r>
  <r>
    <x v="0"/>
    <x v="5"/>
    <s v="Q2"/>
    <s v="Varjo"/>
    <s v="Bionic models"/>
    <s v="VR"/>
    <s v="Tethered"/>
    <x v="2"/>
    <x v="4"/>
    <s v="SeeYa"/>
    <m/>
    <n v="1.03"/>
    <n v="2560"/>
    <n v="2560"/>
    <n v="3514.9385627913821"/>
    <m/>
    <d v="2019-02-01T00:00:00"/>
    <n v="2"/>
    <n v="1.7160000000000001E-3"/>
    <n v="0.22567390560000003"/>
  </r>
  <r>
    <x v="0"/>
    <x v="5"/>
    <s v="Q2"/>
    <s v="Varjo"/>
    <s v="Aero"/>
    <s v="VR"/>
    <s v="Tethered"/>
    <x v="0"/>
    <x v="1"/>
    <s v="Unknown"/>
    <m/>
    <n v="3.2"/>
    <n v="2880"/>
    <n v="2720"/>
    <n v="1237.9418403139946"/>
    <n v="90"/>
    <d v="2021-10-01T00:00:00"/>
    <n v="2"/>
    <n v="2.2000000000000001E-4"/>
    <n v="1.21E-2"/>
  </r>
  <r>
    <x v="0"/>
    <x v="5"/>
    <s v="Q2"/>
    <s v="Varjo"/>
    <s v="XR-4"/>
    <s v="VR"/>
    <s v="Tethered"/>
    <x v="0"/>
    <x v="1"/>
    <s v="CSOT"/>
    <m/>
    <n v="3.59"/>
    <n v="3840"/>
    <n v="3744"/>
    <n v="1493.9073665208787"/>
    <n v="90"/>
    <d v="2023-12-01T00:00:00"/>
    <n v="2"/>
    <n v="2E-3"/>
    <n v="0.11"/>
  </r>
  <r>
    <x v="0"/>
    <x v="5"/>
    <s v="Q2"/>
    <s v="Meta"/>
    <s v="Quest 3S"/>
    <s v="VR"/>
    <s v="Standalone"/>
    <x v="0"/>
    <x v="0"/>
    <s v="JDI"/>
    <s v="Sharp"/>
    <n v="5.5"/>
    <n v="3840"/>
    <n v="1832"/>
    <n v="773.56797048396322"/>
    <n v="120"/>
    <d v="2024-10-01T00:00:00"/>
    <n v="1"/>
    <n v="1.2"/>
    <n v="64.8"/>
  </r>
  <r>
    <x v="1"/>
    <x v="5"/>
    <s v="Q2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5.0599999999999994E-3"/>
    <n v="0.32889999999999997"/>
  </r>
  <r>
    <x v="1"/>
    <x v="5"/>
    <s v="Q2"/>
    <s v="Rokid"/>
    <s v="Max"/>
    <s v="AR see-through"/>
    <s v="Tethered"/>
    <x v="2"/>
    <x v="4"/>
    <s v="Sony"/>
    <m/>
    <n v="0.55000000000000004"/>
    <n v="1920"/>
    <n v="1080"/>
    <n v="4005.2857637859966"/>
    <n v="120"/>
    <d v="2023-04-01T00:00:00"/>
    <n v="2"/>
    <n v="6.6E-3"/>
    <n v="0.36299999999999999"/>
  </r>
  <r>
    <x v="1"/>
    <x v="5"/>
    <s v="Q2"/>
    <s v="TCL"/>
    <s v="NXTWear"/>
    <s v="AR see-through"/>
    <s v="Tethered"/>
    <x v="2"/>
    <x v="4"/>
    <s v="Sony"/>
    <m/>
    <n v="0.55000000000000004"/>
    <n v="1920"/>
    <n v="1080"/>
    <n v="4005.2857637859966"/>
    <s v="Unknown"/>
    <d v="2022-11-01T00:00:00"/>
    <n v="2"/>
    <n v="4.5319999999999999E-2"/>
    <n v="2.4925999999999999"/>
  </r>
  <r>
    <x v="1"/>
    <x v="5"/>
    <s v="Q2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5.5000000000000002E-5"/>
    <n v="4.3412695777934997E-3"/>
  </r>
  <r>
    <x v="1"/>
    <x v="5"/>
    <s v="Q2"/>
    <s v="Vuzix"/>
    <s v="Shield"/>
    <s v="AR see-through"/>
    <s v="Standalone"/>
    <x v="7"/>
    <x v="10"/>
    <s v="JBD"/>
    <m/>
    <n v="0.13"/>
    <n v="640"/>
    <n v="480"/>
    <n v="6153.8461538461534"/>
    <s v="Unknown"/>
    <d v="2022-12-01T00:00:00"/>
    <n v="2"/>
    <n v="1.76E-4"/>
    <n v="1.2270875254527996E-2"/>
  </r>
  <r>
    <x v="1"/>
    <x v="5"/>
    <s v="Q2"/>
    <s v="Others"/>
    <s v="Binocular MicroLED"/>
    <s v="AR see-through"/>
    <s v="Unknown"/>
    <x v="7"/>
    <x v="10"/>
    <s v="Unknown"/>
    <m/>
    <m/>
    <m/>
    <m/>
    <n v="0"/>
    <s v="Unknown"/>
    <s v=" "/>
    <n v="2"/>
    <n v="6.6E-4"/>
    <n v="4.6015782204479987E-2"/>
  </r>
  <r>
    <x v="1"/>
    <x v="5"/>
    <s v="Q2"/>
    <s v="Others"/>
    <s v="LCoS glasses"/>
    <s v="AR see-through"/>
    <s v="Unknown"/>
    <x v="4"/>
    <x v="6"/>
    <s v="Unknown"/>
    <m/>
    <m/>
    <m/>
    <m/>
    <n v="0"/>
    <s v="Unknown"/>
    <s v=" "/>
    <n v="2"/>
    <n v="4.4000000000000002E-4"/>
    <n v="1.9248038609976002E-2"/>
  </r>
  <r>
    <x v="1"/>
    <x v="5"/>
    <s v="Q2"/>
    <s v="Others"/>
    <s v="SiOLED glasses"/>
    <s v="AR see-through"/>
    <s v="Unknown"/>
    <x v="2"/>
    <x v="4"/>
    <s v="Unknown"/>
    <m/>
    <m/>
    <m/>
    <m/>
    <n v="0"/>
    <s v="Unknown"/>
    <s v=" "/>
    <n v="2"/>
    <n v="2.3800000000000002E-2"/>
    <n v="1.5470000000000002"/>
  </r>
  <r>
    <x v="1"/>
    <x v="5"/>
    <s v="Q2"/>
    <s v="XREAL"/>
    <s v="Air"/>
    <s v="AR see-through"/>
    <s v="Tethered"/>
    <x v="2"/>
    <x v="4"/>
    <s v="BOE"/>
    <m/>
    <n v="0.71"/>
    <n v="1920"/>
    <n v="1080"/>
    <n v="3102.6861550454905"/>
    <n v="90"/>
    <d v="2021-10-01T00:00:00"/>
    <n v="2"/>
    <n v="1.0999999999999999E-2"/>
    <n v="0.77292306431999969"/>
  </r>
  <r>
    <x v="1"/>
    <x v="5"/>
    <s v="Q2"/>
    <s v="XREAL"/>
    <s v="Air 2"/>
    <s v="AR see-through"/>
    <s v="Tethered"/>
    <x v="2"/>
    <x v="4"/>
    <s v="Sony"/>
    <m/>
    <n v="0.55000000000000004"/>
    <n v="1920"/>
    <n v="1080"/>
    <n v="4005.2857637859966"/>
    <n v="120"/>
    <d v="2023-09-01T00:00:00"/>
    <n v="2"/>
    <n v="8.14E-2"/>
    <n v="4.4770000000000003"/>
  </r>
  <r>
    <x v="1"/>
    <x v="5"/>
    <s v="Q2"/>
    <s v="INMO"/>
    <s v="Go"/>
    <s v="AR see-through"/>
    <s v="Standalone"/>
    <x v="7"/>
    <x v="9"/>
    <s v="JBD"/>
    <m/>
    <n v="0.13"/>
    <n v="640"/>
    <n v="480"/>
    <n v="6153.8461538461534"/>
    <s v="Unknown"/>
    <d v="2023-09-01T00:00:00"/>
    <n v="1"/>
    <n v="8.8000000000000003E-4"/>
    <n v="6.1354376272639989E-2"/>
  </r>
  <r>
    <x v="1"/>
    <x v="5"/>
    <s v="Q2"/>
    <s v="INMO"/>
    <s v="Go 2"/>
    <s v="AR see-through"/>
    <s v="Standalone"/>
    <x v="7"/>
    <x v="9"/>
    <s v="JBD"/>
    <m/>
    <n v="0.13"/>
    <n v="640"/>
    <n v="480"/>
    <n v="6153.8461538461534"/>
    <s v="Unknown"/>
    <d v="2024-12-01T00:00:00"/>
    <n v="1"/>
    <n v="1.4299999999999998E-3"/>
    <n v="9.9700861443039968E-2"/>
  </r>
  <r>
    <x v="1"/>
    <x v="5"/>
    <s v="Q2"/>
    <s v="Rokid"/>
    <s v="Max 2"/>
    <s v="AR see-through"/>
    <s v="Tethered"/>
    <x v="2"/>
    <x v="4"/>
    <s v="Sony"/>
    <m/>
    <n v="0.68"/>
    <n v="1920"/>
    <n v="1200"/>
    <n v="3329.6403995493893"/>
    <n v="120"/>
    <d v="2024-09-01T00:00:00"/>
    <n v="2"/>
    <n v="1.4E-2"/>
    <n v="0.91"/>
  </r>
  <r>
    <x v="1"/>
    <x v="5"/>
    <s v="Q2"/>
    <s v="Even Realities"/>
    <s v="G1"/>
    <s v="AR see-through"/>
    <s v="Tethered"/>
    <x v="7"/>
    <x v="10"/>
    <s v="JBD"/>
    <m/>
    <n v="0.13"/>
    <n v="640"/>
    <n v="480"/>
    <n v="6153.8461538461534"/>
    <s v="Unknown"/>
    <d v="2024-10-01T00:00:00"/>
    <n v="2"/>
    <n v="2.5999999999999999E-2"/>
    <n v="1.8127429353279996"/>
  </r>
  <r>
    <x v="1"/>
    <x v="5"/>
    <s v="Q2"/>
    <s v="RayNeo"/>
    <s v="Air 3"/>
    <s v="AR see-through"/>
    <s v="Tethered"/>
    <x v="2"/>
    <x v="4"/>
    <s v="SeeYa"/>
    <m/>
    <n v="0.6"/>
    <n v="1920"/>
    <n v="1080"/>
    <n v="3671.5119501371641"/>
    <s v="Unknown"/>
    <d v="2024-10-01T00:00:00"/>
    <n v="2"/>
    <n v="0.02"/>
    <n v="1.1000000000000001"/>
  </r>
  <r>
    <x v="1"/>
    <x v="5"/>
    <s v="Q2"/>
    <s v="Vuzix"/>
    <s v="Z100"/>
    <s v="AR see-through"/>
    <s v="Tethered"/>
    <x v="7"/>
    <x v="9"/>
    <s v="JBD"/>
    <m/>
    <n v="0.13"/>
    <n v="640"/>
    <n v="480"/>
    <n v="6153.8461538461534"/>
    <s v="Unknown"/>
    <d v="2024-11-01T00:00:00"/>
    <n v="1"/>
    <n v="1E-4"/>
    <n v="6.9720882127999985E-3"/>
  </r>
  <r>
    <x v="1"/>
    <x v="5"/>
    <s v="Q2"/>
    <s v="Meizu"/>
    <s v="Meizu StarV View"/>
    <s v="AR see-through"/>
    <s v="Tethered"/>
    <x v="2"/>
    <x v="4"/>
    <s v="Sony"/>
    <m/>
    <n v="0.55000000000000004"/>
    <n v="1920"/>
    <n v="1080"/>
    <n v="4005.2857637859966"/>
    <n v="120"/>
    <d v="2024-09-01T00:00:00"/>
    <n v="2"/>
    <n v="7.0000000000000001E-3"/>
    <n v="0.38500000000000001"/>
  </r>
  <r>
    <x v="1"/>
    <x v="5"/>
    <s v="Q2"/>
    <s v="INAIR"/>
    <s v="INAIR 2 Pro"/>
    <s v="AR see-through"/>
    <s v="Tethered"/>
    <x v="2"/>
    <x v="4"/>
    <s v="Sony"/>
    <m/>
    <n v="0.55000000000000004"/>
    <n v="1920"/>
    <n v="1080"/>
    <n v="4005.2857637859966"/>
    <n v="120"/>
    <d v="2024-09-01T00:00:00"/>
    <n v="2"/>
    <n v="2E-3"/>
    <n v="0.11"/>
  </r>
  <r>
    <x v="1"/>
    <x v="5"/>
    <s v="Q2"/>
    <s v="INAIR"/>
    <s v="INAIR 2"/>
    <s v="AR see-through"/>
    <s v="Tethered"/>
    <x v="2"/>
    <x v="4"/>
    <s v="Sony"/>
    <m/>
    <n v="0.55000000000000004"/>
    <n v="1920"/>
    <n v="1080"/>
    <n v="4005.2857637859966"/>
    <n v="120"/>
    <d v="2024-09-01T00:00:00"/>
    <n v="2"/>
    <n v="1E-3"/>
    <n v="5.5E-2"/>
  </r>
  <r>
    <x v="1"/>
    <x v="5"/>
    <s v="Q2"/>
    <s v="Viture"/>
    <s v="Viture Pro"/>
    <s v="AR see-through"/>
    <s v="Tethered"/>
    <x v="2"/>
    <x v="4"/>
    <s v="Sony"/>
    <m/>
    <n v="0.55000000000000004"/>
    <n v="1920"/>
    <n v="1080"/>
    <n v="4005.2857637859966"/>
    <n v="120"/>
    <d v="2024-06-01T00:00:00"/>
    <n v="2"/>
    <n v="2.35E-2"/>
    <n v="1.2925"/>
  </r>
  <r>
    <x v="0"/>
    <x v="5"/>
    <s v="Q3"/>
    <s v="Bigscreen"/>
    <s v="Beyond"/>
    <s v="VR"/>
    <s v="Tethered"/>
    <x v="2"/>
    <x v="4"/>
    <s v="SeeYa"/>
    <m/>
    <n v="1.03"/>
    <n v="2560"/>
    <n v="2560"/>
    <n v="3514.9385627913821"/>
    <n v="90"/>
    <m/>
    <n v="2"/>
    <n v="3.5000000000000003E-2"/>
    <n v="4.0250000000000004"/>
  </r>
  <r>
    <x v="0"/>
    <x v="5"/>
    <s v="Q3"/>
    <s v="DPVR"/>
    <s v="P1 family"/>
    <s v="VR"/>
    <s v="Standalone"/>
    <x v="0"/>
    <x v="0"/>
    <s v="Unknown"/>
    <s v=" "/>
    <m/>
    <m/>
    <m/>
    <n v="0"/>
    <s v="Unknown"/>
    <d v="2019-11-01T00:00:00"/>
    <n v="1"/>
    <n v="1.3099999999999999E-2"/>
    <n v="0.71048174628479976"/>
  </r>
  <r>
    <x v="0"/>
    <x v="5"/>
    <s v="Q3"/>
    <s v="Meta"/>
    <s v="Quest 3"/>
    <s v="VR"/>
    <s v="Standalone"/>
    <x v="0"/>
    <x v="1"/>
    <s v="Sharp"/>
    <s v="JDI"/>
    <m/>
    <m/>
    <m/>
    <n v="0"/>
    <m/>
    <d v="2023-10-01T00:00:00"/>
    <n v="2"/>
    <n v="0.38400000000000001"/>
    <n v="13.884223438848002"/>
  </r>
  <r>
    <x v="0"/>
    <x v="5"/>
    <s v="Q3"/>
    <s v="Pico"/>
    <s v="Neo 3 / G3"/>
    <s v="VR"/>
    <s v="Standalone"/>
    <x v="0"/>
    <x v="0"/>
    <s v="JDI"/>
    <s v="Innolux"/>
    <n v="5.5"/>
    <n v="3840"/>
    <n v="1832"/>
    <n v="773.56797048396322"/>
    <n v="90"/>
    <d v="2021-05-01T00:00:00"/>
    <n v="1"/>
    <n v="3.3E-3"/>
    <n v="0.17897631776639997"/>
  </r>
  <r>
    <x v="0"/>
    <x v="5"/>
    <s v="Q3"/>
    <s v="Pico"/>
    <s v="Pico 4"/>
    <s v="VR"/>
    <s v="Standalone"/>
    <x v="0"/>
    <x v="1"/>
    <s v="Innolux"/>
    <m/>
    <n v="2.56"/>
    <n v="2160"/>
    <n v="2160"/>
    <n v="1193.242693252299"/>
    <n v="90"/>
    <d v="2022-09-01T00:00:00"/>
    <n v="2"/>
    <n v="0.09"/>
    <n v="3.2541148684800003"/>
  </r>
  <r>
    <x v="0"/>
    <x v="5"/>
    <s v="Q3"/>
    <s v="Pimax"/>
    <s v="Pimax VR"/>
    <s v="VR"/>
    <s v="Tethered"/>
    <x v="0"/>
    <x v="1"/>
    <s v="BOE"/>
    <s v="Innolux"/>
    <m/>
    <m/>
    <m/>
    <n v="0"/>
    <s v="Unknown"/>
    <s v=" "/>
    <n v="2"/>
    <n v="1.1000000000000001E-3"/>
    <n v="3.9772515059200007E-2"/>
  </r>
  <r>
    <x v="0"/>
    <x v="5"/>
    <s v="Q3"/>
    <s v="Others"/>
    <s v="Single LCD VR headset"/>
    <s v="VR"/>
    <s v="Unknown"/>
    <x v="0"/>
    <x v="0"/>
    <s v="Unknown"/>
    <s v=" "/>
    <m/>
    <m/>
    <m/>
    <n v="0"/>
    <s v="Unknown"/>
    <s v=" "/>
    <n v="1"/>
    <n v="2.145E-2"/>
    <n v="1.1633460654815997"/>
  </r>
  <r>
    <x v="0"/>
    <x v="5"/>
    <s v="Q3"/>
    <s v="Varjo"/>
    <s v="Bionic models"/>
    <s v="VR"/>
    <s v="Tethered"/>
    <x v="2"/>
    <x v="4"/>
    <s v="SeeYa"/>
    <m/>
    <n v="1.03"/>
    <n v="2560"/>
    <n v="2560"/>
    <n v="3514.9385627913821"/>
    <m/>
    <d v="2019-02-01T00:00:00"/>
    <n v="2"/>
    <n v="1.5E-3"/>
    <n v="0.19726740000000004"/>
  </r>
  <r>
    <x v="0"/>
    <x v="5"/>
    <s v="Q3"/>
    <s v="Varjo"/>
    <s v="XR-4"/>
    <s v="VR"/>
    <s v="Tethered"/>
    <x v="0"/>
    <x v="1"/>
    <s v="CSOT"/>
    <m/>
    <n v="3.59"/>
    <n v="3840"/>
    <n v="3744"/>
    <n v="1493.9073665208787"/>
    <n v="90"/>
    <d v="2023-12-01T00:00:00"/>
    <n v="2"/>
    <n v="2E-3"/>
    <n v="0.11"/>
  </r>
  <r>
    <x v="0"/>
    <x v="5"/>
    <s v="Q3"/>
    <s v="Meta"/>
    <s v="Quest 3S"/>
    <s v="VR"/>
    <s v="Standalone"/>
    <x v="0"/>
    <x v="0"/>
    <s v="JDI"/>
    <s v="Sharp"/>
    <n v="5.5"/>
    <n v="3840"/>
    <n v="1832"/>
    <n v="773.56797048396322"/>
    <n v="120"/>
    <d v="2024-10-01T00:00:00"/>
    <n v="1"/>
    <n v="0.76800000000000002"/>
    <n v="41.472000000000001"/>
  </r>
  <r>
    <x v="0"/>
    <x v="5"/>
    <s v="Q3"/>
    <s v="Somnium"/>
    <s v="VR1"/>
    <s v="VR"/>
    <s v="Tethered"/>
    <x v="0"/>
    <x v="1"/>
    <s v="BOE"/>
    <m/>
    <n v="3.2"/>
    <n v="2880"/>
    <n v="2880"/>
    <n v="1272.7922061357856"/>
    <n v="120"/>
    <d v="2024-07-01T00:00:00"/>
    <n v="2"/>
    <n v="1.5E-3"/>
    <n v="8.2500000000000004E-2"/>
  </r>
  <r>
    <x v="1"/>
    <x v="5"/>
    <s v="Q3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4.0000000000000001E-3"/>
    <n v="0.26"/>
  </r>
  <r>
    <x v="1"/>
    <x v="5"/>
    <s v="Q3"/>
    <s v="Lenovo"/>
    <s v="T1"/>
    <s v="AR see-through"/>
    <s v="Tethered"/>
    <x v="2"/>
    <x v="4"/>
    <s v="SeeYa"/>
    <m/>
    <n v="0.49"/>
    <n v="1920"/>
    <n v="1080"/>
    <n v="4495.7289185353029"/>
    <n v="60"/>
    <d v="2022-11-01T00:00:00"/>
    <n v="2"/>
    <n v="1.32E-3"/>
    <n v="6.6000000000000003E-2"/>
  </r>
  <r>
    <x v="1"/>
    <x v="5"/>
    <s v="Q3"/>
    <s v="Rokid"/>
    <s v="Air"/>
    <s v="AR see-through"/>
    <s v="Tethered"/>
    <x v="2"/>
    <x v="4"/>
    <s v="SeeYa"/>
    <m/>
    <n v="0.49"/>
    <n v="1920"/>
    <n v="1080"/>
    <n v="4495.7289185353029"/>
    <n v="75"/>
    <d v="2021-11-01T00:00:00"/>
    <n v="2"/>
    <n v="1.1000000000000001E-3"/>
    <n v="5.5E-2"/>
  </r>
  <r>
    <x v="1"/>
    <x v="5"/>
    <s v="Q3"/>
    <s v="Rokid"/>
    <s v="Max"/>
    <s v="AR see-through"/>
    <s v="Tethered"/>
    <x v="2"/>
    <x v="4"/>
    <s v="Sony"/>
    <m/>
    <n v="0.55000000000000004"/>
    <n v="1920"/>
    <n v="1080"/>
    <n v="4005.2857637859966"/>
    <n v="120"/>
    <d v="2023-04-01T00:00:00"/>
    <n v="2"/>
    <n v="2.2000000000000001E-3"/>
    <n v="0.12100000000000001"/>
  </r>
  <r>
    <x v="1"/>
    <x v="5"/>
    <s v="Q3"/>
    <s v="TCL"/>
    <s v="NXTWear"/>
    <s v="AR see-through"/>
    <s v="Tethered"/>
    <x v="2"/>
    <x v="4"/>
    <s v="Sony"/>
    <m/>
    <n v="0.55000000000000004"/>
    <n v="1920"/>
    <n v="1080"/>
    <n v="4005.2857637859966"/>
    <s v="Unknown"/>
    <d v="2022-11-01T00:00:00"/>
    <n v="2"/>
    <n v="4.4999999999999998E-2"/>
    <n v="2.4750000000000001"/>
  </r>
  <r>
    <x v="1"/>
    <x v="5"/>
    <s v="Q3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1.4299999999999998E-4"/>
    <n v="1.1287300902263096E-2"/>
  </r>
  <r>
    <x v="1"/>
    <x v="5"/>
    <s v="Q3"/>
    <s v="Vuzix"/>
    <s v="Shield"/>
    <s v="AR see-through"/>
    <s v="Standalone"/>
    <x v="7"/>
    <x v="10"/>
    <s v="JBD"/>
    <m/>
    <n v="0.13"/>
    <n v="640"/>
    <n v="480"/>
    <n v="6153.8461538461534"/>
    <s v="Unknown"/>
    <d v="2022-12-01T00:00:00"/>
    <n v="2"/>
    <n v="1.1E-4"/>
    <n v="7.6692970340799986E-3"/>
  </r>
  <r>
    <x v="1"/>
    <x v="5"/>
    <s v="Q3"/>
    <s v="Others"/>
    <s v="Binocular MicroLED"/>
    <s v="AR see-through"/>
    <s v="Unknown"/>
    <x v="7"/>
    <x v="10"/>
    <s v="Unknown"/>
    <m/>
    <m/>
    <m/>
    <m/>
    <n v="0"/>
    <s v="Unknown"/>
    <s v=" "/>
    <n v="2"/>
    <n v="2.2000000000000001E-4"/>
    <n v="1.5338594068159997E-2"/>
  </r>
  <r>
    <x v="1"/>
    <x v="5"/>
    <s v="Q3"/>
    <s v="Others"/>
    <s v="SiOLED glasses"/>
    <s v="AR see-through"/>
    <s v="Unknown"/>
    <x v="2"/>
    <x v="4"/>
    <s v="Unknown"/>
    <m/>
    <m/>
    <m/>
    <m/>
    <n v="0"/>
    <s v="Unknown"/>
    <s v=" "/>
    <n v="2"/>
    <n v="1.55E-2"/>
    <n v="0.85250000000000004"/>
  </r>
  <r>
    <x v="1"/>
    <x v="5"/>
    <s v="Q3"/>
    <s v="XREAL"/>
    <s v="Air"/>
    <s v="AR see-through"/>
    <s v="Tethered"/>
    <x v="2"/>
    <x v="4"/>
    <s v="BOE"/>
    <m/>
    <n v="0.71"/>
    <n v="1920"/>
    <n v="1080"/>
    <n v="3102.6861550454905"/>
    <n v="90"/>
    <d v="2021-10-01T00:00:00"/>
    <n v="2"/>
    <n v="1.1000000000000001E-3"/>
    <n v="7.7292306431999983E-2"/>
  </r>
  <r>
    <x v="1"/>
    <x v="5"/>
    <s v="Q3"/>
    <s v="XREAL"/>
    <s v="Air 2"/>
    <s v="AR see-through"/>
    <s v="Tethered"/>
    <x v="2"/>
    <x v="4"/>
    <s v="Sony"/>
    <m/>
    <n v="0.55000000000000004"/>
    <n v="1920"/>
    <n v="1080"/>
    <n v="4005.2857637859966"/>
    <n v="120"/>
    <d v="2023-09-01T00:00:00"/>
    <n v="2"/>
    <n v="0.02"/>
    <n v="1.1000000000000001"/>
  </r>
  <r>
    <x v="1"/>
    <x v="5"/>
    <s v="Q3"/>
    <s v="Meizu"/>
    <s v="MYVU"/>
    <s v="AR see-through"/>
    <s v="Standalone"/>
    <x v="7"/>
    <x v="10"/>
    <s v="JBD"/>
    <m/>
    <n v="0.13"/>
    <n v="640"/>
    <n v="480"/>
    <n v="6153.8461538461534"/>
    <s v="Unknown"/>
    <d v="2023-12-01T00:00:00"/>
    <n v="2"/>
    <n v="2.2000000000000001E-4"/>
    <n v="1.5338594068159997E-2"/>
  </r>
  <r>
    <x v="1"/>
    <x v="5"/>
    <s v="Q3"/>
    <s v="INMO"/>
    <s v="Go"/>
    <s v="AR see-through"/>
    <s v="Standalone"/>
    <x v="7"/>
    <x v="9"/>
    <s v="JBD"/>
    <m/>
    <n v="0.13"/>
    <n v="640"/>
    <n v="480"/>
    <n v="6153.8461538461534"/>
    <s v="Unknown"/>
    <d v="2023-09-01T00:00:00"/>
    <n v="1"/>
    <n v="3.3E-4"/>
    <n v="2.3007891102239993E-2"/>
  </r>
  <r>
    <x v="1"/>
    <x v="5"/>
    <s v="Q3"/>
    <s v="INMO"/>
    <s v="Go 2"/>
    <s v="AR see-through"/>
    <s v="Standalone"/>
    <x v="7"/>
    <x v="9"/>
    <s v="JBD"/>
    <m/>
    <n v="0.13"/>
    <n v="640"/>
    <n v="480"/>
    <n v="6153.8461538461534"/>
    <s v="Unknown"/>
    <d v="2024-12-01T00:00:00"/>
    <n v="1"/>
    <n v="6.6E-3"/>
    <n v="0.46015782204479988"/>
  </r>
  <r>
    <x v="1"/>
    <x v="5"/>
    <s v="Q3"/>
    <s v="Rokid"/>
    <s v="Max 2"/>
    <s v="AR see-through"/>
    <s v="Tethered"/>
    <x v="2"/>
    <x v="4"/>
    <s v="Sony"/>
    <m/>
    <n v="0.68"/>
    <n v="1920"/>
    <n v="1200"/>
    <n v="3329.6403995493893"/>
    <n v="120"/>
    <d v="2024-09-01T00:00:00"/>
    <n v="2"/>
    <n v="1.4E-2"/>
    <n v="0.91"/>
  </r>
  <r>
    <x v="1"/>
    <x v="5"/>
    <s v="Q3"/>
    <s v="XREAL"/>
    <s v="One"/>
    <s v="AR see-through"/>
    <s v="Tethered"/>
    <x v="2"/>
    <x v="4"/>
    <s v="Sony"/>
    <m/>
    <n v="0.68"/>
    <n v="1920"/>
    <n v="1200"/>
    <n v="3329.6403995493893"/>
    <n v="120"/>
    <d v="2024-12-01T00:00:00"/>
    <n v="2"/>
    <n v="0.03"/>
    <n v="1.95"/>
  </r>
  <r>
    <x v="1"/>
    <x v="5"/>
    <s v="Q3"/>
    <s v="NTT QONOQ"/>
    <s v="MiRZA"/>
    <s v="AR see-through"/>
    <s v="Standalone"/>
    <x v="2"/>
    <x v="4"/>
    <s v="Sony"/>
    <m/>
    <n v="0.44"/>
    <n v="1920"/>
    <n v="1080"/>
    <n v="5006.607204732496"/>
    <n v="120"/>
    <d v="2024-10-01T00:00:00"/>
    <n v="2"/>
    <n v="5.0000000000000001E-4"/>
    <n v="2.5000000000000001E-2"/>
  </r>
  <r>
    <x v="1"/>
    <x v="5"/>
    <s v="Q3"/>
    <s v="RayNeo"/>
    <s v="Air 3"/>
    <s v="AR see-through"/>
    <s v="Tethered"/>
    <x v="2"/>
    <x v="4"/>
    <s v="SeeYa"/>
    <m/>
    <n v="0.6"/>
    <n v="1920"/>
    <n v="1080"/>
    <n v="3671.5119501371641"/>
    <s v="Unknown"/>
    <d v="2024-10-01T00:00:00"/>
    <n v="2"/>
    <n v="0.03"/>
    <n v="1.65"/>
  </r>
  <r>
    <x v="1"/>
    <x v="5"/>
    <s v="Q3"/>
    <s v="Vuzix"/>
    <s v="Z100"/>
    <s v="AR see-through"/>
    <s v="Tethered"/>
    <x v="7"/>
    <x v="9"/>
    <s v="JBD"/>
    <m/>
    <n v="0.13"/>
    <n v="640"/>
    <n v="480"/>
    <n v="6153.8461538461534"/>
    <s v="Unknown"/>
    <d v="2024-11-01T00:00:00"/>
    <n v="1"/>
    <n v="5.0000000000000001E-4"/>
    <n v="3.4860441063999992E-2"/>
  </r>
  <r>
    <x v="1"/>
    <x v="5"/>
    <s v="Q3"/>
    <s v="Meizu"/>
    <s v="Meizu StarV View"/>
    <s v="AR see-through"/>
    <s v="Tethered"/>
    <x v="2"/>
    <x v="4"/>
    <s v="Sony"/>
    <m/>
    <n v="0.55000000000000004"/>
    <n v="1920"/>
    <n v="1080"/>
    <n v="4005.2857637859966"/>
    <n v="120"/>
    <d v="2024-09-01T00:00:00"/>
    <n v="2"/>
    <n v="1.4999999999999999E-2"/>
    <n v="0.82499999999999996"/>
  </r>
  <r>
    <x v="1"/>
    <x v="5"/>
    <s v="Q3"/>
    <s v="Meizu"/>
    <s v="Meizu StarV Air 2"/>
    <s v="AR see-through"/>
    <s v="Tethered"/>
    <x v="7"/>
    <x v="9"/>
    <s v="JBD"/>
    <m/>
    <n v="0.13"/>
    <n v="640"/>
    <n v="480"/>
    <n v="6153.8461538461534"/>
    <s v="Unknown"/>
    <d v="2024-11-01T00:00:00"/>
    <n v="1"/>
    <n v="6.0000000000000001E-3"/>
    <n v="0.4183252927679999"/>
  </r>
  <r>
    <x v="1"/>
    <x v="5"/>
    <s v="Q3"/>
    <s v="Viture"/>
    <s v="Viture Pro"/>
    <s v="AR see-through"/>
    <s v="Tethered"/>
    <x v="2"/>
    <x v="4"/>
    <s v="Sony"/>
    <m/>
    <n v="0.55000000000000004"/>
    <n v="1920"/>
    <n v="1080"/>
    <n v="4005.2857637859966"/>
    <n v="120"/>
    <d v="2024-06-01T00:00:00"/>
    <n v="2"/>
    <n v="0.01"/>
    <n v="0.55000000000000004"/>
  </r>
  <r>
    <x v="0"/>
    <x v="5"/>
    <s v="Q4"/>
    <s v="Bigscreen"/>
    <s v="Beyond"/>
    <s v="VR"/>
    <s v="Tethered"/>
    <x v="2"/>
    <x v="4"/>
    <s v="SeeYa"/>
    <m/>
    <n v="1.03"/>
    <n v="2560"/>
    <n v="2560"/>
    <n v="3514.9385627913821"/>
    <n v="90"/>
    <m/>
    <n v="2"/>
    <n v="0.03"/>
    <n v="3.4499999999999997"/>
  </r>
  <r>
    <x v="0"/>
    <x v="5"/>
    <s v="Q4"/>
    <s v="Meta"/>
    <s v="Quest 3"/>
    <s v="VR"/>
    <s v="Standalone"/>
    <x v="0"/>
    <x v="1"/>
    <s v="Sharp"/>
    <s v="JDI"/>
    <m/>
    <m/>
    <m/>
    <n v="0"/>
    <m/>
    <d v="2023-10-01T00:00:00"/>
    <n v="2"/>
    <n v="0.72"/>
    <n v="26.032918947840002"/>
  </r>
  <r>
    <x v="0"/>
    <x v="5"/>
    <s v="Q4"/>
    <s v="Pico"/>
    <s v="Pico 4"/>
    <s v="VR"/>
    <s v="Standalone"/>
    <x v="0"/>
    <x v="1"/>
    <s v="Innolux"/>
    <m/>
    <n v="2.56"/>
    <n v="2160"/>
    <n v="2160"/>
    <n v="1193.242693252299"/>
    <n v="90"/>
    <d v="2022-09-01T00:00:00"/>
    <n v="2"/>
    <n v="7.0000000000000007E-2"/>
    <n v="2.5309782310400006"/>
  </r>
  <r>
    <x v="0"/>
    <x v="5"/>
    <s v="Q4"/>
    <s v="Others"/>
    <s v="Single LCD VR headset"/>
    <s v="VR"/>
    <s v="Unknown"/>
    <x v="0"/>
    <x v="0"/>
    <s v="Unknown"/>
    <s v=" "/>
    <m/>
    <m/>
    <m/>
    <n v="0"/>
    <s v="Unknown"/>
    <s v=" "/>
    <n v="1"/>
    <n v="4.4999999999999998E-2"/>
    <n v="2.4405861513599993"/>
  </r>
  <r>
    <x v="0"/>
    <x v="5"/>
    <s v="Q4"/>
    <s v="Varjo"/>
    <s v="XR-4"/>
    <s v="VR"/>
    <s v="Tethered"/>
    <x v="0"/>
    <x v="1"/>
    <s v="CSOT"/>
    <m/>
    <n v="3.59"/>
    <n v="3840"/>
    <n v="3744"/>
    <n v="1493.9073665208787"/>
    <n v="90"/>
    <d v="2023-12-01T00:00:00"/>
    <n v="2"/>
    <n v="1E-3"/>
    <n v="5.5E-2"/>
  </r>
  <r>
    <x v="0"/>
    <x v="5"/>
    <s v="Q4"/>
    <s v="Meta"/>
    <s v="Quest 3S"/>
    <s v="VR"/>
    <s v="Standalone"/>
    <x v="0"/>
    <x v="0"/>
    <s v="JDI"/>
    <s v="Sharp"/>
    <n v="5.5"/>
    <n v="3840"/>
    <n v="1832"/>
    <n v="773.56797048396322"/>
    <n v="120"/>
    <d v="2024-10-01T00:00:00"/>
    <n v="1"/>
    <n v="0.67200000000000004"/>
    <n v="36.288000000000004"/>
  </r>
  <r>
    <x v="0"/>
    <x v="5"/>
    <s v="Q4"/>
    <s v="Shiftall"/>
    <s v="MeganeX Superlight 8K"/>
    <s v="VR"/>
    <s v="Tethered"/>
    <x v="2"/>
    <x v="4"/>
    <s v="BOE"/>
    <m/>
    <n v="1.35"/>
    <n v="3552"/>
    <n v="3840"/>
    <n v="3874.7399753458562"/>
    <n v="90"/>
    <d v="2024-11-01T00:00:00"/>
    <n v="2"/>
    <n v="1E-4"/>
    <n v="1.5000000000000001E-2"/>
  </r>
  <r>
    <x v="1"/>
    <x v="5"/>
    <s v="Q4"/>
    <s v="Epson"/>
    <s v="Moverio"/>
    <s v="AR see-through"/>
    <s v="Standalone"/>
    <x v="2"/>
    <x v="4"/>
    <s v="Epson"/>
    <m/>
    <n v="0.43"/>
    <n v="1280"/>
    <n v="720"/>
    <n v="3415.3599536159668"/>
    <s v="Unknown"/>
    <d v="2016-02-01T00:00:00"/>
    <n v="2"/>
    <n v="5.0000000000000001E-3"/>
    <n v="0.32500000000000001"/>
  </r>
  <r>
    <x v="1"/>
    <x v="5"/>
    <s v="Q4"/>
    <s v="Lenovo"/>
    <s v="T1"/>
    <s v="AR see-through"/>
    <s v="Tethered"/>
    <x v="2"/>
    <x v="4"/>
    <s v="SeeYa"/>
    <m/>
    <n v="0.49"/>
    <n v="1920"/>
    <n v="1080"/>
    <n v="4495.7289185353029"/>
    <n v="60"/>
    <d v="2022-11-01T00:00:00"/>
    <n v="2"/>
    <n v="2.2000000000000001E-4"/>
    <n v="1.1000000000000001E-2"/>
  </r>
  <r>
    <x v="1"/>
    <x v="5"/>
    <s v="Q4"/>
    <s v="Rokid"/>
    <s v="Air"/>
    <s v="AR see-through"/>
    <s v="Tethered"/>
    <x v="2"/>
    <x v="4"/>
    <s v="SeeYa"/>
    <m/>
    <n v="0.49"/>
    <n v="1920"/>
    <n v="1080"/>
    <n v="4495.7289185353029"/>
    <n v="75"/>
    <d v="2021-11-01T00:00:00"/>
    <n v="2"/>
    <n v="4.4000000000000002E-4"/>
    <n v="2.2000000000000002E-2"/>
  </r>
  <r>
    <x v="1"/>
    <x v="5"/>
    <s v="Q4"/>
    <s v="Rokid"/>
    <s v="Max"/>
    <s v="AR see-through"/>
    <s v="Tethered"/>
    <x v="2"/>
    <x v="4"/>
    <s v="Sony"/>
    <m/>
    <n v="0.55000000000000004"/>
    <n v="1920"/>
    <n v="1080"/>
    <n v="4005.2857637859966"/>
    <n v="120"/>
    <d v="2023-04-01T00:00:00"/>
    <n v="2"/>
    <n v="2.2000000000000001E-4"/>
    <n v="1.21E-2"/>
  </r>
  <r>
    <x v="1"/>
    <x v="5"/>
    <s v="Q4"/>
    <s v="TCL"/>
    <s v="NXTWear"/>
    <s v="AR see-through"/>
    <s v="Tethered"/>
    <x v="2"/>
    <x v="4"/>
    <s v="Sony"/>
    <m/>
    <n v="0.55000000000000004"/>
    <n v="1920"/>
    <n v="1080"/>
    <n v="4005.2857637859966"/>
    <s v="Unknown"/>
    <d v="2022-11-01T00:00:00"/>
    <n v="2"/>
    <n v="5.4999999999999997E-3"/>
    <n v="0.30249999999999999"/>
  </r>
  <r>
    <x v="1"/>
    <x v="5"/>
    <s v="Q4"/>
    <s v="Vuzix"/>
    <s v="Blade"/>
    <s v="AR see-through"/>
    <s v="Standalone"/>
    <x v="6"/>
    <x v="8"/>
    <s v="TI"/>
    <m/>
    <m/>
    <n v="853"/>
    <n v="480"/>
    <n v="0"/>
    <s v="Unknown"/>
    <d v="2019-01-01T00:00:00"/>
    <n v="1"/>
    <n v="1.3200000000000001E-4"/>
    <n v="1.04190469867044E-2"/>
  </r>
  <r>
    <x v="1"/>
    <x v="5"/>
    <s v="Q4"/>
    <s v="Vuzix"/>
    <s v="Shield"/>
    <s v="AR see-through"/>
    <s v="Standalone"/>
    <x v="7"/>
    <x v="10"/>
    <s v="JBD"/>
    <m/>
    <n v="0.13"/>
    <n v="640"/>
    <n v="480"/>
    <n v="6153.8461538461534"/>
    <s v="Unknown"/>
    <d v="2022-12-01T00:00:00"/>
    <n v="2"/>
    <n v="8.7999999999999998E-5"/>
    <n v="6.1354376272639982E-3"/>
  </r>
  <r>
    <x v="1"/>
    <x v="5"/>
    <s v="Q4"/>
    <s v="Others"/>
    <s v="Monocular MicroLED"/>
    <s v="AR see-through"/>
    <s v="Unknown"/>
    <x v="7"/>
    <x v="9"/>
    <s v="Unknown"/>
    <m/>
    <m/>
    <m/>
    <m/>
    <n v="0"/>
    <s v="Unknown"/>
    <s v=" "/>
    <n v="1"/>
    <n v="7.0000000000000001E-3"/>
    <n v="0.48804617489599988"/>
  </r>
  <r>
    <x v="1"/>
    <x v="5"/>
    <s v="Q4"/>
    <s v="Others"/>
    <s v="SiOLED glasses"/>
    <s v="AR see-through"/>
    <s v="Unknown"/>
    <x v="2"/>
    <x v="4"/>
    <s v="Unknown"/>
    <m/>
    <m/>
    <m/>
    <m/>
    <n v="0"/>
    <s v="Unknown"/>
    <s v=" "/>
    <n v="2"/>
    <n v="1.9E-2"/>
    <n v="1.0449999999999999"/>
  </r>
  <r>
    <x v="1"/>
    <x v="5"/>
    <s v="Q4"/>
    <s v="XREAL"/>
    <s v="Air 2"/>
    <s v="AR see-through"/>
    <s v="Tethered"/>
    <x v="2"/>
    <x v="4"/>
    <s v="Sony"/>
    <m/>
    <n v="0.55000000000000004"/>
    <n v="1920"/>
    <n v="1080"/>
    <n v="4005.2857637859966"/>
    <n v="120"/>
    <d v="2023-09-01T00:00:00"/>
    <n v="2"/>
    <n v="1.32E-3"/>
    <n v="7.2599999999999998E-2"/>
  </r>
  <r>
    <x v="1"/>
    <x v="5"/>
    <s v="Q4"/>
    <s v="Meizu"/>
    <s v="MYVU"/>
    <s v="AR see-through"/>
    <s v="Standalone"/>
    <x v="7"/>
    <x v="10"/>
    <s v="JBD"/>
    <m/>
    <n v="0.13"/>
    <n v="640"/>
    <n v="480"/>
    <n v="6153.8461538461534"/>
    <s v="Unknown"/>
    <d v="2023-12-01T00:00:00"/>
    <n v="2"/>
    <n v="2.2000000000000001E-3"/>
    <n v="0.15338594068159997"/>
  </r>
  <r>
    <x v="1"/>
    <x v="5"/>
    <s v="Q4"/>
    <s v="INMO"/>
    <s v="Go 2"/>
    <s v="AR see-through"/>
    <s v="Standalone"/>
    <x v="7"/>
    <x v="9"/>
    <s v="JBD"/>
    <m/>
    <n v="0.13"/>
    <n v="640"/>
    <n v="480"/>
    <n v="6153.8461538461534"/>
    <s v="Unknown"/>
    <d v="2024-12-01T00:00:00"/>
    <n v="1"/>
    <n v="2.2000000000000001E-3"/>
    <n v="0.15338594068159997"/>
  </r>
  <r>
    <x v="1"/>
    <x v="5"/>
    <s v="Q4"/>
    <s v="INMO"/>
    <s v="Air 3"/>
    <s v="AR see-through"/>
    <s v="Standalone"/>
    <x v="2"/>
    <x v="4"/>
    <s v="Sony"/>
    <m/>
    <n v="0.44"/>
    <n v="1920"/>
    <n v="1080"/>
    <n v="5006.607204732496"/>
    <n v="120"/>
    <d v="2024-12-01T00:00:00"/>
    <n v="2"/>
    <n v="1.4999999999999999E-2"/>
    <n v="0.75"/>
  </r>
  <r>
    <x v="1"/>
    <x v="5"/>
    <s v="Q4"/>
    <s v="Rokid"/>
    <s v="Max 2"/>
    <s v="AR see-through"/>
    <s v="Tethered"/>
    <x v="2"/>
    <x v="4"/>
    <s v="Sony"/>
    <m/>
    <n v="0.68"/>
    <n v="1920"/>
    <n v="1200"/>
    <n v="3329.6403995493893"/>
    <n v="120"/>
    <d v="2024-09-01T00:00:00"/>
    <n v="2"/>
    <n v="0.01"/>
    <n v="0.65"/>
  </r>
  <r>
    <x v="1"/>
    <x v="5"/>
    <s v="Q4"/>
    <s v="Rokid"/>
    <s v="Glasses"/>
    <s v="AR see-through"/>
    <s v="Tethered"/>
    <x v="7"/>
    <x v="9"/>
    <s v="JBD"/>
    <m/>
    <n v="0.13"/>
    <n v="640"/>
    <n v="480"/>
    <n v="6153.8461538461534"/>
    <s v="Unknown"/>
    <d v="2024-12-01T00:00:00"/>
    <n v="1"/>
    <n v="1.6999999999999999E-3"/>
    <n v="0.11852549961759996"/>
  </r>
  <r>
    <x v="1"/>
    <x v="5"/>
    <s v="Q4"/>
    <s v="XREAL"/>
    <s v="One"/>
    <s v="AR see-through"/>
    <s v="Tethered"/>
    <x v="2"/>
    <x v="4"/>
    <s v="Sony"/>
    <m/>
    <n v="0.68"/>
    <n v="1920"/>
    <n v="1200"/>
    <n v="3329.6403995493893"/>
    <n v="120"/>
    <d v="2024-12-01T00:00:00"/>
    <n v="2"/>
    <n v="6.5000000000000002E-2"/>
    <n v="4.2250000000000005"/>
  </r>
  <r>
    <x v="1"/>
    <x v="5"/>
    <s v="Q4"/>
    <s v="XREAL"/>
    <s v="One Pro"/>
    <s v="AR see-through"/>
    <s v="Tethered"/>
    <x v="2"/>
    <x v="4"/>
    <s v="Sony"/>
    <m/>
    <n v="0.55000000000000004"/>
    <n v="1920"/>
    <n v="1080"/>
    <n v="4005.2857637859966"/>
    <n v="120"/>
    <d v="2024-12-01T00:00:00"/>
    <n v="2"/>
    <n v="5.0000000000000001E-3"/>
    <n v="0.27500000000000002"/>
  </r>
  <r>
    <x v="1"/>
    <x v="5"/>
    <s v="Q4"/>
    <s v="Even Realities"/>
    <s v="G1"/>
    <s v="AR see-through"/>
    <s v="Tethered"/>
    <x v="7"/>
    <x v="10"/>
    <s v="JBD"/>
    <m/>
    <n v="0.13"/>
    <n v="640"/>
    <n v="480"/>
    <n v="6153.8461538461534"/>
    <s v="Unknown"/>
    <d v="2024-10-01T00:00:00"/>
    <n v="2"/>
    <n v="1.4999999999999999E-2"/>
    <n v="1.0458132319199998"/>
  </r>
  <r>
    <x v="1"/>
    <x v="5"/>
    <s v="Q4"/>
    <s v="RayNeo"/>
    <s v="Air 3"/>
    <s v="AR see-through"/>
    <s v="Tethered"/>
    <x v="2"/>
    <x v="4"/>
    <s v="SeeYa"/>
    <m/>
    <n v="0.6"/>
    <n v="1920"/>
    <n v="1080"/>
    <n v="3671.5119501371641"/>
    <s v="Unknown"/>
    <d v="2024-10-01T00:00:00"/>
    <n v="2"/>
    <n v="2.5000000000000001E-2"/>
    <n v="1.375"/>
  </r>
  <r>
    <x v="1"/>
    <x v="5"/>
    <s v="Q4"/>
    <s v="Vuzix"/>
    <s v="Z100"/>
    <s v="AR see-through"/>
    <s v="Tethered"/>
    <x v="7"/>
    <x v="9"/>
    <s v="JBD"/>
    <m/>
    <n v="0.13"/>
    <n v="640"/>
    <n v="480"/>
    <n v="6153.8461538461534"/>
    <s v="Unknown"/>
    <d v="2024-11-01T00:00:00"/>
    <n v="1"/>
    <n v="5.0000000000000001E-4"/>
    <n v="3.4860441063999992E-2"/>
  </r>
  <r>
    <x v="1"/>
    <x v="5"/>
    <s v="Q4"/>
    <s v="Lenovo"/>
    <s v="Lenovo Legion Glasses 2"/>
    <s v="AR see-through"/>
    <s v="Tethered"/>
    <x v="2"/>
    <x v="4"/>
    <s v="SeeYa"/>
    <m/>
    <n v="0.6"/>
    <n v="1920"/>
    <n v="1080"/>
    <n v="3671.5119501371641"/>
    <n v="120"/>
    <d v="2025-02-01T00:00:00"/>
    <n v="2"/>
    <n v="2E-3"/>
    <n v="0.11"/>
  </r>
  <r>
    <x v="1"/>
    <x v="5"/>
    <s v="Q4"/>
    <s v="Meizu"/>
    <s v="Meizu StarV Air 2"/>
    <s v="AR see-through"/>
    <s v="Tethered"/>
    <x v="7"/>
    <x v="9"/>
    <s v="JBD"/>
    <m/>
    <n v="0.13"/>
    <n v="640"/>
    <n v="480"/>
    <n v="6153.8461538461534"/>
    <s v="Unknown"/>
    <d v="2024-11-01T00:00:00"/>
    <n v="1"/>
    <n v="0.01"/>
    <n v="0.69720882127999984"/>
  </r>
  <r>
    <x v="1"/>
    <x v="5"/>
    <s v="Q4"/>
    <s v="Viture"/>
    <s v="Viture Pro"/>
    <s v="AR see-through"/>
    <s v="Tethered"/>
    <x v="2"/>
    <x v="4"/>
    <s v="Sony"/>
    <m/>
    <n v="0.55000000000000004"/>
    <n v="1920"/>
    <n v="1080"/>
    <n v="4005.2857637859966"/>
    <n v="120"/>
    <d v="2024-06-01T00:00:00"/>
    <n v="2"/>
    <n v="0.01"/>
    <n v="0.55000000000000004"/>
  </r>
  <r>
    <x v="0"/>
    <x v="6"/>
    <s v="Q1"/>
    <s v="Bigscreen"/>
    <s v="Beyond"/>
    <s v="VR"/>
    <s v="Tethered"/>
    <x v="2"/>
    <x v="4"/>
    <s v="SeeYa"/>
    <m/>
    <n v="1.03"/>
    <n v="2560"/>
    <n v="2560"/>
    <n v="3514.9385627913821"/>
    <n v="90"/>
    <m/>
    <n v="2"/>
    <n v="0.01"/>
    <n v="1.08"/>
  </r>
  <r>
    <x v="0"/>
    <x v="6"/>
    <s v="Q1"/>
    <s v="Meta"/>
    <s v="Quest 3"/>
    <s v="VR"/>
    <s v="Standalone"/>
    <x v="0"/>
    <x v="1"/>
    <s v="Sharp"/>
    <s v="JDI"/>
    <m/>
    <m/>
    <m/>
    <n v="0"/>
    <m/>
    <d v="2023-10-01T00:00:00"/>
    <n v="2"/>
    <n v="0.79200000000000004"/>
    <n v="28.063486625771525"/>
  </r>
  <r>
    <x v="0"/>
    <x v="6"/>
    <s v="Q1"/>
    <s v="Pico"/>
    <s v="Pico 4"/>
    <s v="VR"/>
    <s v="Standalone"/>
    <x v="0"/>
    <x v="1"/>
    <s v="Innolux"/>
    <m/>
    <n v="2.56"/>
    <n v="2160"/>
    <n v="2160"/>
    <n v="1193.242693252299"/>
    <n v="90"/>
    <d v="2022-09-01T00:00:00"/>
    <n v="2"/>
    <n v="0.15"/>
    <n v="5.3150542851840008"/>
  </r>
  <r>
    <x v="0"/>
    <x v="6"/>
    <s v="Q1"/>
    <s v="Varjo"/>
    <s v="XR-4"/>
    <s v="VR"/>
    <s v="Tethered"/>
    <x v="0"/>
    <x v="1"/>
    <s v="CSOT"/>
    <m/>
    <n v="3.59"/>
    <n v="3840"/>
    <n v="3744"/>
    <n v="1493.9073665208787"/>
    <n v="90"/>
    <d v="2023-12-01T00:00:00"/>
    <n v="2"/>
    <n v="1E-3"/>
    <n v="5.5E-2"/>
  </r>
  <r>
    <x v="0"/>
    <x v="6"/>
    <s v="Q1"/>
    <s v="Meta"/>
    <s v="Quest 3S"/>
    <s v="VR"/>
    <s v="Standalone"/>
    <x v="0"/>
    <x v="0"/>
    <s v="JDI"/>
    <s v="Sharp"/>
    <n v="5.5"/>
    <n v="3840"/>
    <n v="1832"/>
    <n v="773.56797048396322"/>
    <n v="120"/>
    <d v="2024-10-01T00:00:00"/>
    <n v="1"/>
    <n v="1.2"/>
    <n v="64.8"/>
  </r>
  <r>
    <x v="0"/>
    <x v="6"/>
    <s v="Q1"/>
    <s v="Somnium"/>
    <s v="VR1"/>
    <s v="VR"/>
    <s v="Tethered"/>
    <x v="0"/>
    <x v="1"/>
    <s v="BOE"/>
    <m/>
    <n v="3.2"/>
    <n v="2880"/>
    <n v="2880"/>
    <n v="1272.7922061357856"/>
    <n v="120"/>
    <d v="2024-07-01T00:00:00"/>
    <n v="2"/>
    <n v="1.5E-3"/>
    <n v="8.2500000000000004E-2"/>
  </r>
  <r>
    <x v="0"/>
    <x v="6"/>
    <s v="Q1"/>
    <s v="Shiftall"/>
    <s v="MeganeX Superlight 8K"/>
    <s v="VR"/>
    <s v="Tethered"/>
    <x v="2"/>
    <x v="4"/>
    <s v="BOE"/>
    <m/>
    <n v="1.35"/>
    <n v="3552"/>
    <n v="3840"/>
    <n v="3874.7399753458562"/>
    <n v="90"/>
    <d v="2024-11-01T00:00:00"/>
    <n v="2"/>
    <n v="5.0000000000000001E-4"/>
    <n v="7.0000000000000007E-2"/>
  </r>
  <r>
    <x v="1"/>
    <x v="6"/>
    <s v="Q1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5957137640311296E-3"/>
  </r>
  <r>
    <x v="1"/>
    <x v="6"/>
    <s v="Q1"/>
    <s v="Others"/>
    <s v="LCoS glasses"/>
    <s v="AR see-through"/>
    <s v="Unknown"/>
    <x v="4"/>
    <x v="6"/>
    <s v="Unknown"/>
    <m/>
    <m/>
    <m/>
    <m/>
    <n v="0"/>
    <s v="Unknown"/>
    <s v=" "/>
    <n v="2"/>
    <n v="4.4000000000000003E-3"/>
    <n v="0.1905555822387624"/>
  </r>
  <r>
    <x v="1"/>
    <x v="6"/>
    <s v="Q1"/>
    <s v="Others"/>
    <s v="SiOLED glasses"/>
    <s v="AR see-through"/>
    <s v="Unknown"/>
    <x v="2"/>
    <x v="4"/>
    <s v="Unknown"/>
    <m/>
    <m/>
    <m/>
    <m/>
    <n v="0"/>
    <s v="Unknown"/>
    <s v=" "/>
    <n v="2"/>
    <n v="2.1999999999999999E-2"/>
    <n v="1.21"/>
  </r>
  <r>
    <x v="1"/>
    <x v="6"/>
    <s v="Q1"/>
    <s v="INMO"/>
    <s v="Go 2"/>
    <s v="AR see-through"/>
    <s v="Standalone"/>
    <x v="7"/>
    <x v="9"/>
    <s v="JBD"/>
    <m/>
    <n v="0.13"/>
    <n v="640"/>
    <n v="480"/>
    <n v="6153.8461538461534"/>
    <s v="Unknown"/>
    <d v="2024-12-01T00:00:00"/>
    <n v="1"/>
    <n v="2E-3"/>
    <n v="0.13107525840063997"/>
  </r>
  <r>
    <x v="1"/>
    <x v="6"/>
    <s v="Q1"/>
    <s v="Rokid"/>
    <s v="Glasses"/>
    <s v="AR see-through"/>
    <s v="Tethered"/>
    <x v="7"/>
    <x v="9"/>
    <s v="JBD"/>
    <m/>
    <n v="0.13"/>
    <n v="640"/>
    <n v="480"/>
    <n v="6153.8461538461534"/>
    <s v="Unknown"/>
    <d v="2024-12-01T00:00:00"/>
    <n v="1"/>
    <n v="3.5999999999999997E-2"/>
    <n v="2.3593546512115191"/>
  </r>
  <r>
    <x v="1"/>
    <x v="6"/>
    <s v="Q1"/>
    <s v="XREAL"/>
    <s v="One"/>
    <s v="AR see-through"/>
    <s v="Tethered"/>
    <x v="2"/>
    <x v="4"/>
    <s v="Sony"/>
    <m/>
    <n v="0.68"/>
    <n v="1920"/>
    <n v="1200"/>
    <n v="3329.6403995493893"/>
    <n v="120"/>
    <d v="2024-12-01T00:00:00"/>
    <n v="2"/>
    <n v="0.08"/>
    <n v="4"/>
  </r>
  <r>
    <x v="1"/>
    <x v="6"/>
    <s v="Q1"/>
    <s v="XREAL"/>
    <s v="One Pro"/>
    <s v="AR see-through"/>
    <s v="Tethered"/>
    <x v="2"/>
    <x v="4"/>
    <s v="Sony"/>
    <m/>
    <n v="0.55000000000000004"/>
    <n v="1920"/>
    <n v="1080"/>
    <n v="4005.2857637859966"/>
    <n v="120"/>
    <d v="2024-12-01T00:00:00"/>
    <n v="2"/>
    <n v="1.4E-2"/>
    <n v="0.75600000000000001"/>
  </r>
  <r>
    <x v="1"/>
    <x v="6"/>
    <s v="Q1"/>
    <s v="Even Realities"/>
    <s v="G1"/>
    <s v="AR see-through"/>
    <s v="Tethered"/>
    <x v="7"/>
    <x v="10"/>
    <s v="JBD"/>
    <m/>
    <n v="0.13"/>
    <n v="640"/>
    <n v="480"/>
    <n v="6153.8461538461534"/>
    <s v="Unknown"/>
    <d v="2024-10-01T00:00:00"/>
    <n v="2"/>
    <n v="0.03"/>
    <n v="1.9661288760095994"/>
  </r>
  <r>
    <x v="1"/>
    <x v="6"/>
    <s v="Q1"/>
    <s v="RayNeo"/>
    <s v="Air 3"/>
    <s v="AR see-through"/>
    <s v="Tethered"/>
    <x v="2"/>
    <x v="4"/>
    <s v="SeeYa"/>
    <m/>
    <n v="0.6"/>
    <n v="1920"/>
    <n v="1080"/>
    <n v="3671.5119501371641"/>
    <s v="Unknown"/>
    <d v="2024-10-01T00:00:00"/>
    <n v="2"/>
    <n v="0.06"/>
    <n v="2.88"/>
  </r>
  <r>
    <x v="1"/>
    <x v="6"/>
    <s v="Q1"/>
    <s v="Vuzix"/>
    <s v="Z100"/>
    <s v="AR see-through"/>
    <s v="Tethered"/>
    <x v="7"/>
    <x v="9"/>
    <s v="JBD"/>
    <m/>
    <n v="0.13"/>
    <n v="640"/>
    <n v="480"/>
    <n v="6153.8461538461534"/>
    <s v="Unknown"/>
    <d v="2024-11-01T00:00:00"/>
    <n v="1"/>
    <n v="5.0000000000000001E-4"/>
    <n v="3.2768814600159991E-2"/>
  </r>
  <r>
    <x v="1"/>
    <x v="6"/>
    <s v="Q1"/>
    <s v="Lenovo"/>
    <s v="Lenovo Legion Glasses 2"/>
    <s v="AR see-through"/>
    <s v="Tethered"/>
    <x v="2"/>
    <x v="4"/>
    <s v="SeeYa"/>
    <m/>
    <n v="0.6"/>
    <n v="1920"/>
    <n v="1080"/>
    <n v="3671.5119501371641"/>
    <n v="120"/>
    <d v="2025-02-01T00:00:00"/>
    <n v="2"/>
    <n v="4.0000000000000001E-3"/>
    <n v="0.192"/>
  </r>
  <r>
    <x v="1"/>
    <x v="6"/>
    <s v="Q1"/>
    <s v="Meizu"/>
    <s v="Meizu StarV View"/>
    <s v="AR see-through"/>
    <s v="Tethered"/>
    <x v="2"/>
    <x v="4"/>
    <s v="Sony"/>
    <m/>
    <n v="0.55000000000000004"/>
    <n v="1920"/>
    <n v="1080"/>
    <n v="4005.2857637859966"/>
    <n v="120"/>
    <d v="2024-09-01T00:00:00"/>
    <n v="2"/>
    <n v="8.0000000000000002E-3"/>
    <n v="0.432"/>
  </r>
  <r>
    <x v="1"/>
    <x v="6"/>
    <s v="Q1"/>
    <s v="Meizu"/>
    <s v="Meizu StarV Air 2"/>
    <s v="AR see-through"/>
    <s v="Tethered"/>
    <x v="7"/>
    <x v="9"/>
    <s v="JBD"/>
    <m/>
    <n v="0.13"/>
    <n v="640"/>
    <n v="480"/>
    <n v="6153.8461538461534"/>
    <s v="Unknown"/>
    <d v="2024-11-01T00:00:00"/>
    <n v="1"/>
    <n v="0.01"/>
    <n v="0.6553762920031998"/>
  </r>
  <r>
    <x v="1"/>
    <x v="6"/>
    <s v="Q1"/>
    <s v="Viture"/>
    <s v="Viture Pro"/>
    <s v="AR see-through"/>
    <s v="Tethered"/>
    <x v="2"/>
    <x v="4"/>
    <s v="Sony"/>
    <m/>
    <n v="0.55000000000000004"/>
    <n v="1920"/>
    <n v="1080"/>
    <n v="4005.2857637859966"/>
    <n v="120"/>
    <d v="2024-06-01T00:00:00"/>
    <n v="2"/>
    <n v="1.2E-2"/>
    <n v="0.64800000000000002"/>
  </r>
  <r>
    <x v="1"/>
    <x v="6"/>
    <s v="Q1"/>
    <s v="RayNeo"/>
    <s v="Air 3s Pro"/>
    <s v="AR see-through"/>
    <s v="Tethered"/>
    <x v="2"/>
    <x v="4"/>
    <s v="SeeYa"/>
    <m/>
    <n v="0.6"/>
    <n v="1920"/>
    <n v="1080"/>
    <n v="3671.5119501371641"/>
    <s v="Unknown"/>
    <d v="2025-08-01T00:00:00"/>
    <n v="2"/>
    <n v="0.02"/>
    <n v="0.96"/>
  </r>
  <r>
    <x v="1"/>
    <x v="6"/>
    <s v="Q1"/>
    <s v="RayNeo"/>
    <s v="X3 Pro"/>
    <s v="AR see-through"/>
    <s v="Tethered"/>
    <x v="7"/>
    <x v="10"/>
    <s v="JBD"/>
    <m/>
    <n v="0.13"/>
    <n v="640"/>
    <n v="480"/>
    <n v="6153.8461538461534"/>
    <s v="Unknown"/>
    <d v="2025-06-01T00:00:00"/>
    <n v="2"/>
    <n v="6.0000000000000001E-3"/>
    <n v="0.54"/>
  </r>
  <r>
    <x v="0"/>
    <x v="6"/>
    <s v="Q2"/>
    <s v="Bigscreen"/>
    <s v="Beyond"/>
    <s v="VR"/>
    <s v="Tethered"/>
    <x v="2"/>
    <x v="4"/>
    <s v="SeeYa"/>
    <m/>
    <n v="1.03"/>
    <n v="2560"/>
    <n v="2560"/>
    <n v="3514.9385627913821"/>
    <n v="90"/>
    <m/>
    <n v="2"/>
    <n v="0.02"/>
    <n v="2.16"/>
  </r>
  <r>
    <x v="0"/>
    <x v="6"/>
    <s v="Q2"/>
    <s v="Meta"/>
    <s v="Quest 3"/>
    <s v="VR"/>
    <s v="Standalone"/>
    <x v="0"/>
    <x v="1"/>
    <s v="Sharp"/>
    <s v="JDI"/>
    <m/>
    <m/>
    <m/>
    <n v="0"/>
    <m/>
    <d v="2023-10-01T00:00:00"/>
    <n v="2"/>
    <n v="0.48"/>
    <n v="17.008173712588803"/>
  </r>
  <r>
    <x v="0"/>
    <x v="6"/>
    <s v="Q2"/>
    <s v="Pico"/>
    <s v="Pico 4"/>
    <s v="VR"/>
    <s v="Standalone"/>
    <x v="0"/>
    <x v="1"/>
    <s v="Innolux"/>
    <m/>
    <n v="2.56"/>
    <n v="2160"/>
    <n v="2160"/>
    <n v="1193.242693252299"/>
    <n v="90"/>
    <d v="2022-09-01T00:00:00"/>
    <n v="2"/>
    <n v="0.15"/>
    <n v="5.3150542851840008"/>
  </r>
  <r>
    <x v="0"/>
    <x v="6"/>
    <s v="Q2"/>
    <s v="Others"/>
    <s v="Dual LCD VR headset"/>
    <s v="VR"/>
    <s v="Unknown"/>
    <x v="0"/>
    <x v="1"/>
    <s v="Unknown"/>
    <s v=" "/>
    <m/>
    <m/>
    <m/>
    <n v="0"/>
    <s v="Unknown"/>
    <s v=" "/>
    <n v="2"/>
    <n v="0.1"/>
    <n v="3.5433695234560005"/>
  </r>
  <r>
    <x v="0"/>
    <x v="6"/>
    <s v="Q2"/>
    <s v="Others"/>
    <s v="Single LCD VR headset"/>
    <s v="VR"/>
    <s v="Unknown"/>
    <x v="0"/>
    <x v="0"/>
    <s v="Unknown"/>
    <s v=" "/>
    <m/>
    <m/>
    <m/>
    <n v="0"/>
    <s v="Unknown"/>
    <s v=" "/>
    <n v="1"/>
    <n v="3.3000000000000002E-2"/>
    <n v="1.7490000000000001"/>
  </r>
  <r>
    <x v="0"/>
    <x v="6"/>
    <s v="Q2"/>
    <s v="Meta"/>
    <s v="Quest 3S"/>
    <s v="VR"/>
    <s v="Standalone"/>
    <x v="0"/>
    <x v="0"/>
    <s v="JDI"/>
    <s v="Sharp"/>
    <n v="5.5"/>
    <n v="3840"/>
    <n v="1832"/>
    <n v="773.56797048396322"/>
    <n v="120"/>
    <d v="2024-10-01T00:00:00"/>
    <n v="1"/>
    <n v="0.20399999999999999"/>
    <n v="11.016"/>
  </r>
  <r>
    <x v="0"/>
    <x v="6"/>
    <s v="Q2"/>
    <s v="Samsung"/>
    <s v="Galaxy XR"/>
    <s v="VR"/>
    <s v="Standalone"/>
    <x v="2"/>
    <x v="4"/>
    <s v="Sony"/>
    <s v="SDC"/>
    <n v="1.3"/>
    <n v="3552"/>
    <n v="3840"/>
    <n v="4023.7684359360815"/>
    <n v="90"/>
    <d v="2025-11-01T00:00:00"/>
    <n v="2"/>
    <n v="0.1"/>
    <n v="16"/>
  </r>
  <r>
    <x v="1"/>
    <x v="6"/>
    <s v="Q2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5957137640311296E-3"/>
  </r>
  <r>
    <x v="1"/>
    <x v="6"/>
    <s v="Q2"/>
    <s v="Others"/>
    <s v="LCoS glasses"/>
    <s v="AR see-through"/>
    <s v="Unknown"/>
    <x v="4"/>
    <x v="6"/>
    <s v="Unknown"/>
    <m/>
    <m/>
    <m/>
    <m/>
    <n v="0"/>
    <s v="Unknown"/>
    <s v=" "/>
    <n v="2"/>
    <n v="4.4000000000000003E-3"/>
    <n v="0.1905555822387624"/>
  </r>
  <r>
    <x v="1"/>
    <x v="6"/>
    <s v="Q2"/>
    <s v="Others"/>
    <s v="Monocular MicroLED"/>
    <s v="AR see-through"/>
    <s v="Unknown"/>
    <x v="7"/>
    <x v="9"/>
    <s v="Unknown"/>
    <m/>
    <m/>
    <m/>
    <m/>
    <n v="0"/>
    <s v="Unknown"/>
    <s v=" "/>
    <n v="1"/>
    <n v="3.3E-3"/>
    <n v="0.21627417636105595"/>
  </r>
  <r>
    <x v="1"/>
    <x v="6"/>
    <s v="Q2"/>
    <s v="Others"/>
    <s v="SiOLED glasses"/>
    <s v="AR see-through"/>
    <s v="Unknown"/>
    <x v="2"/>
    <x v="4"/>
    <s v="Unknown"/>
    <m/>
    <m/>
    <m/>
    <m/>
    <n v="0"/>
    <s v="Unknown"/>
    <s v=" "/>
    <n v="2"/>
    <n v="2.1999999999999999E-2"/>
    <n v="1.21"/>
  </r>
  <r>
    <x v="1"/>
    <x v="6"/>
    <s v="Q2"/>
    <s v="INMO"/>
    <s v="Go 2"/>
    <s v="AR see-through"/>
    <s v="Standalone"/>
    <x v="7"/>
    <x v="9"/>
    <s v="JBD"/>
    <m/>
    <n v="0.13"/>
    <n v="640"/>
    <n v="480"/>
    <n v="6153.8461538461534"/>
    <s v="Unknown"/>
    <d v="2024-12-01T00:00:00"/>
    <n v="1"/>
    <n v="1E-3"/>
    <n v="6.5537629200319983E-2"/>
  </r>
  <r>
    <x v="1"/>
    <x v="6"/>
    <s v="Q2"/>
    <s v="INMO"/>
    <s v="Air 3"/>
    <s v="AR see-through"/>
    <s v="Standalone"/>
    <x v="2"/>
    <x v="4"/>
    <s v="Sony"/>
    <m/>
    <n v="0.44"/>
    <n v="1920"/>
    <n v="1080"/>
    <n v="5006.607204732496"/>
    <n v="120"/>
    <d v="2024-12-01T00:00:00"/>
    <n v="2"/>
    <n v="4.0000000000000001E-3"/>
    <n v="0.2"/>
  </r>
  <r>
    <x v="1"/>
    <x v="6"/>
    <s v="Q2"/>
    <s v="Rokid"/>
    <s v="Glasses"/>
    <s v="AR see-through"/>
    <s v="Tethered"/>
    <x v="7"/>
    <x v="9"/>
    <s v="JBD"/>
    <m/>
    <n v="0.13"/>
    <n v="640"/>
    <n v="480"/>
    <n v="6153.8461538461534"/>
    <s v="Unknown"/>
    <d v="2024-12-01T00:00:00"/>
    <n v="1"/>
    <n v="2.1999999999999999E-2"/>
    <n v="1.4418278424070397"/>
  </r>
  <r>
    <x v="1"/>
    <x v="6"/>
    <s v="Q2"/>
    <s v="XREAL"/>
    <s v="One"/>
    <s v="AR see-through"/>
    <s v="Tethered"/>
    <x v="2"/>
    <x v="4"/>
    <s v="Sony"/>
    <m/>
    <n v="0.68"/>
    <n v="1920"/>
    <n v="1200"/>
    <n v="3329.6403995493893"/>
    <n v="120"/>
    <d v="2024-12-01T00:00:00"/>
    <n v="2"/>
    <n v="0.09"/>
    <n v="4.5"/>
  </r>
  <r>
    <x v="1"/>
    <x v="6"/>
    <s v="Q2"/>
    <s v="XREAL"/>
    <s v="One Pro"/>
    <s v="AR see-through"/>
    <s v="Tethered"/>
    <x v="2"/>
    <x v="4"/>
    <s v="Sony"/>
    <m/>
    <n v="0.55000000000000004"/>
    <n v="1920"/>
    <n v="1080"/>
    <n v="4005.2857637859966"/>
    <n v="120"/>
    <d v="2024-12-01T00:00:00"/>
    <n v="2"/>
    <n v="0.04"/>
    <n v="2.16"/>
  </r>
  <r>
    <x v="1"/>
    <x v="6"/>
    <s v="Q2"/>
    <s v="Even Realities"/>
    <s v="G1"/>
    <s v="AR see-through"/>
    <s v="Tethered"/>
    <x v="7"/>
    <x v="10"/>
    <s v="JBD"/>
    <m/>
    <n v="0.13"/>
    <n v="640"/>
    <n v="480"/>
    <n v="6153.8461538461534"/>
    <s v="Unknown"/>
    <d v="2024-10-01T00:00:00"/>
    <n v="2"/>
    <n v="0.03"/>
    <n v="1.9661288760095994"/>
  </r>
  <r>
    <x v="1"/>
    <x v="6"/>
    <s v="Q2"/>
    <s v="RayNeo"/>
    <s v="Air 3"/>
    <s v="AR see-through"/>
    <s v="Tethered"/>
    <x v="2"/>
    <x v="4"/>
    <s v="SeeYa"/>
    <m/>
    <n v="0.6"/>
    <n v="1920"/>
    <n v="1080"/>
    <n v="3671.5119501371641"/>
    <s v="Unknown"/>
    <d v="2024-10-01T00:00:00"/>
    <n v="2"/>
    <n v="0.12"/>
    <n v="5.76"/>
  </r>
  <r>
    <x v="1"/>
    <x v="6"/>
    <s v="Q2"/>
    <s v="Vuzix"/>
    <s v="Z100"/>
    <s v="AR see-through"/>
    <s v="Tethered"/>
    <x v="7"/>
    <x v="9"/>
    <s v="JBD"/>
    <m/>
    <n v="0.13"/>
    <n v="640"/>
    <n v="480"/>
    <n v="6153.8461538461534"/>
    <s v="Unknown"/>
    <d v="2024-11-01T00:00:00"/>
    <n v="1"/>
    <n v="5.0000000000000001E-4"/>
    <n v="3.2768814600159991E-2"/>
  </r>
  <r>
    <x v="1"/>
    <x v="6"/>
    <s v="Q2"/>
    <s v="Meizu"/>
    <s v="Meizu StarV View"/>
    <s v="AR see-through"/>
    <s v="Tethered"/>
    <x v="2"/>
    <x v="4"/>
    <s v="Sony"/>
    <m/>
    <n v="0.55000000000000004"/>
    <n v="1920"/>
    <n v="1080"/>
    <n v="4005.2857637859966"/>
    <n v="120"/>
    <d v="2024-09-01T00:00:00"/>
    <n v="2"/>
    <n v="5.0000000000000001E-3"/>
    <n v="0.27"/>
  </r>
  <r>
    <x v="1"/>
    <x v="6"/>
    <s v="Q2"/>
    <s v="Meizu"/>
    <s v="Meizu StarV Air 2"/>
    <s v="AR see-through"/>
    <s v="Tethered"/>
    <x v="7"/>
    <x v="9"/>
    <s v="JBD"/>
    <m/>
    <n v="0.13"/>
    <n v="640"/>
    <n v="480"/>
    <n v="6153.8461538461534"/>
    <s v="Unknown"/>
    <d v="2024-11-01T00:00:00"/>
    <n v="1"/>
    <n v="0.04"/>
    <n v="2.6215051680127992"/>
  </r>
  <r>
    <x v="1"/>
    <x v="6"/>
    <s v="Q2"/>
    <s v="RayNeo"/>
    <s v="Air 3s Pro"/>
    <s v="AR see-through"/>
    <s v="Tethered"/>
    <x v="2"/>
    <x v="4"/>
    <s v="SeeYa"/>
    <m/>
    <n v="0.6"/>
    <n v="1920"/>
    <n v="1080"/>
    <n v="3671.5119501371641"/>
    <s v="Unknown"/>
    <d v="2025-08-01T00:00:00"/>
    <n v="2"/>
    <n v="5.5E-2"/>
    <n v="2.64"/>
  </r>
  <r>
    <x v="1"/>
    <x v="6"/>
    <s v="Q2"/>
    <s v="RayNeo"/>
    <s v="X3 Pro"/>
    <s v="AR see-through"/>
    <s v="Tethered"/>
    <x v="7"/>
    <x v="10"/>
    <s v="JBD"/>
    <m/>
    <n v="0.13"/>
    <n v="640"/>
    <n v="480"/>
    <n v="6153.8461538461534"/>
    <s v="Unknown"/>
    <d v="2025-06-01T00:00:00"/>
    <n v="2"/>
    <n v="6.0000000000000001E-3"/>
    <n v="0.54"/>
  </r>
  <r>
    <x v="1"/>
    <x v="6"/>
    <s v="Q2"/>
    <s v="Meta"/>
    <s v="Ray-Ban Meta Display"/>
    <s v="AR see-through"/>
    <s v="Tethered"/>
    <x v="4"/>
    <x v="11"/>
    <s v="Omnivision"/>
    <m/>
    <n v="0.14000000000000001"/>
    <n v="648"/>
    <n v="648"/>
    <n v="6545.7884886983247"/>
    <n v="120"/>
    <d v="2025-09-01T00:00:00"/>
    <n v="1"/>
    <n v="0.05"/>
    <n v="2.25"/>
  </r>
  <r>
    <x v="0"/>
    <x v="6"/>
    <s v="Q3"/>
    <s v="Bigscreen"/>
    <s v="Beyond"/>
    <s v="VR"/>
    <s v="Tethered"/>
    <x v="2"/>
    <x v="4"/>
    <s v="SeeYa"/>
    <m/>
    <n v="1.03"/>
    <n v="2560"/>
    <n v="2560"/>
    <n v="3514.9385627913821"/>
    <n v="90"/>
    <m/>
    <n v="2"/>
    <n v="0.02"/>
    <n v="2.16"/>
  </r>
  <r>
    <x v="0"/>
    <x v="6"/>
    <s v="Q3"/>
    <s v="Meta"/>
    <s v="Quest 3"/>
    <s v="VR"/>
    <s v="Standalone"/>
    <x v="0"/>
    <x v="1"/>
    <s v="Sharp"/>
    <s v="JDI"/>
    <m/>
    <m/>
    <m/>
    <n v="0"/>
    <m/>
    <d v="2023-10-01T00:00:00"/>
    <n v="2"/>
    <n v="0.45"/>
    <n v="15.945162855552002"/>
  </r>
  <r>
    <x v="0"/>
    <x v="6"/>
    <s v="Q3"/>
    <s v="Pico"/>
    <s v="Pico 4"/>
    <s v="VR"/>
    <s v="Standalone"/>
    <x v="0"/>
    <x v="1"/>
    <s v="Innolux"/>
    <m/>
    <n v="2.56"/>
    <n v="2160"/>
    <n v="2160"/>
    <n v="1193.242693252299"/>
    <n v="90"/>
    <d v="2022-09-01T00:00:00"/>
    <n v="2"/>
    <n v="0.15"/>
    <n v="5.3150542851840008"/>
  </r>
  <r>
    <x v="0"/>
    <x v="6"/>
    <s v="Q3"/>
    <s v="Others"/>
    <s v="Dual LCD VR headset"/>
    <s v="VR"/>
    <s v="Unknown"/>
    <x v="0"/>
    <x v="1"/>
    <s v="Unknown"/>
    <s v=" "/>
    <m/>
    <m/>
    <m/>
    <n v="0"/>
    <s v="Unknown"/>
    <s v=" "/>
    <n v="2"/>
    <n v="0.1"/>
    <n v="3.5433695234560005"/>
  </r>
  <r>
    <x v="0"/>
    <x v="6"/>
    <s v="Q3"/>
    <s v="Others"/>
    <s v="Dual SiOLED headset"/>
    <s v="VR"/>
    <s v="Unknown"/>
    <x v="2"/>
    <x v="4"/>
    <s v="Unknown"/>
    <m/>
    <m/>
    <m/>
    <m/>
    <n v="0"/>
    <s v="Unknown"/>
    <m/>
    <n v="2"/>
    <n v="0.02"/>
    <n v="2.6"/>
  </r>
  <r>
    <x v="0"/>
    <x v="6"/>
    <s v="Q3"/>
    <s v="Others"/>
    <s v="Single LCD VR headset"/>
    <s v="VR"/>
    <s v="Unknown"/>
    <x v="0"/>
    <x v="0"/>
    <s v="Unknown"/>
    <s v=" "/>
    <m/>
    <m/>
    <m/>
    <n v="0"/>
    <s v="Unknown"/>
    <s v=" "/>
    <n v="1"/>
    <n v="0.02"/>
    <n v="1.06"/>
  </r>
  <r>
    <x v="0"/>
    <x v="6"/>
    <s v="Q3"/>
    <s v="Meta"/>
    <s v="Quest 3S"/>
    <s v="VR"/>
    <s v="Standalone"/>
    <x v="0"/>
    <x v="0"/>
    <s v="JDI"/>
    <s v="Sharp"/>
    <n v="5.5"/>
    <n v="3840"/>
    <n v="1832"/>
    <n v="773.56797048396322"/>
    <n v="120"/>
    <d v="2024-10-01T00:00:00"/>
    <n v="1"/>
    <n v="0.6"/>
    <n v="32.4"/>
  </r>
  <r>
    <x v="1"/>
    <x v="6"/>
    <s v="Q3"/>
    <s v="Others"/>
    <s v="Binocular MicroLED"/>
    <s v="AR see-through"/>
    <s v="Unknown"/>
    <x v="7"/>
    <x v="10"/>
    <s v="Unknown"/>
    <m/>
    <m/>
    <m/>
    <m/>
    <n v="0"/>
    <s v="Unknown"/>
    <s v=" "/>
    <n v="2"/>
    <n v="2.1999999999999999E-2"/>
    <n v="1.4418278424070397"/>
  </r>
  <r>
    <x v="1"/>
    <x v="6"/>
    <s v="Q3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5957137640311296E-3"/>
  </r>
  <r>
    <x v="1"/>
    <x v="6"/>
    <s v="Q3"/>
    <s v="Others"/>
    <s v="LCoS glasses"/>
    <s v="AR see-through"/>
    <s v="Unknown"/>
    <x v="4"/>
    <x v="6"/>
    <s v="Unknown"/>
    <m/>
    <m/>
    <m/>
    <m/>
    <n v="0"/>
    <s v="Unknown"/>
    <s v=" "/>
    <n v="2"/>
    <n v="4.4000000000000003E-3"/>
    <n v="0.1905555822387624"/>
  </r>
  <r>
    <x v="1"/>
    <x v="6"/>
    <s v="Q3"/>
    <s v="Others"/>
    <s v="Monocular MicroLED"/>
    <s v="AR see-through"/>
    <s v="Unknown"/>
    <x v="7"/>
    <x v="9"/>
    <s v="Unknown"/>
    <m/>
    <m/>
    <m/>
    <m/>
    <n v="0"/>
    <s v="Unknown"/>
    <s v=" "/>
    <n v="1"/>
    <n v="3.3000000000000002E-2"/>
    <n v="2.1627417636105597"/>
  </r>
  <r>
    <x v="1"/>
    <x v="6"/>
    <s v="Q3"/>
    <s v="Others"/>
    <s v="SiOLED glasses"/>
    <s v="AR see-through"/>
    <s v="Unknown"/>
    <x v="2"/>
    <x v="4"/>
    <s v="Unknown"/>
    <m/>
    <m/>
    <m/>
    <m/>
    <n v="0"/>
    <s v="Unknown"/>
    <s v=" "/>
    <n v="2"/>
    <n v="0.26400000000000001"/>
    <n v="14.520000000000001"/>
  </r>
  <r>
    <x v="1"/>
    <x v="6"/>
    <s v="Q3"/>
    <s v="Others"/>
    <s v="Monocular LCoS glasses"/>
    <s v="AR see-through"/>
    <s v="Tethered"/>
    <x v="4"/>
    <x v="11"/>
    <s v="Unknown"/>
    <m/>
    <m/>
    <m/>
    <m/>
    <n v="0"/>
    <s v="Unknown"/>
    <m/>
    <n v="1"/>
    <n v="4.3999999999999997E-2"/>
    <n v="1.9055558223876239"/>
  </r>
  <r>
    <x v="1"/>
    <x v="6"/>
    <s v="Q3"/>
    <s v="Rokid"/>
    <s v="Glasses"/>
    <s v="AR see-through"/>
    <s v="Tethered"/>
    <x v="7"/>
    <x v="9"/>
    <s v="JBD"/>
    <m/>
    <n v="0.13"/>
    <n v="640"/>
    <n v="480"/>
    <n v="6153.8461538461534"/>
    <s v="Unknown"/>
    <d v="2024-12-01T00:00:00"/>
    <n v="1"/>
    <n v="0.02"/>
    <n v="1.3107525840063996"/>
  </r>
  <r>
    <x v="1"/>
    <x v="6"/>
    <s v="Q3"/>
    <s v="XREAL"/>
    <s v="One"/>
    <s v="AR see-through"/>
    <s v="Tethered"/>
    <x v="2"/>
    <x v="4"/>
    <s v="Sony"/>
    <m/>
    <n v="0.68"/>
    <n v="1920"/>
    <n v="1200"/>
    <n v="3329.6403995493893"/>
    <n v="120"/>
    <d v="2024-12-01T00:00:00"/>
    <n v="2"/>
    <n v="4.4999999999999998E-2"/>
    <n v="2.25"/>
  </r>
  <r>
    <x v="1"/>
    <x v="6"/>
    <s v="Q3"/>
    <s v="XREAL"/>
    <s v="One Pro"/>
    <s v="AR see-through"/>
    <s v="Tethered"/>
    <x v="2"/>
    <x v="4"/>
    <s v="Sony"/>
    <m/>
    <n v="0.55000000000000004"/>
    <n v="1920"/>
    <n v="1080"/>
    <n v="4005.2857637859966"/>
    <n v="120"/>
    <d v="2024-12-01T00:00:00"/>
    <n v="2"/>
    <n v="0.04"/>
    <n v="2.16"/>
  </r>
  <r>
    <x v="1"/>
    <x v="6"/>
    <s v="Q3"/>
    <s v="Even Realities"/>
    <s v="G1"/>
    <s v="AR see-through"/>
    <s v="Tethered"/>
    <x v="7"/>
    <x v="10"/>
    <s v="JBD"/>
    <m/>
    <n v="0.13"/>
    <n v="640"/>
    <n v="480"/>
    <n v="6153.8461538461534"/>
    <s v="Unknown"/>
    <d v="2024-10-01T00:00:00"/>
    <n v="2"/>
    <n v="0.01"/>
    <n v="0.6553762920031998"/>
  </r>
  <r>
    <x v="1"/>
    <x v="6"/>
    <s v="Q3"/>
    <s v="RayNeo"/>
    <s v="Air 3"/>
    <s v="AR see-through"/>
    <s v="Tethered"/>
    <x v="2"/>
    <x v="4"/>
    <s v="SeeYa"/>
    <m/>
    <n v="0.6"/>
    <n v="1920"/>
    <n v="1080"/>
    <n v="3671.5119501371641"/>
    <s v="Unknown"/>
    <d v="2024-10-01T00:00:00"/>
    <n v="2"/>
    <n v="0.06"/>
    <n v="2.88"/>
  </r>
  <r>
    <x v="1"/>
    <x v="6"/>
    <s v="Q3"/>
    <s v="Meizu"/>
    <s v="Meizu StarV Air 2"/>
    <s v="AR see-through"/>
    <s v="Tethered"/>
    <x v="7"/>
    <x v="9"/>
    <s v="JBD"/>
    <m/>
    <n v="0.13"/>
    <n v="640"/>
    <n v="480"/>
    <n v="6153.8461538461534"/>
    <s v="Unknown"/>
    <d v="2024-11-01T00:00:00"/>
    <n v="1"/>
    <n v="0.01"/>
    <n v="0.6553762920031998"/>
  </r>
  <r>
    <x v="1"/>
    <x v="6"/>
    <s v="Q3"/>
    <s v="RayNeo"/>
    <s v="Air 3s Pro"/>
    <s v="AR see-through"/>
    <s v="Tethered"/>
    <x v="2"/>
    <x v="4"/>
    <s v="SeeYa"/>
    <m/>
    <n v="0.6"/>
    <n v="1920"/>
    <n v="1080"/>
    <n v="3671.5119501371641"/>
    <s v="Unknown"/>
    <d v="2025-08-01T00:00:00"/>
    <n v="2"/>
    <n v="5.5E-2"/>
    <n v="2.64"/>
  </r>
  <r>
    <x v="1"/>
    <x v="6"/>
    <s v="Q3"/>
    <s v="RayNeo"/>
    <s v="X3 Pro"/>
    <s v="AR see-through"/>
    <s v="Tethered"/>
    <x v="7"/>
    <x v="10"/>
    <s v="JBD"/>
    <m/>
    <n v="0.13"/>
    <n v="640"/>
    <n v="480"/>
    <n v="6153.8461538461534"/>
    <s v="Unknown"/>
    <d v="2025-06-01T00:00:00"/>
    <n v="2"/>
    <n v="3.0000000000000001E-3"/>
    <n v="0.27"/>
  </r>
  <r>
    <x v="1"/>
    <x v="6"/>
    <s v="Q3"/>
    <s v="Meta"/>
    <s v="Ray-Ban Meta Display"/>
    <s v="AR see-through"/>
    <s v="Tethered"/>
    <x v="4"/>
    <x v="11"/>
    <s v="Omnivision"/>
    <m/>
    <n v="0.14000000000000001"/>
    <n v="648"/>
    <n v="648"/>
    <n v="6545.7884886983247"/>
    <n v="120"/>
    <d v="2025-09-01T00:00:00"/>
    <n v="1"/>
    <n v="0.05"/>
    <n v="2.25"/>
  </r>
  <r>
    <x v="1"/>
    <x v="6"/>
    <s v="Q3"/>
    <s v="Alibaba"/>
    <s v="Quark AI"/>
    <s v="AR see-through"/>
    <s v="Tethered"/>
    <x v="7"/>
    <x v="10"/>
    <s v="JBD"/>
    <m/>
    <n v="0.13"/>
    <n v="640"/>
    <n v="480"/>
    <n v="6153.8461538461534"/>
    <s v="Unknown"/>
    <d v="2025-12-01T00:00:00"/>
    <n v="2"/>
    <n v="2.5000000000000001E-2"/>
    <n v="1.5"/>
  </r>
  <r>
    <x v="0"/>
    <x v="6"/>
    <s v="Q4"/>
    <s v="Meta"/>
    <s v="Quest 3"/>
    <s v="VR"/>
    <s v="Standalone"/>
    <x v="0"/>
    <x v="1"/>
    <s v="Sharp"/>
    <s v="JDI"/>
    <m/>
    <m/>
    <m/>
    <n v="0"/>
    <m/>
    <d v="2023-10-01T00:00:00"/>
    <n v="2"/>
    <n v="0.45"/>
    <n v="15.945162855552002"/>
  </r>
  <r>
    <x v="0"/>
    <x v="6"/>
    <s v="Q4"/>
    <s v="Others"/>
    <s v="Dual LCD VR headset"/>
    <s v="VR"/>
    <s v="Unknown"/>
    <x v="0"/>
    <x v="1"/>
    <s v="Unknown"/>
    <s v=" "/>
    <m/>
    <m/>
    <m/>
    <n v="0"/>
    <s v="Unknown"/>
    <s v=" "/>
    <n v="2"/>
    <n v="0.3"/>
    <n v="10.630108570368002"/>
  </r>
  <r>
    <x v="0"/>
    <x v="6"/>
    <s v="Q4"/>
    <s v="Others"/>
    <s v="Dual SiOLED headset"/>
    <s v="VR"/>
    <s v="Unknown"/>
    <x v="2"/>
    <x v="4"/>
    <s v="Unknown"/>
    <m/>
    <m/>
    <m/>
    <m/>
    <n v="0"/>
    <s v="Unknown"/>
    <m/>
    <n v="2"/>
    <n v="0.11"/>
    <n v="14.3"/>
  </r>
  <r>
    <x v="0"/>
    <x v="6"/>
    <s v="Q4"/>
    <s v="Others"/>
    <s v="Single LCD VR headset"/>
    <s v="VR"/>
    <s v="Unknown"/>
    <x v="0"/>
    <x v="0"/>
    <s v="Unknown"/>
    <s v=" "/>
    <m/>
    <m/>
    <m/>
    <n v="0"/>
    <s v="Unknown"/>
    <s v=" "/>
    <n v="1"/>
    <n v="0.02"/>
    <n v="1.06"/>
  </r>
  <r>
    <x v="0"/>
    <x v="6"/>
    <s v="Q4"/>
    <s v="Meta"/>
    <s v="Quest 3S"/>
    <s v="VR"/>
    <s v="Standalone"/>
    <x v="0"/>
    <x v="0"/>
    <s v="JDI"/>
    <s v="Sharp"/>
    <n v="5.5"/>
    <n v="3840"/>
    <n v="1832"/>
    <n v="773.56797048396322"/>
    <n v="120"/>
    <d v="2024-10-01T00:00:00"/>
    <n v="1"/>
    <n v="0.6"/>
    <n v="32.4"/>
  </r>
  <r>
    <x v="1"/>
    <x v="6"/>
    <s v="Q4"/>
    <s v="Others"/>
    <s v="Binocular MicroLED"/>
    <s v="AR see-through"/>
    <s v="Unknown"/>
    <x v="7"/>
    <x v="10"/>
    <s v="Unknown"/>
    <m/>
    <m/>
    <m/>
    <m/>
    <n v="0"/>
    <s v="Unknown"/>
    <s v=" "/>
    <n v="2"/>
    <n v="2.1999999999999999E-2"/>
    <n v="1.4418278424070397"/>
  </r>
  <r>
    <x v="1"/>
    <x v="6"/>
    <s v="Q4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5957137640311296E-3"/>
  </r>
  <r>
    <x v="1"/>
    <x v="6"/>
    <s v="Q4"/>
    <s v="Others"/>
    <s v="LCoS glasses"/>
    <s v="AR see-through"/>
    <s v="Unknown"/>
    <x v="4"/>
    <x v="6"/>
    <s v="Unknown"/>
    <m/>
    <m/>
    <m/>
    <m/>
    <n v="0"/>
    <s v="Unknown"/>
    <s v=" "/>
    <n v="2"/>
    <n v="2.1999999999999999E-2"/>
    <n v="0.95277791119381194"/>
  </r>
  <r>
    <x v="1"/>
    <x v="6"/>
    <s v="Q4"/>
    <s v="Others"/>
    <s v="Monocular MicroLED"/>
    <s v="AR see-through"/>
    <s v="Unknown"/>
    <x v="7"/>
    <x v="9"/>
    <s v="Unknown"/>
    <m/>
    <m/>
    <m/>
    <m/>
    <n v="0"/>
    <s v="Unknown"/>
    <s v=" "/>
    <n v="1"/>
    <n v="3.3000000000000002E-2"/>
    <n v="2.1627417636105597"/>
  </r>
  <r>
    <x v="1"/>
    <x v="6"/>
    <s v="Q4"/>
    <s v="Others"/>
    <s v="SiOLED glasses"/>
    <s v="AR see-through"/>
    <s v="Unknown"/>
    <x v="2"/>
    <x v="4"/>
    <s v="Unknown"/>
    <m/>
    <m/>
    <m/>
    <m/>
    <n v="0"/>
    <s v="Unknown"/>
    <s v=" "/>
    <n v="2"/>
    <n v="0.308"/>
    <n v="16.940000000000001"/>
  </r>
  <r>
    <x v="1"/>
    <x v="6"/>
    <s v="Q4"/>
    <s v="Others"/>
    <s v="Monocular LCoS glasses"/>
    <s v="AR see-through"/>
    <s v="Tethered"/>
    <x v="4"/>
    <x v="11"/>
    <s v="Unknown"/>
    <m/>
    <m/>
    <m/>
    <m/>
    <n v="0"/>
    <s v="Unknown"/>
    <m/>
    <n v="1"/>
    <n v="1.0999999999999999E-2"/>
    <n v="0.47638895559690597"/>
  </r>
  <r>
    <x v="0"/>
    <x v="7"/>
    <s v="Q1"/>
    <s v="Others"/>
    <s v="Dual LCD VR headset"/>
    <s v="VR"/>
    <s v="Unknown"/>
    <x v="0"/>
    <x v="1"/>
    <s v="Unknown"/>
    <s v=" "/>
    <m/>
    <m/>
    <m/>
    <n v="0"/>
    <s v="Unknown"/>
    <s v=" "/>
    <n v="2"/>
    <n v="1.65"/>
    <n v="57.29628519428352"/>
  </r>
  <r>
    <x v="0"/>
    <x v="7"/>
    <s v="Q1"/>
    <s v="Others"/>
    <s v="Dual SiOLED headset"/>
    <s v="VR"/>
    <s v="Unknown"/>
    <x v="2"/>
    <x v="4"/>
    <s v="Unknown"/>
    <m/>
    <m/>
    <m/>
    <m/>
    <n v="0"/>
    <s v="Unknown"/>
    <m/>
    <n v="2"/>
    <n v="0.11"/>
    <n v="14.3"/>
  </r>
  <r>
    <x v="0"/>
    <x v="7"/>
    <s v="Q1"/>
    <s v="Others"/>
    <s v="OLED VR headset"/>
    <s v="VR"/>
    <s v="Unknown"/>
    <x v="1"/>
    <x v="2"/>
    <s v="Unknown"/>
    <s v=" "/>
    <m/>
    <m/>
    <m/>
    <n v="0"/>
    <s v="Unknown"/>
    <s v=" "/>
    <n v="2"/>
    <n v="2.1999999999999999E-2"/>
    <n v="0.86571055531690477"/>
  </r>
  <r>
    <x v="0"/>
    <x v="7"/>
    <s v="Q1"/>
    <s v="Others"/>
    <s v="Single LCD VR headset"/>
    <s v="VR"/>
    <s v="Unknown"/>
    <x v="0"/>
    <x v="0"/>
    <s v="Unknown"/>
    <s v=" "/>
    <m/>
    <m/>
    <m/>
    <n v="0"/>
    <s v="Unknown"/>
    <s v=" "/>
    <n v="1"/>
    <n v="0.55000000000000004"/>
    <n v="28.648142597141753"/>
  </r>
  <r>
    <x v="1"/>
    <x v="7"/>
    <s v="Q1"/>
    <s v="Others"/>
    <s v="Binocular MicroLED"/>
    <s v="AR see-through"/>
    <s v="Unknown"/>
    <x v="7"/>
    <x v="10"/>
    <s v="Unknown"/>
    <m/>
    <m/>
    <m/>
    <m/>
    <n v="0"/>
    <s v="Unknown"/>
    <s v=" "/>
    <n v="2"/>
    <n v="2.64E-2"/>
    <n v="1.6263818062351405"/>
  </r>
  <r>
    <x v="1"/>
    <x v="7"/>
    <s v="Q1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509756626390818E-3"/>
  </r>
  <r>
    <x v="1"/>
    <x v="7"/>
    <s v="Q1"/>
    <s v="Others"/>
    <s v="LCoS glasses"/>
    <s v="AR see-through"/>
    <s v="Unknown"/>
    <x v="4"/>
    <x v="6"/>
    <s v="Unknown"/>
    <m/>
    <m/>
    <m/>
    <m/>
    <n v="0"/>
    <s v="Unknown"/>
    <s v=" "/>
    <n v="2"/>
    <n v="5.5E-2"/>
    <n v="2.3581253302046847"/>
  </r>
  <r>
    <x v="1"/>
    <x v="7"/>
    <s v="Q1"/>
    <s v="Others"/>
    <s v="Monocular MicroLED"/>
    <s v="AR see-through"/>
    <s v="Unknown"/>
    <x v="7"/>
    <x v="9"/>
    <s v="Unknown"/>
    <m/>
    <m/>
    <m/>
    <m/>
    <n v="0"/>
    <s v="Unknown"/>
    <s v=" "/>
    <n v="1"/>
    <n v="3.85E-2"/>
    <n v="2.3718068007595798"/>
  </r>
  <r>
    <x v="1"/>
    <x v="7"/>
    <s v="Q1"/>
    <s v="Others"/>
    <s v="SiOLED glasses"/>
    <s v="AR see-through"/>
    <s v="Unknown"/>
    <x v="2"/>
    <x v="4"/>
    <s v="Unknown"/>
    <m/>
    <m/>
    <m/>
    <m/>
    <n v="0"/>
    <s v="Unknown"/>
    <s v=" "/>
    <n v="2"/>
    <n v="0.33"/>
    <n v="17.16"/>
  </r>
  <r>
    <x v="1"/>
    <x v="7"/>
    <s v="Q1"/>
    <s v="Others"/>
    <s v="Monocular LCoS glasses"/>
    <s v="AR see-through"/>
    <s v="Tethered"/>
    <x v="4"/>
    <x v="11"/>
    <s v="Unknown"/>
    <m/>
    <m/>
    <m/>
    <m/>
    <n v="0"/>
    <s v="Unknown"/>
    <m/>
    <n v="1"/>
    <n v="2.1999999999999999E-2"/>
    <n v="0.9432501320818738"/>
  </r>
  <r>
    <x v="0"/>
    <x v="7"/>
    <s v="Q2"/>
    <s v="Others"/>
    <s v="Dual LCD VR headset"/>
    <s v="VR"/>
    <s v="Unknown"/>
    <x v="0"/>
    <x v="1"/>
    <s v="Unknown"/>
    <s v=" "/>
    <m/>
    <m/>
    <m/>
    <n v="0"/>
    <s v="Unknown"/>
    <s v=" "/>
    <n v="2"/>
    <n v="2.0459999999999998"/>
    <n v="71.047393640911565"/>
  </r>
  <r>
    <x v="0"/>
    <x v="7"/>
    <s v="Q2"/>
    <s v="Others"/>
    <s v="Dual SiOLED headset"/>
    <s v="VR"/>
    <s v="Unknown"/>
    <x v="2"/>
    <x v="4"/>
    <s v="Unknown"/>
    <m/>
    <m/>
    <m/>
    <m/>
    <n v="0"/>
    <s v="Unknown"/>
    <m/>
    <n v="2"/>
    <n v="0.308"/>
    <n v="40.04"/>
  </r>
  <r>
    <x v="0"/>
    <x v="7"/>
    <s v="Q2"/>
    <s v="Others"/>
    <s v="OLED VR headset"/>
    <s v="VR"/>
    <s v="Unknown"/>
    <x v="1"/>
    <x v="2"/>
    <s v="Unknown"/>
    <s v=" "/>
    <m/>
    <m/>
    <m/>
    <n v="0"/>
    <s v="Unknown"/>
    <s v=" "/>
    <n v="2"/>
    <n v="2.1999999999999999E-2"/>
    <n v="0.86571055531690477"/>
  </r>
  <r>
    <x v="0"/>
    <x v="7"/>
    <s v="Q2"/>
    <s v="Others"/>
    <s v="Single LCD VR headset"/>
    <s v="VR"/>
    <s v="Unknown"/>
    <x v="0"/>
    <x v="0"/>
    <s v="Unknown"/>
    <s v=" "/>
    <m/>
    <m/>
    <m/>
    <n v="0"/>
    <s v="Unknown"/>
    <s v=" "/>
    <n v="1"/>
    <n v="0.55000000000000004"/>
    <n v="28.648142597141753"/>
  </r>
  <r>
    <x v="1"/>
    <x v="7"/>
    <s v="Q2"/>
    <s v="Others"/>
    <s v="Binocular MicroLED"/>
    <s v="AR see-through"/>
    <s v="Unknown"/>
    <x v="7"/>
    <x v="10"/>
    <s v="Unknown"/>
    <m/>
    <m/>
    <m/>
    <m/>
    <n v="0"/>
    <s v="Unknown"/>
    <s v=" "/>
    <n v="2"/>
    <n v="7.9200000000000007E-2"/>
    <n v="4.8791454187054217"/>
  </r>
  <r>
    <x v="1"/>
    <x v="7"/>
    <s v="Q2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509756626390818E-3"/>
  </r>
  <r>
    <x v="1"/>
    <x v="7"/>
    <s v="Q2"/>
    <s v="Others"/>
    <s v="LCoS glasses"/>
    <s v="AR see-through"/>
    <s v="Unknown"/>
    <x v="4"/>
    <x v="6"/>
    <s v="Unknown"/>
    <m/>
    <m/>
    <m/>
    <m/>
    <n v="0"/>
    <s v="Unknown"/>
    <s v=" "/>
    <n v="2"/>
    <n v="6.6000000000000003E-2"/>
    <n v="2.8297503962456214"/>
  </r>
  <r>
    <x v="1"/>
    <x v="7"/>
    <s v="Q2"/>
    <s v="Others"/>
    <s v="Monocular MicroLED"/>
    <s v="AR see-through"/>
    <s v="Unknown"/>
    <x v="7"/>
    <x v="9"/>
    <s v="Unknown"/>
    <m/>
    <m/>
    <m/>
    <m/>
    <n v="0"/>
    <s v="Unknown"/>
    <s v=" "/>
    <n v="1"/>
    <n v="5.5E-2"/>
    <n v="3.3882954296565431"/>
  </r>
  <r>
    <x v="1"/>
    <x v="7"/>
    <s v="Q2"/>
    <s v="Others"/>
    <s v="SiOLED glasses"/>
    <s v="AR see-through"/>
    <s v="Unknown"/>
    <x v="2"/>
    <x v="4"/>
    <s v="Unknown"/>
    <m/>
    <m/>
    <m/>
    <m/>
    <n v="0"/>
    <s v="Unknown"/>
    <s v=" "/>
    <n v="2"/>
    <n v="0.55000000000000004"/>
    <n v="28.6"/>
  </r>
  <r>
    <x v="1"/>
    <x v="7"/>
    <s v="Q2"/>
    <s v="Others"/>
    <s v="Monocular LCoS glasses"/>
    <s v="AR see-through"/>
    <s v="Tethered"/>
    <x v="4"/>
    <x v="11"/>
    <s v="Unknown"/>
    <m/>
    <m/>
    <m/>
    <m/>
    <n v="0"/>
    <s v="Unknown"/>
    <m/>
    <n v="1"/>
    <n v="0.11"/>
    <n v="4.7162506604093695"/>
  </r>
  <r>
    <x v="0"/>
    <x v="7"/>
    <s v="Q3"/>
    <s v="Others"/>
    <s v="Dual LCD VR headset"/>
    <s v="VR"/>
    <s v="Unknown"/>
    <x v="0"/>
    <x v="1"/>
    <s v="Unknown"/>
    <s v=" "/>
    <m/>
    <m/>
    <m/>
    <n v="0"/>
    <s v="Unknown"/>
    <s v=" "/>
    <n v="2"/>
    <n v="1.32"/>
    <n v="45.837028155426822"/>
  </r>
  <r>
    <x v="0"/>
    <x v="7"/>
    <s v="Q3"/>
    <s v="Others"/>
    <s v="Dual SiOLED headset"/>
    <s v="VR"/>
    <s v="Unknown"/>
    <x v="2"/>
    <x v="4"/>
    <s v="Unknown"/>
    <m/>
    <m/>
    <m/>
    <m/>
    <n v="0"/>
    <s v="Unknown"/>
    <m/>
    <n v="2"/>
    <n v="0.33"/>
    <n v="42.9"/>
  </r>
  <r>
    <x v="0"/>
    <x v="7"/>
    <s v="Q3"/>
    <s v="Others"/>
    <s v="OLED VR headset"/>
    <s v="VR"/>
    <s v="Unknown"/>
    <x v="1"/>
    <x v="2"/>
    <s v="Unknown"/>
    <s v=" "/>
    <m/>
    <m/>
    <m/>
    <n v="0"/>
    <s v="Unknown"/>
    <s v=" "/>
    <n v="2"/>
    <n v="2.1999999999999999E-2"/>
    <n v="0.86571055531690477"/>
  </r>
  <r>
    <x v="0"/>
    <x v="7"/>
    <s v="Q3"/>
    <s v="Others"/>
    <s v="Single LCD VR headset"/>
    <s v="VR"/>
    <s v="Unknown"/>
    <x v="0"/>
    <x v="0"/>
    <s v="Unknown"/>
    <s v=" "/>
    <m/>
    <m/>
    <m/>
    <n v="0"/>
    <s v="Unknown"/>
    <s v=" "/>
    <n v="1"/>
    <n v="0.38500000000000001"/>
    <n v="20.053699817999227"/>
  </r>
  <r>
    <x v="1"/>
    <x v="7"/>
    <s v="Q3"/>
    <s v="Others"/>
    <s v="Binocular MicroLED"/>
    <s v="AR see-through"/>
    <s v="Unknown"/>
    <x v="7"/>
    <x v="10"/>
    <s v="Unknown"/>
    <m/>
    <m/>
    <m/>
    <m/>
    <n v="0"/>
    <s v="Unknown"/>
    <s v=" "/>
    <n v="2"/>
    <n v="4.3999999999999997E-2"/>
    <n v="2.7106363437252341"/>
  </r>
  <r>
    <x v="1"/>
    <x v="7"/>
    <s v="Q3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509756626390818E-3"/>
  </r>
  <r>
    <x v="1"/>
    <x v="7"/>
    <s v="Q3"/>
    <s v="Others"/>
    <s v="LCoS glasses"/>
    <s v="AR see-through"/>
    <s v="Unknown"/>
    <x v="4"/>
    <x v="6"/>
    <s v="Unknown"/>
    <m/>
    <m/>
    <m/>
    <m/>
    <n v="0"/>
    <s v="Unknown"/>
    <s v=" "/>
    <n v="2"/>
    <n v="3.3000000000000002E-2"/>
    <n v="1.4148751981228107"/>
  </r>
  <r>
    <x v="1"/>
    <x v="7"/>
    <s v="Q3"/>
    <s v="Others"/>
    <s v="Monocular MicroLED"/>
    <s v="AR see-through"/>
    <s v="Unknown"/>
    <x v="7"/>
    <x v="9"/>
    <s v="Unknown"/>
    <m/>
    <m/>
    <m/>
    <m/>
    <n v="0"/>
    <s v="Unknown"/>
    <s v=" "/>
    <n v="1"/>
    <n v="5.5E-2"/>
    <n v="3.3882954296565431"/>
  </r>
  <r>
    <x v="1"/>
    <x v="7"/>
    <s v="Q3"/>
    <s v="Others"/>
    <s v="SiOLED glasses"/>
    <s v="AR see-through"/>
    <s v="Unknown"/>
    <x v="2"/>
    <x v="4"/>
    <s v="Unknown"/>
    <m/>
    <m/>
    <m/>
    <m/>
    <n v="0"/>
    <s v="Unknown"/>
    <s v=" "/>
    <n v="2"/>
    <n v="0.33"/>
    <n v="17.16"/>
  </r>
  <r>
    <x v="1"/>
    <x v="7"/>
    <s v="Q3"/>
    <s v="Others"/>
    <s v="Monocular LCoS glasses"/>
    <s v="AR see-through"/>
    <s v="Tethered"/>
    <x v="4"/>
    <x v="11"/>
    <s v="Unknown"/>
    <m/>
    <m/>
    <m/>
    <m/>
    <n v="0"/>
    <s v="Unknown"/>
    <m/>
    <n v="1"/>
    <n v="5.5E-2"/>
    <n v="2.3581253302046847"/>
  </r>
  <r>
    <x v="0"/>
    <x v="7"/>
    <s v="Q4"/>
    <s v="Others"/>
    <s v="Dual LCD VR headset"/>
    <s v="VR"/>
    <s v="Unknown"/>
    <x v="0"/>
    <x v="1"/>
    <s v="Unknown"/>
    <s v=" "/>
    <m/>
    <m/>
    <m/>
    <n v="0"/>
    <s v="Unknown"/>
    <s v=" "/>
    <n v="2"/>
    <n v="1.32"/>
    <n v="45.837028155426822"/>
  </r>
  <r>
    <x v="0"/>
    <x v="7"/>
    <s v="Q4"/>
    <s v="Others"/>
    <s v="Dual SiOLED headset"/>
    <s v="VR"/>
    <s v="Unknown"/>
    <x v="2"/>
    <x v="4"/>
    <s v="Unknown"/>
    <m/>
    <m/>
    <m/>
    <m/>
    <n v="0"/>
    <s v="Unknown"/>
    <m/>
    <n v="2"/>
    <n v="0.33"/>
    <n v="42.9"/>
  </r>
  <r>
    <x v="0"/>
    <x v="7"/>
    <s v="Q4"/>
    <s v="Others"/>
    <s v="OLED VR headset"/>
    <s v="VR"/>
    <s v="Unknown"/>
    <x v="1"/>
    <x v="2"/>
    <s v="Unknown"/>
    <s v=" "/>
    <m/>
    <m/>
    <m/>
    <n v="0"/>
    <s v="Unknown"/>
    <s v=" "/>
    <n v="2"/>
    <n v="2.1999999999999999E-2"/>
    <n v="0.86571055531690477"/>
  </r>
  <r>
    <x v="0"/>
    <x v="7"/>
    <s v="Q4"/>
    <s v="Others"/>
    <s v="Single LCD VR headset"/>
    <s v="VR"/>
    <s v="Unknown"/>
    <x v="0"/>
    <x v="0"/>
    <s v="Unknown"/>
    <s v=" "/>
    <m/>
    <m/>
    <m/>
    <n v="0"/>
    <s v="Unknown"/>
    <s v=" "/>
    <n v="1"/>
    <n v="0.16500000000000001"/>
    <n v="8.5944427791425255"/>
  </r>
  <r>
    <x v="1"/>
    <x v="7"/>
    <s v="Q4"/>
    <s v="Others"/>
    <s v="Binocular MicroLED"/>
    <s v="AR see-through"/>
    <s v="Unknown"/>
    <x v="7"/>
    <x v="10"/>
    <s v="Unknown"/>
    <m/>
    <m/>
    <m/>
    <m/>
    <n v="0"/>
    <s v="Unknown"/>
    <s v=" "/>
    <n v="2"/>
    <n v="4.3999999999999997E-2"/>
    <n v="2.7106363437252341"/>
  </r>
  <r>
    <x v="1"/>
    <x v="7"/>
    <s v="Q4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509756626390818E-3"/>
  </r>
  <r>
    <x v="1"/>
    <x v="7"/>
    <s v="Q4"/>
    <s v="Others"/>
    <s v="LCoS glasses"/>
    <s v="AR see-through"/>
    <s v="Unknown"/>
    <x v="4"/>
    <x v="6"/>
    <s v="Unknown"/>
    <m/>
    <m/>
    <m/>
    <m/>
    <n v="0"/>
    <s v="Unknown"/>
    <s v=" "/>
    <n v="2"/>
    <n v="3.3000000000000002E-2"/>
    <n v="1.4148751981228107"/>
  </r>
  <r>
    <x v="1"/>
    <x v="7"/>
    <s v="Q4"/>
    <s v="Others"/>
    <s v="Monocular MicroLED"/>
    <s v="AR see-through"/>
    <s v="Unknown"/>
    <x v="7"/>
    <x v="9"/>
    <s v="Unknown"/>
    <m/>
    <m/>
    <m/>
    <m/>
    <n v="0"/>
    <s v="Unknown"/>
    <s v=" "/>
    <n v="1"/>
    <n v="5.5E-2"/>
    <n v="3.3882954296565431"/>
  </r>
  <r>
    <x v="1"/>
    <x v="7"/>
    <s v="Q4"/>
    <s v="Others"/>
    <s v="SiOLED glasses"/>
    <s v="AR see-through"/>
    <s v="Unknown"/>
    <x v="2"/>
    <x v="4"/>
    <s v="Unknown"/>
    <m/>
    <m/>
    <m/>
    <m/>
    <n v="0"/>
    <s v="Unknown"/>
    <s v=" "/>
    <n v="2"/>
    <n v="0.44"/>
    <n v="22.88"/>
  </r>
  <r>
    <x v="1"/>
    <x v="7"/>
    <s v="Q4"/>
    <s v="Others"/>
    <s v="Monocular LCoS glasses"/>
    <s v="AR see-through"/>
    <s v="Tethered"/>
    <x v="4"/>
    <x v="11"/>
    <s v="Unknown"/>
    <m/>
    <m/>
    <m/>
    <m/>
    <n v="0"/>
    <s v="Unknown"/>
    <m/>
    <n v="1"/>
    <n v="5.5E-2"/>
    <n v="2.3581253302046847"/>
  </r>
  <r>
    <x v="0"/>
    <x v="8"/>
    <s v="Q1"/>
    <s v="Others"/>
    <s v="Dual LCD VR headset"/>
    <s v="VR"/>
    <s v="Unknown"/>
    <x v="0"/>
    <x v="1"/>
    <s v="Unknown"/>
    <s v=" "/>
    <m/>
    <m/>
    <m/>
    <n v="0"/>
    <s v="Unknown"/>
    <s v=" "/>
    <n v="2"/>
    <n v="2.64"/>
    <n v="89.840575184636563"/>
  </r>
  <r>
    <x v="0"/>
    <x v="8"/>
    <s v="Q1"/>
    <s v="Others"/>
    <s v="Dual SiOLED headset"/>
    <s v="VR"/>
    <s v="Unknown"/>
    <x v="2"/>
    <x v="4"/>
    <s v="Unknown"/>
    <m/>
    <m/>
    <m/>
    <m/>
    <n v="0"/>
    <s v="Unknown"/>
    <m/>
    <n v="2"/>
    <n v="0.52800000000000002"/>
    <n v="64.135049932800015"/>
  </r>
  <r>
    <x v="0"/>
    <x v="8"/>
    <s v="Q1"/>
    <s v="Others"/>
    <s v="OLED VR headset"/>
    <s v="VR"/>
    <s v="Unknown"/>
    <x v="1"/>
    <x v="2"/>
    <s v="Unknown"/>
    <s v=" "/>
    <m/>
    <m/>
    <m/>
    <n v="0"/>
    <s v="Unknown"/>
    <s v=" "/>
    <n v="2"/>
    <n v="0.11"/>
    <n v="4.0746249399083414"/>
  </r>
  <r>
    <x v="0"/>
    <x v="8"/>
    <s v="Q1"/>
    <s v="Others"/>
    <s v="Single LCD VR headset"/>
    <s v="VR"/>
    <s v="Unknown"/>
    <x v="0"/>
    <x v="0"/>
    <s v="Unknown"/>
    <s v=" "/>
    <m/>
    <m/>
    <m/>
    <n v="0"/>
    <s v="Unknown"/>
    <s v=" "/>
    <n v="1"/>
    <n v="0.27500000000000002"/>
    <n v="14.03758987259946"/>
  </r>
  <r>
    <x v="1"/>
    <x v="8"/>
    <s v="Q1"/>
    <s v="Others"/>
    <s v="Binocular MicroLED"/>
    <s v="AR see-through"/>
    <s v="Unknown"/>
    <x v="7"/>
    <x v="10"/>
    <s v="Unknown"/>
    <m/>
    <m/>
    <m/>
    <m/>
    <n v="0"/>
    <s v="Unknown"/>
    <s v=" "/>
    <n v="2"/>
    <n v="7.0400000000000004E-2"/>
    <n v="4.0767970609627522"/>
  </r>
  <r>
    <x v="1"/>
    <x v="8"/>
    <s v="Q1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4246590601269097E-3"/>
  </r>
  <r>
    <x v="1"/>
    <x v="8"/>
    <s v="Q1"/>
    <s v="Others"/>
    <s v="LCoS glasses"/>
    <s v="AR see-through"/>
    <s v="Unknown"/>
    <x v="4"/>
    <x v="6"/>
    <s v="Unknown"/>
    <m/>
    <m/>
    <m/>
    <m/>
    <n v="0"/>
    <s v="Unknown"/>
    <s v=" "/>
    <n v="2"/>
    <n v="4.3999999999999997E-2"/>
    <n v="1.8676352615221099"/>
  </r>
  <r>
    <x v="1"/>
    <x v="8"/>
    <s v="Q1"/>
    <s v="Others"/>
    <s v="Monocular MicroLED"/>
    <s v="AR see-through"/>
    <s v="Unknown"/>
    <x v="7"/>
    <x v="9"/>
    <s v="Unknown"/>
    <m/>
    <m/>
    <m/>
    <m/>
    <n v="0"/>
    <s v="Unknown"/>
    <s v=" "/>
    <n v="1"/>
    <n v="0.19800000000000001"/>
    <n v="11.46599173395774"/>
  </r>
  <r>
    <x v="1"/>
    <x v="8"/>
    <s v="Q1"/>
    <s v="Others"/>
    <s v="SiOLED glasses"/>
    <s v="AR see-through"/>
    <s v="Unknown"/>
    <x v="2"/>
    <x v="4"/>
    <s v="Unknown"/>
    <m/>
    <m/>
    <m/>
    <m/>
    <n v="0"/>
    <s v="Unknown"/>
    <s v=" "/>
    <n v="2"/>
    <n v="0.57199999999999995"/>
    <n v="29.171999999999997"/>
  </r>
  <r>
    <x v="1"/>
    <x v="8"/>
    <s v="Q1"/>
    <s v="Others"/>
    <s v="Monocular LCoS glasses"/>
    <s v="AR see-through"/>
    <s v="Tethered"/>
    <x v="4"/>
    <x v="11"/>
    <s v="Unknown"/>
    <m/>
    <m/>
    <m/>
    <m/>
    <n v="0"/>
    <s v="Unknown"/>
    <m/>
    <n v="1"/>
    <n v="7.1499999999999994E-2"/>
    <n v="3.0349072999734288"/>
  </r>
  <r>
    <x v="0"/>
    <x v="8"/>
    <s v="Q2"/>
    <s v="Others"/>
    <s v="Dual LCD VR headset"/>
    <s v="VR"/>
    <s v="Unknown"/>
    <x v="0"/>
    <x v="1"/>
    <s v="Unknown"/>
    <s v=" "/>
    <m/>
    <m/>
    <m/>
    <n v="0"/>
    <s v="Unknown"/>
    <s v=" "/>
    <n v="2"/>
    <n v="4.18"/>
    <n v="142.24757737567455"/>
  </r>
  <r>
    <x v="0"/>
    <x v="8"/>
    <s v="Q2"/>
    <s v="Others"/>
    <s v="Dual SiOLED headset"/>
    <s v="VR"/>
    <s v="Unknown"/>
    <x v="2"/>
    <x v="4"/>
    <s v="Unknown"/>
    <m/>
    <m/>
    <m/>
    <m/>
    <n v="0"/>
    <s v="Unknown"/>
    <m/>
    <n v="2"/>
    <n v="2.42"/>
    <n v="293.95231219200002"/>
  </r>
  <r>
    <x v="0"/>
    <x v="8"/>
    <s v="Q2"/>
    <s v="Others"/>
    <s v="OLED VR headset"/>
    <s v="VR"/>
    <s v="Unknown"/>
    <x v="1"/>
    <x v="2"/>
    <s v="Unknown"/>
    <s v=" "/>
    <m/>
    <m/>
    <m/>
    <n v="0"/>
    <s v="Unknown"/>
    <s v=" "/>
    <n v="2"/>
    <n v="0.44"/>
    <n v="16.298499759633366"/>
  </r>
  <r>
    <x v="0"/>
    <x v="8"/>
    <s v="Q2"/>
    <s v="Others"/>
    <s v="Single LCD VR headset"/>
    <s v="VR"/>
    <s v="Unknown"/>
    <x v="0"/>
    <x v="0"/>
    <s v="Unknown"/>
    <s v=" "/>
    <m/>
    <m/>
    <m/>
    <n v="0"/>
    <s v="Unknown"/>
    <s v=" "/>
    <n v="1"/>
    <n v="0.44"/>
    <n v="22.460143796159134"/>
  </r>
  <r>
    <x v="1"/>
    <x v="8"/>
    <s v="Q2"/>
    <s v="Others"/>
    <s v="Binocular MicroLED"/>
    <s v="AR see-through"/>
    <s v="Unknown"/>
    <x v="7"/>
    <x v="10"/>
    <s v="Unknown"/>
    <m/>
    <m/>
    <m/>
    <m/>
    <n v="0"/>
    <s v="Unknown"/>
    <s v=" "/>
    <n v="2"/>
    <n v="0.14299999999999999"/>
    <n v="8.2809940300805884"/>
  </r>
  <r>
    <x v="1"/>
    <x v="8"/>
    <s v="Q2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4246590601269097E-3"/>
  </r>
  <r>
    <x v="1"/>
    <x v="8"/>
    <s v="Q2"/>
    <s v="Others"/>
    <s v="LCoS glasses"/>
    <s v="AR see-through"/>
    <s v="Unknown"/>
    <x v="4"/>
    <x v="6"/>
    <s v="Unknown"/>
    <m/>
    <m/>
    <m/>
    <m/>
    <n v="0"/>
    <s v="Unknown"/>
    <s v=" "/>
    <n v="2"/>
    <n v="5.5E-2"/>
    <n v="2.3345440769026378"/>
  </r>
  <r>
    <x v="1"/>
    <x v="8"/>
    <s v="Q2"/>
    <s v="Others"/>
    <s v="Monocular MicroLED"/>
    <s v="AR see-through"/>
    <s v="Unknown"/>
    <x v="7"/>
    <x v="9"/>
    <s v="Unknown"/>
    <m/>
    <m/>
    <m/>
    <m/>
    <n v="0"/>
    <s v="Unknown"/>
    <s v=" "/>
    <n v="1"/>
    <n v="0.24199999999999999"/>
    <n v="14.01398989705946"/>
  </r>
  <r>
    <x v="1"/>
    <x v="8"/>
    <s v="Q2"/>
    <s v="Others"/>
    <s v="SiOLED glasses"/>
    <s v="AR see-through"/>
    <s v="Unknown"/>
    <x v="2"/>
    <x v="4"/>
    <s v="Unknown"/>
    <m/>
    <m/>
    <m/>
    <m/>
    <n v="0"/>
    <s v="Unknown"/>
    <s v=" "/>
    <n v="2"/>
    <n v="0.71499999999999997"/>
    <n v="36.464999999999996"/>
  </r>
  <r>
    <x v="1"/>
    <x v="8"/>
    <s v="Q2"/>
    <s v="Others"/>
    <s v="Monocular LCoS glasses"/>
    <s v="AR see-through"/>
    <s v="Tethered"/>
    <x v="4"/>
    <x v="11"/>
    <s v="Unknown"/>
    <m/>
    <m/>
    <m/>
    <m/>
    <n v="0"/>
    <s v="Unknown"/>
    <m/>
    <n v="1"/>
    <n v="0.121"/>
    <n v="5.1359969691858023"/>
  </r>
  <r>
    <x v="0"/>
    <x v="8"/>
    <s v="Q3"/>
    <s v="Others"/>
    <s v="Dual LCD VR headset"/>
    <s v="VR"/>
    <s v="Unknown"/>
    <x v="0"/>
    <x v="1"/>
    <s v="Unknown"/>
    <s v=" "/>
    <m/>
    <m/>
    <m/>
    <n v="0"/>
    <s v="Unknown"/>
    <s v=" "/>
    <n v="2"/>
    <n v="1.54"/>
    <n v="52.407002191037989"/>
  </r>
  <r>
    <x v="0"/>
    <x v="8"/>
    <s v="Q3"/>
    <s v="Others"/>
    <s v="Dual SiOLED headset"/>
    <s v="VR"/>
    <s v="Unknown"/>
    <x v="2"/>
    <x v="4"/>
    <s v="Unknown"/>
    <m/>
    <m/>
    <m/>
    <m/>
    <n v="0"/>
    <s v="Unknown"/>
    <m/>
    <n v="2"/>
    <n v="1.1000000000000001"/>
    <n v="133.61468736000003"/>
  </r>
  <r>
    <x v="0"/>
    <x v="8"/>
    <s v="Q3"/>
    <s v="Others"/>
    <s v="OLED VR headset"/>
    <s v="VR"/>
    <s v="Unknown"/>
    <x v="1"/>
    <x v="2"/>
    <s v="Unknown"/>
    <s v=" "/>
    <m/>
    <m/>
    <m/>
    <n v="0"/>
    <s v="Unknown"/>
    <s v=" "/>
    <n v="2"/>
    <n v="0.33"/>
    <n v="12.223874819725026"/>
  </r>
  <r>
    <x v="0"/>
    <x v="8"/>
    <s v="Q3"/>
    <s v="Others"/>
    <s v="Single LCD VR headset"/>
    <s v="VR"/>
    <s v="Unknown"/>
    <x v="0"/>
    <x v="0"/>
    <s v="Unknown"/>
    <s v=" "/>
    <m/>
    <m/>
    <m/>
    <n v="0"/>
    <s v="Unknown"/>
    <s v=" "/>
    <n v="1"/>
    <n v="0.27500000000000002"/>
    <n v="14.03758987259946"/>
  </r>
  <r>
    <x v="1"/>
    <x v="8"/>
    <s v="Q3"/>
    <s v="Others"/>
    <s v="Binocular MicroLED"/>
    <s v="AR see-through"/>
    <s v="Unknown"/>
    <x v="7"/>
    <x v="10"/>
    <s v="Unknown"/>
    <m/>
    <m/>
    <m/>
    <m/>
    <n v="0"/>
    <s v="Unknown"/>
    <s v=" "/>
    <n v="2"/>
    <n v="4.3999999999999997E-2"/>
    <n v="2.5479981631017199"/>
  </r>
  <r>
    <x v="1"/>
    <x v="8"/>
    <s v="Q3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4246590601269097E-3"/>
  </r>
  <r>
    <x v="1"/>
    <x v="8"/>
    <s v="Q3"/>
    <s v="Others"/>
    <s v="LCoS glasses"/>
    <s v="AR see-through"/>
    <s v="Unknown"/>
    <x v="4"/>
    <x v="6"/>
    <s v="Unknown"/>
    <m/>
    <m/>
    <m/>
    <m/>
    <n v="0"/>
    <s v="Unknown"/>
    <s v=" "/>
    <n v="2"/>
    <n v="4.3999999999999997E-2"/>
    <n v="1.8676352615221099"/>
  </r>
  <r>
    <x v="1"/>
    <x v="8"/>
    <s v="Q3"/>
    <s v="Others"/>
    <s v="Monocular MicroLED"/>
    <s v="AR see-through"/>
    <s v="Unknown"/>
    <x v="7"/>
    <x v="9"/>
    <s v="Unknown"/>
    <m/>
    <m/>
    <m/>
    <m/>
    <n v="0"/>
    <s v="Unknown"/>
    <s v=" "/>
    <n v="1"/>
    <n v="0.13200000000000001"/>
    <n v="7.6439944893051601"/>
  </r>
  <r>
    <x v="1"/>
    <x v="8"/>
    <s v="Q3"/>
    <s v="Others"/>
    <s v="SiOLED glasses"/>
    <s v="AR see-through"/>
    <s v="Unknown"/>
    <x v="2"/>
    <x v="4"/>
    <s v="Unknown"/>
    <m/>
    <m/>
    <m/>
    <m/>
    <n v="0"/>
    <s v="Unknown"/>
    <s v=" "/>
    <n v="2"/>
    <n v="0.44"/>
    <n v="22.44"/>
  </r>
  <r>
    <x v="1"/>
    <x v="8"/>
    <s v="Q3"/>
    <s v="Others"/>
    <s v="Monocular LCoS glasses"/>
    <s v="AR see-through"/>
    <s v="Tethered"/>
    <x v="4"/>
    <x v="11"/>
    <s v="Unknown"/>
    <m/>
    <m/>
    <m/>
    <m/>
    <n v="0"/>
    <s v="Unknown"/>
    <m/>
    <n v="1"/>
    <n v="8.7999999999999995E-2"/>
    <n v="3.7352705230442198"/>
  </r>
  <r>
    <x v="0"/>
    <x v="8"/>
    <s v="Q4"/>
    <s v="Others"/>
    <s v="Dual LCD VR headset"/>
    <s v="VR"/>
    <s v="Unknown"/>
    <x v="0"/>
    <x v="1"/>
    <s v="Unknown"/>
    <s v=" "/>
    <m/>
    <m/>
    <m/>
    <n v="0"/>
    <s v="Unknown"/>
    <s v=" "/>
    <n v="2"/>
    <n v="1.54"/>
    <n v="52.407002191037989"/>
  </r>
  <r>
    <x v="0"/>
    <x v="8"/>
    <s v="Q4"/>
    <s v="Others"/>
    <s v="Dual SiOLED headset"/>
    <s v="VR"/>
    <s v="Unknown"/>
    <x v="2"/>
    <x v="4"/>
    <s v="Unknown"/>
    <m/>
    <m/>
    <m/>
    <m/>
    <n v="0"/>
    <s v="Unknown"/>
    <m/>
    <n v="2"/>
    <n v="1.1000000000000001"/>
    <n v="133.61468736000003"/>
  </r>
  <r>
    <x v="0"/>
    <x v="8"/>
    <s v="Q4"/>
    <s v="Others"/>
    <s v="OLED VR headset"/>
    <s v="VR"/>
    <s v="Unknown"/>
    <x v="1"/>
    <x v="2"/>
    <s v="Unknown"/>
    <s v=" "/>
    <m/>
    <m/>
    <m/>
    <n v="0"/>
    <s v="Unknown"/>
    <s v=" "/>
    <n v="2"/>
    <n v="0.33"/>
    <n v="12.223874819725026"/>
  </r>
  <r>
    <x v="0"/>
    <x v="8"/>
    <s v="Q4"/>
    <s v="Others"/>
    <s v="Single LCD VR headset"/>
    <s v="VR"/>
    <s v="Unknown"/>
    <x v="0"/>
    <x v="0"/>
    <s v="Unknown"/>
    <s v=" "/>
    <m/>
    <m/>
    <m/>
    <n v="0"/>
    <s v="Unknown"/>
    <s v=" "/>
    <n v="1"/>
    <n v="0.16500000000000001"/>
    <n v="8.4225539235596756"/>
  </r>
  <r>
    <x v="1"/>
    <x v="8"/>
    <s v="Q4"/>
    <s v="Others"/>
    <s v="Binocular MicroLED"/>
    <s v="AR see-through"/>
    <s v="Unknown"/>
    <x v="7"/>
    <x v="10"/>
    <s v="Unknown"/>
    <m/>
    <m/>
    <m/>
    <m/>
    <n v="0"/>
    <s v="Unknown"/>
    <s v=" "/>
    <n v="2"/>
    <n v="4.3999999999999997E-2"/>
    <n v="2.5479981631017199"/>
  </r>
  <r>
    <x v="1"/>
    <x v="8"/>
    <s v="Q4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4246590601269097E-3"/>
  </r>
  <r>
    <x v="1"/>
    <x v="8"/>
    <s v="Q4"/>
    <s v="Others"/>
    <s v="LCoS glasses"/>
    <s v="AR see-through"/>
    <s v="Unknown"/>
    <x v="4"/>
    <x v="6"/>
    <s v="Unknown"/>
    <m/>
    <m/>
    <m/>
    <m/>
    <n v="0"/>
    <s v="Unknown"/>
    <s v=" "/>
    <n v="2"/>
    <n v="4.3999999999999997E-2"/>
    <n v="1.8676352615221099"/>
  </r>
  <r>
    <x v="1"/>
    <x v="8"/>
    <s v="Q4"/>
    <s v="Others"/>
    <s v="Monocular MicroLED"/>
    <s v="AR see-through"/>
    <s v="Unknown"/>
    <x v="7"/>
    <x v="9"/>
    <s v="Unknown"/>
    <m/>
    <m/>
    <m/>
    <m/>
    <n v="0"/>
    <s v="Unknown"/>
    <s v=" "/>
    <n v="1"/>
    <n v="0.13200000000000001"/>
    <n v="7.6439944893051601"/>
  </r>
  <r>
    <x v="1"/>
    <x v="8"/>
    <s v="Q4"/>
    <s v="Others"/>
    <s v="SiOLED glasses"/>
    <s v="AR see-through"/>
    <s v="Unknown"/>
    <x v="2"/>
    <x v="4"/>
    <s v="Unknown"/>
    <m/>
    <m/>
    <m/>
    <m/>
    <n v="0"/>
    <s v="Unknown"/>
    <s v=" "/>
    <n v="2"/>
    <n v="0.44"/>
    <n v="22.44"/>
  </r>
  <r>
    <x v="1"/>
    <x v="8"/>
    <s v="Q4"/>
    <s v="Others"/>
    <s v="Monocular LCoS glasses"/>
    <s v="AR see-through"/>
    <s v="Tethered"/>
    <x v="4"/>
    <x v="11"/>
    <s v="Unknown"/>
    <m/>
    <m/>
    <m/>
    <m/>
    <n v="0"/>
    <s v="Unknown"/>
    <m/>
    <n v="1"/>
    <n v="8.7999999999999995E-2"/>
    <n v="3.7352705230442198"/>
  </r>
  <r>
    <x v="0"/>
    <x v="9"/>
    <s v="Q1"/>
    <s v="Others"/>
    <s v="Dual LCD VR headset"/>
    <s v="VR"/>
    <s v="Unknown"/>
    <x v="0"/>
    <x v="1"/>
    <s v="Unknown"/>
    <s v=" "/>
    <m/>
    <m/>
    <m/>
    <n v="0"/>
    <s v="Unknown"/>
    <s v=" "/>
    <n v="2"/>
    <n v="2.2000000000000002"/>
    <n v="73.369803067453191"/>
  </r>
  <r>
    <x v="0"/>
    <x v="9"/>
    <s v="Q1"/>
    <s v="Others"/>
    <s v="Dual SiOLED headset"/>
    <s v="VR"/>
    <s v="Unknown"/>
    <x v="2"/>
    <x v="4"/>
    <s v="Unknown"/>
    <m/>
    <m/>
    <m/>
    <m/>
    <n v="0"/>
    <s v="Unknown"/>
    <m/>
    <n v="2"/>
    <n v="1.1000000000000001"/>
    <n v="117.58092487680001"/>
  </r>
  <r>
    <x v="0"/>
    <x v="9"/>
    <s v="Q1"/>
    <s v="Others"/>
    <s v="OLED VR headset"/>
    <s v="VR"/>
    <s v="Unknown"/>
    <x v="1"/>
    <x v="2"/>
    <s v="Unknown"/>
    <s v=" "/>
    <m/>
    <m/>
    <m/>
    <n v="0"/>
    <s v="Unknown"/>
    <s v=" "/>
    <n v="2"/>
    <n v="0.77"/>
    <n v="26.84915370216742"/>
  </r>
  <r>
    <x v="0"/>
    <x v="9"/>
    <s v="Q1"/>
    <s v="Others"/>
    <s v="Single LCD VR headset"/>
    <s v="VR"/>
    <s v="Unknown"/>
    <x v="0"/>
    <x v="0"/>
    <s v="Unknown"/>
    <s v=" "/>
    <m/>
    <m/>
    <m/>
    <n v="0"/>
    <s v="Unknown"/>
    <s v=" "/>
    <n v="1"/>
    <n v="0.27500000000000002"/>
    <n v="13.756838075147471"/>
  </r>
  <r>
    <x v="1"/>
    <x v="9"/>
    <s v="Q1"/>
    <s v="Others"/>
    <s v="Binocular MicroLED"/>
    <s v="AR see-through"/>
    <s v="Unknown"/>
    <x v="7"/>
    <x v="10"/>
    <s v="Unknown"/>
    <m/>
    <m/>
    <m/>
    <m/>
    <n v="0"/>
    <s v="Unknown"/>
    <s v=" "/>
    <n v="2"/>
    <n v="0.13200000000000001"/>
    <n v="7.1853548199468511"/>
  </r>
  <r>
    <x v="1"/>
    <x v="9"/>
    <s v="Q1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340412469525639E-3"/>
  </r>
  <r>
    <x v="1"/>
    <x v="9"/>
    <s v="Q1"/>
    <s v="Others"/>
    <s v="LCoS glasses"/>
    <s v="AR see-through"/>
    <s v="Unknown"/>
    <x v="4"/>
    <x v="6"/>
    <s v="Unknown"/>
    <m/>
    <m/>
    <m/>
    <m/>
    <n v="0"/>
    <s v="Unknown"/>
    <s v=" "/>
    <n v="2"/>
    <n v="0.13200000000000001"/>
    <n v="5.5468767267206678"/>
  </r>
  <r>
    <x v="1"/>
    <x v="9"/>
    <s v="Q1"/>
    <s v="Others"/>
    <s v="Monocular MicroLED"/>
    <s v="AR see-through"/>
    <s v="Unknown"/>
    <x v="7"/>
    <x v="9"/>
    <s v="Unknown"/>
    <m/>
    <m/>
    <m/>
    <m/>
    <n v="0"/>
    <s v="Unknown"/>
    <s v=" "/>
    <n v="1"/>
    <n v="0.33"/>
    <n v="17.963387049867126"/>
  </r>
  <r>
    <x v="1"/>
    <x v="9"/>
    <s v="Q1"/>
    <s v="Others"/>
    <s v="SiOLED glasses"/>
    <s v="AR see-through"/>
    <s v="Unknown"/>
    <x v="2"/>
    <x v="4"/>
    <s v="Unknown"/>
    <m/>
    <m/>
    <m/>
    <m/>
    <n v="0"/>
    <s v="Unknown"/>
    <s v=" "/>
    <n v="2"/>
    <n v="0.748"/>
    <n v="37.4"/>
  </r>
  <r>
    <x v="1"/>
    <x v="9"/>
    <s v="Q1"/>
    <s v="Others"/>
    <s v="Monocular LCoS glasses"/>
    <s v="AR see-through"/>
    <s v="Tethered"/>
    <x v="4"/>
    <x v="11"/>
    <s v="Unknown"/>
    <m/>
    <m/>
    <m/>
    <m/>
    <n v="0"/>
    <s v="Unknown"/>
    <m/>
    <n v="1"/>
    <n v="8.7999999999999995E-2"/>
    <n v="3.6979178178137779"/>
  </r>
  <r>
    <x v="0"/>
    <x v="9"/>
    <s v="Q2"/>
    <s v="Others"/>
    <s v="Dual LCD VR headset"/>
    <s v="VR"/>
    <s v="Unknown"/>
    <x v="0"/>
    <x v="1"/>
    <s v="Unknown"/>
    <s v=" "/>
    <m/>
    <m/>
    <m/>
    <n v="0"/>
    <s v="Unknown"/>
    <s v=" "/>
    <n v="2"/>
    <n v="3.08"/>
    <n v="102.71772429443448"/>
  </r>
  <r>
    <x v="0"/>
    <x v="9"/>
    <s v="Q2"/>
    <s v="Others"/>
    <s v="Dual SiOLED headset"/>
    <s v="VR"/>
    <s v="Unknown"/>
    <x v="2"/>
    <x v="4"/>
    <s v="Unknown"/>
    <m/>
    <m/>
    <m/>
    <m/>
    <n v="0"/>
    <s v="Unknown"/>
    <m/>
    <n v="2"/>
    <n v="2.64"/>
    <n v="282.19421970432001"/>
  </r>
  <r>
    <x v="0"/>
    <x v="9"/>
    <s v="Q2"/>
    <s v="Others"/>
    <s v="OLED VR headset"/>
    <s v="VR"/>
    <s v="Unknown"/>
    <x v="1"/>
    <x v="2"/>
    <s v="Unknown"/>
    <s v=" "/>
    <m/>
    <m/>
    <m/>
    <n v="0"/>
    <s v="Unknown"/>
    <s v=" "/>
    <n v="2"/>
    <n v="0.77"/>
    <n v="26.84915370216742"/>
  </r>
  <r>
    <x v="0"/>
    <x v="9"/>
    <s v="Q2"/>
    <s v="Others"/>
    <s v="Single LCD VR headset"/>
    <s v="VR"/>
    <s v="Unknown"/>
    <x v="0"/>
    <x v="0"/>
    <s v="Unknown"/>
    <s v=" "/>
    <m/>
    <m/>
    <m/>
    <n v="0"/>
    <s v="Unknown"/>
    <s v=" "/>
    <n v="1"/>
    <n v="0.38500000000000001"/>
    <n v="19.259573305206459"/>
  </r>
  <r>
    <x v="1"/>
    <x v="9"/>
    <s v="Q2"/>
    <s v="Others"/>
    <s v="Binocular MicroLED"/>
    <s v="AR see-through"/>
    <s v="Unknown"/>
    <x v="7"/>
    <x v="10"/>
    <s v="Unknown"/>
    <m/>
    <m/>
    <m/>
    <m/>
    <n v="0"/>
    <s v="Unknown"/>
    <s v=" "/>
    <n v="2"/>
    <n v="0.22"/>
    <n v="11.975591366578085"/>
  </r>
  <r>
    <x v="1"/>
    <x v="9"/>
    <s v="Q2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340412469525639E-3"/>
  </r>
  <r>
    <x v="1"/>
    <x v="9"/>
    <s v="Q2"/>
    <s v="Others"/>
    <s v="LCoS glasses"/>
    <s v="AR see-through"/>
    <s v="Unknown"/>
    <x v="4"/>
    <x v="6"/>
    <s v="Unknown"/>
    <m/>
    <m/>
    <m/>
    <m/>
    <n v="0"/>
    <s v="Unknown"/>
    <s v=" "/>
    <n v="2"/>
    <n v="0.44"/>
    <n v="18.489589089068893"/>
  </r>
  <r>
    <x v="1"/>
    <x v="9"/>
    <s v="Q2"/>
    <s v="Others"/>
    <s v="Monocular MicroLED"/>
    <s v="AR see-through"/>
    <s v="Unknown"/>
    <x v="7"/>
    <x v="9"/>
    <s v="Unknown"/>
    <m/>
    <m/>
    <m/>
    <m/>
    <n v="0"/>
    <s v="Unknown"/>
    <s v=" "/>
    <n v="1"/>
    <n v="0.38500000000000001"/>
    <n v="20.957284891511648"/>
  </r>
  <r>
    <x v="1"/>
    <x v="9"/>
    <s v="Q2"/>
    <s v="Others"/>
    <s v="SiOLED glasses"/>
    <s v="AR see-through"/>
    <s v="Unknown"/>
    <x v="2"/>
    <x v="4"/>
    <s v="Unknown"/>
    <m/>
    <m/>
    <m/>
    <m/>
    <n v="0"/>
    <s v="Unknown"/>
    <s v=" "/>
    <n v="2"/>
    <n v="1.056"/>
    <n v="52.800000000000004"/>
  </r>
  <r>
    <x v="1"/>
    <x v="9"/>
    <s v="Q2"/>
    <s v="Others"/>
    <s v="Monocular LCoS glasses"/>
    <s v="AR see-through"/>
    <s v="Tethered"/>
    <x v="4"/>
    <x v="11"/>
    <s v="Unknown"/>
    <m/>
    <m/>
    <m/>
    <m/>
    <n v="0"/>
    <s v="Unknown"/>
    <m/>
    <n v="1"/>
    <n v="0.16500000000000001"/>
    <n v="6.933595908400835"/>
  </r>
  <r>
    <x v="0"/>
    <x v="9"/>
    <s v="Q3"/>
    <s v="Others"/>
    <s v="Dual LCD VR headset"/>
    <s v="VR"/>
    <s v="Unknown"/>
    <x v="0"/>
    <x v="1"/>
    <s v="Unknown"/>
    <s v=" "/>
    <m/>
    <m/>
    <m/>
    <n v="0"/>
    <s v="Unknown"/>
    <s v=" "/>
    <n v="2"/>
    <n v="1.76"/>
    <n v="58.695842453962555"/>
  </r>
  <r>
    <x v="0"/>
    <x v="9"/>
    <s v="Q3"/>
    <s v="Others"/>
    <s v="Dual SiOLED headset"/>
    <s v="VR"/>
    <s v="Unknown"/>
    <x v="2"/>
    <x v="4"/>
    <s v="Unknown"/>
    <m/>
    <m/>
    <m/>
    <m/>
    <n v="0"/>
    <s v="Unknown"/>
    <m/>
    <n v="2"/>
    <n v="1.1000000000000001"/>
    <n v="117.58092487680001"/>
  </r>
  <r>
    <x v="0"/>
    <x v="9"/>
    <s v="Q3"/>
    <s v="Others"/>
    <s v="OLED VR headset"/>
    <s v="VR"/>
    <s v="Unknown"/>
    <x v="1"/>
    <x v="2"/>
    <s v="Unknown"/>
    <s v=" "/>
    <m/>
    <m/>
    <m/>
    <n v="0"/>
    <s v="Unknown"/>
    <s v=" "/>
    <n v="2"/>
    <n v="0.55000000000000004"/>
    <n v="19.177966930119585"/>
  </r>
  <r>
    <x v="0"/>
    <x v="9"/>
    <s v="Q3"/>
    <s v="Others"/>
    <s v="Single LCD VR headset"/>
    <s v="VR"/>
    <s v="Unknown"/>
    <x v="0"/>
    <x v="0"/>
    <s v="Unknown"/>
    <s v=" "/>
    <m/>
    <m/>
    <m/>
    <n v="0"/>
    <s v="Unknown"/>
    <s v=" "/>
    <n v="1"/>
    <n v="0.16500000000000001"/>
    <n v="8.2541028450884824"/>
  </r>
  <r>
    <x v="1"/>
    <x v="9"/>
    <s v="Q3"/>
    <s v="Others"/>
    <s v="Binocular MicroLED"/>
    <s v="AR see-through"/>
    <s v="Unknown"/>
    <x v="7"/>
    <x v="10"/>
    <s v="Unknown"/>
    <m/>
    <m/>
    <m/>
    <m/>
    <n v="0"/>
    <s v="Unknown"/>
    <s v=" "/>
    <n v="2"/>
    <n v="0.17599999999999999"/>
    <n v="9.5804730932624658"/>
  </r>
  <r>
    <x v="1"/>
    <x v="9"/>
    <s v="Q3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340412469525639E-3"/>
  </r>
  <r>
    <x v="1"/>
    <x v="9"/>
    <s v="Q3"/>
    <s v="Others"/>
    <s v="LCoS glasses"/>
    <s v="AR see-through"/>
    <s v="Unknown"/>
    <x v="4"/>
    <x v="6"/>
    <s v="Unknown"/>
    <m/>
    <m/>
    <m/>
    <m/>
    <n v="0"/>
    <s v="Unknown"/>
    <s v=" "/>
    <n v="2"/>
    <n v="0.22"/>
    <n v="9.2447945445344466"/>
  </r>
  <r>
    <x v="1"/>
    <x v="9"/>
    <s v="Q3"/>
    <s v="Others"/>
    <s v="Monocular MicroLED"/>
    <s v="AR see-through"/>
    <s v="Unknown"/>
    <x v="7"/>
    <x v="9"/>
    <s v="Unknown"/>
    <m/>
    <m/>
    <m/>
    <m/>
    <n v="0"/>
    <s v="Unknown"/>
    <s v=" "/>
    <n v="1"/>
    <n v="0.154"/>
    <n v="8.3829139566046589"/>
  </r>
  <r>
    <x v="1"/>
    <x v="9"/>
    <s v="Q3"/>
    <s v="Others"/>
    <s v="SiOLED glasses"/>
    <s v="AR see-through"/>
    <s v="Unknown"/>
    <x v="2"/>
    <x v="4"/>
    <s v="Unknown"/>
    <m/>
    <m/>
    <m/>
    <m/>
    <n v="0"/>
    <s v="Unknown"/>
    <s v=" "/>
    <n v="2"/>
    <n v="0.66"/>
    <n v="33"/>
  </r>
  <r>
    <x v="1"/>
    <x v="9"/>
    <s v="Q3"/>
    <s v="Others"/>
    <s v="Monocular LCoS glasses"/>
    <s v="AR see-through"/>
    <s v="Tethered"/>
    <x v="4"/>
    <x v="11"/>
    <s v="Unknown"/>
    <m/>
    <m/>
    <m/>
    <m/>
    <n v="0"/>
    <s v="Unknown"/>
    <m/>
    <n v="1"/>
    <n v="0.121"/>
    <n v="5.0846369994939451"/>
  </r>
  <r>
    <x v="0"/>
    <x v="9"/>
    <s v="Q4"/>
    <s v="Others"/>
    <s v="Dual LCD VR headset"/>
    <s v="VR"/>
    <s v="Unknown"/>
    <x v="0"/>
    <x v="1"/>
    <s v="Unknown"/>
    <s v=" "/>
    <m/>
    <m/>
    <m/>
    <n v="0"/>
    <s v="Unknown"/>
    <s v=" "/>
    <n v="2"/>
    <n v="1.76"/>
    <n v="58.695842453962555"/>
  </r>
  <r>
    <x v="0"/>
    <x v="9"/>
    <s v="Q4"/>
    <s v="Others"/>
    <s v="Dual SiOLED headset"/>
    <s v="VR"/>
    <s v="Unknown"/>
    <x v="2"/>
    <x v="4"/>
    <s v="Unknown"/>
    <m/>
    <m/>
    <m/>
    <m/>
    <n v="0"/>
    <s v="Unknown"/>
    <m/>
    <n v="2"/>
    <n v="1.1000000000000001"/>
    <n v="117.58092487680001"/>
  </r>
  <r>
    <x v="0"/>
    <x v="9"/>
    <s v="Q4"/>
    <s v="Others"/>
    <s v="OLED VR headset"/>
    <s v="VR"/>
    <s v="Unknown"/>
    <x v="1"/>
    <x v="2"/>
    <s v="Unknown"/>
    <s v=" "/>
    <m/>
    <m/>
    <m/>
    <n v="0"/>
    <s v="Unknown"/>
    <s v=" "/>
    <n v="2"/>
    <n v="0.55000000000000004"/>
    <n v="19.177966930119585"/>
  </r>
  <r>
    <x v="0"/>
    <x v="9"/>
    <s v="Q4"/>
    <s v="Others"/>
    <s v="Single LCD VR headset"/>
    <s v="VR"/>
    <s v="Unknown"/>
    <x v="0"/>
    <x v="0"/>
    <s v="Unknown"/>
    <s v=" "/>
    <m/>
    <m/>
    <m/>
    <n v="0"/>
    <s v="Unknown"/>
    <s v=" "/>
    <n v="1"/>
    <n v="0.16500000000000001"/>
    <n v="8.2541028450884824"/>
  </r>
  <r>
    <x v="1"/>
    <x v="9"/>
    <s v="Q4"/>
    <s v="Others"/>
    <s v="Binocular MicroLED"/>
    <s v="AR see-through"/>
    <s v="Unknown"/>
    <x v="7"/>
    <x v="10"/>
    <s v="Unknown"/>
    <m/>
    <m/>
    <m/>
    <m/>
    <n v="0"/>
    <s v="Unknown"/>
    <s v=" "/>
    <n v="2"/>
    <n v="0.17599999999999999"/>
    <n v="9.5804730932624658"/>
  </r>
  <r>
    <x v="1"/>
    <x v="9"/>
    <s v="Q4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340412469525639E-3"/>
  </r>
  <r>
    <x v="1"/>
    <x v="9"/>
    <s v="Q4"/>
    <s v="Others"/>
    <s v="LCoS glasses"/>
    <s v="AR see-through"/>
    <s v="Unknown"/>
    <x v="4"/>
    <x v="6"/>
    <s v="Unknown"/>
    <m/>
    <m/>
    <m/>
    <m/>
    <n v="0"/>
    <s v="Unknown"/>
    <s v=" "/>
    <n v="2"/>
    <n v="0.26400000000000001"/>
    <n v="11.093753453441336"/>
  </r>
  <r>
    <x v="1"/>
    <x v="9"/>
    <s v="Q4"/>
    <s v="Others"/>
    <s v="Monocular MicroLED"/>
    <s v="AR see-through"/>
    <s v="Unknown"/>
    <x v="7"/>
    <x v="9"/>
    <s v="Unknown"/>
    <m/>
    <m/>
    <m/>
    <m/>
    <n v="0"/>
    <s v="Unknown"/>
    <s v=" "/>
    <n v="1"/>
    <n v="0.154"/>
    <n v="8.3829139566046589"/>
  </r>
  <r>
    <x v="1"/>
    <x v="9"/>
    <s v="Q4"/>
    <s v="Others"/>
    <s v="SiOLED glasses"/>
    <s v="AR see-through"/>
    <s v="Unknown"/>
    <x v="2"/>
    <x v="4"/>
    <s v="Unknown"/>
    <m/>
    <m/>
    <m/>
    <m/>
    <n v="0"/>
    <s v="Unknown"/>
    <s v=" "/>
    <n v="2"/>
    <n v="0.66"/>
    <n v="33"/>
  </r>
  <r>
    <x v="1"/>
    <x v="9"/>
    <s v="Q4"/>
    <s v="Others"/>
    <s v="Monocular LCoS glasses"/>
    <s v="AR see-through"/>
    <s v="Tethered"/>
    <x v="4"/>
    <x v="11"/>
    <s v="Unknown"/>
    <m/>
    <m/>
    <m/>
    <m/>
    <n v="0"/>
    <s v="Unknown"/>
    <m/>
    <n v="1"/>
    <n v="0.121"/>
    <n v="5.0846369994939451"/>
  </r>
  <r>
    <x v="0"/>
    <x v="10"/>
    <s v="Q1"/>
    <s v="Others"/>
    <s v="Dual LCD VR headset"/>
    <s v="VR"/>
    <s v="Unknown"/>
    <x v="0"/>
    <x v="1"/>
    <s v="Unknown"/>
    <s v=" "/>
    <m/>
    <m/>
    <m/>
    <n v="0"/>
    <s v="Unknown"/>
    <s v=" "/>
    <n v="2"/>
    <n v="1.76"/>
    <n v="56.32"/>
  </r>
  <r>
    <x v="0"/>
    <x v="10"/>
    <s v="Q1"/>
    <s v="Others"/>
    <s v="Dual SiOLED headset"/>
    <s v="VR"/>
    <s v="Unknown"/>
    <x v="2"/>
    <x v="4"/>
    <s v="Unknown"/>
    <m/>
    <m/>
    <m/>
    <m/>
    <n v="0"/>
    <s v="Unknown"/>
    <m/>
    <n v="2"/>
    <n v="1.1000000000000001"/>
    <n v="105.82283238912001"/>
  </r>
  <r>
    <x v="0"/>
    <x v="10"/>
    <s v="Q1"/>
    <s v="Others"/>
    <s v="OLED VR headset"/>
    <s v="VR"/>
    <s v="Unknown"/>
    <x v="1"/>
    <x v="2"/>
    <s v="Unknown"/>
    <s v=" "/>
    <m/>
    <m/>
    <m/>
    <n v="0"/>
    <s v="Unknown"/>
    <s v=" "/>
    <n v="2"/>
    <n v="0.77"/>
    <n v="25.274089733198728"/>
  </r>
  <r>
    <x v="0"/>
    <x v="10"/>
    <s v="Q1"/>
    <s v="Others"/>
    <s v="Single LCD VR headset"/>
    <s v="VR"/>
    <s v="Unknown"/>
    <x v="0"/>
    <x v="0"/>
    <s v="Unknown"/>
    <s v=" "/>
    <m/>
    <m/>
    <m/>
    <n v="0"/>
    <s v="Unknown"/>
    <s v=" "/>
    <n v="1"/>
    <n v="0.22"/>
    <n v="10.78"/>
  </r>
  <r>
    <x v="1"/>
    <x v="10"/>
    <s v="Q1"/>
    <s v="Others"/>
    <s v="Binocular MicroLED"/>
    <s v="AR see-through"/>
    <s v="Unknown"/>
    <x v="7"/>
    <x v="10"/>
    <s v="Unknown"/>
    <m/>
    <m/>
    <m/>
    <m/>
    <n v="0"/>
    <s v="Unknown"/>
    <s v=" "/>
    <n v="2"/>
    <n v="0.308"/>
    <n v="16.015999999999998"/>
  </r>
  <r>
    <x v="1"/>
    <x v="10"/>
    <s v="Q1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2500000000000004E-3"/>
  </r>
  <r>
    <x v="1"/>
    <x v="10"/>
    <s v="Q1"/>
    <s v="Others"/>
    <s v="LCoS glasses"/>
    <s v="AR see-through"/>
    <s v="Unknown"/>
    <x v="4"/>
    <x v="6"/>
    <s v="Unknown"/>
    <m/>
    <m/>
    <m/>
    <m/>
    <n v="0"/>
    <s v="Unknown"/>
    <s v=" "/>
    <n v="2"/>
    <n v="0.26400000000000001"/>
    <n v="10.824"/>
  </r>
  <r>
    <x v="1"/>
    <x v="10"/>
    <s v="Q1"/>
    <s v="Others"/>
    <s v="Monocular MicroLED"/>
    <s v="AR see-through"/>
    <s v="Unknown"/>
    <x v="7"/>
    <x v="9"/>
    <s v="Unknown"/>
    <m/>
    <m/>
    <m/>
    <m/>
    <n v="0"/>
    <s v="Unknown"/>
    <s v=" "/>
    <n v="1"/>
    <n v="0.36299999999999999"/>
    <n v="18.875999999999998"/>
  </r>
  <r>
    <x v="1"/>
    <x v="10"/>
    <s v="Q1"/>
    <s v="Others"/>
    <s v="SiOLED glasses"/>
    <s v="AR see-through"/>
    <s v="Unknown"/>
    <x v="2"/>
    <x v="4"/>
    <s v="Unknown"/>
    <m/>
    <m/>
    <m/>
    <m/>
    <n v="0"/>
    <s v="Unknown"/>
    <s v=" "/>
    <n v="2"/>
    <n v="1.1000000000000001"/>
    <n v="53.900000000000006"/>
  </r>
  <r>
    <x v="1"/>
    <x v="10"/>
    <s v="Q1"/>
    <s v="Others"/>
    <s v="Monocular LCoS glasses"/>
    <s v="AR see-through"/>
    <s v="Tethered"/>
    <x v="4"/>
    <x v="11"/>
    <s v="Unknown"/>
    <m/>
    <m/>
    <m/>
    <m/>
    <n v="0"/>
    <s v="Unknown"/>
    <m/>
    <n v="1"/>
    <n v="0.16500000000000001"/>
    <n v="6.7650000000000006"/>
  </r>
  <r>
    <x v="0"/>
    <x v="10"/>
    <s v="Q2"/>
    <s v="Others"/>
    <s v="Dual LCD VR headset"/>
    <s v="VR"/>
    <s v="Unknown"/>
    <x v="0"/>
    <x v="1"/>
    <s v="Unknown"/>
    <s v=" "/>
    <m/>
    <m/>
    <m/>
    <n v="0"/>
    <s v="Unknown"/>
    <s v=" "/>
    <n v="2"/>
    <n v="4.4000000000000004"/>
    <n v="140.80000000000001"/>
  </r>
  <r>
    <x v="0"/>
    <x v="10"/>
    <s v="Q2"/>
    <s v="Others"/>
    <s v="Dual SiOLED headset"/>
    <s v="VR"/>
    <s v="Unknown"/>
    <x v="2"/>
    <x v="4"/>
    <s v="Unknown"/>
    <m/>
    <m/>
    <m/>
    <m/>
    <n v="0"/>
    <s v="Unknown"/>
    <m/>
    <n v="2"/>
    <n v="4.84"/>
    <n v="465.62046251212797"/>
  </r>
  <r>
    <x v="0"/>
    <x v="10"/>
    <s v="Q2"/>
    <s v="Others"/>
    <s v="OLED VR headset"/>
    <s v="VR"/>
    <s v="Unknown"/>
    <x v="1"/>
    <x v="2"/>
    <s v="Unknown"/>
    <s v=" "/>
    <m/>
    <m/>
    <m/>
    <n v="0"/>
    <s v="Unknown"/>
    <s v=" "/>
    <n v="2"/>
    <n v="0.77"/>
    <n v="25.274089733198728"/>
  </r>
  <r>
    <x v="0"/>
    <x v="10"/>
    <s v="Q2"/>
    <s v="Others"/>
    <s v="Single LCD VR headset"/>
    <s v="VR"/>
    <s v="Unknown"/>
    <x v="0"/>
    <x v="0"/>
    <s v="Unknown"/>
    <s v=" "/>
    <m/>
    <m/>
    <m/>
    <n v="0"/>
    <s v="Unknown"/>
    <s v=" "/>
    <n v="1"/>
    <n v="0.22"/>
    <n v="10.78"/>
  </r>
  <r>
    <x v="1"/>
    <x v="10"/>
    <s v="Q2"/>
    <s v="Others"/>
    <s v="Binocular MicroLED"/>
    <s v="AR see-through"/>
    <s v="Unknown"/>
    <x v="7"/>
    <x v="10"/>
    <s v="Unknown"/>
    <m/>
    <m/>
    <m/>
    <m/>
    <n v="0"/>
    <s v="Unknown"/>
    <s v=" "/>
    <n v="2"/>
    <n v="0.374"/>
    <n v="19.448"/>
  </r>
  <r>
    <x v="1"/>
    <x v="10"/>
    <s v="Q2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2500000000000004E-3"/>
  </r>
  <r>
    <x v="1"/>
    <x v="10"/>
    <s v="Q2"/>
    <s v="Others"/>
    <s v="LCoS glasses"/>
    <s v="AR see-through"/>
    <s v="Unknown"/>
    <x v="4"/>
    <x v="6"/>
    <s v="Unknown"/>
    <m/>
    <m/>
    <m/>
    <m/>
    <n v="0"/>
    <s v="Unknown"/>
    <s v=" "/>
    <n v="2"/>
    <n v="0.44"/>
    <n v="18.04"/>
  </r>
  <r>
    <x v="1"/>
    <x v="10"/>
    <s v="Q2"/>
    <s v="Others"/>
    <s v="Monocular MicroLED"/>
    <s v="AR see-through"/>
    <s v="Unknown"/>
    <x v="7"/>
    <x v="9"/>
    <s v="Unknown"/>
    <m/>
    <m/>
    <m/>
    <m/>
    <n v="0"/>
    <s v="Unknown"/>
    <s v=" "/>
    <n v="1"/>
    <n v="0.44"/>
    <n v="22.88"/>
  </r>
  <r>
    <x v="1"/>
    <x v="10"/>
    <s v="Q2"/>
    <s v="Others"/>
    <s v="SiOLED glasses"/>
    <s v="AR see-through"/>
    <s v="Unknown"/>
    <x v="2"/>
    <x v="4"/>
    <s v="Unknown"/>
    <m/>
    <m/>
    <m/>
    <m/>
    <n v="0"/>
    <s v="Unknown"/>
    <s v=" "/>
    <n v="2"/>
    <n v="1.5620000000000001"/>
    <n v="76.537999999999997"/>
  </r>
  <r>
    <x v="1"/>
    <x v="10"/>
    <s v="Q2"/>
    <s v="Others"/>
    <s v="Monocular LCoS glasses"/>
    <s v="AR see-through"/>
    <s v="Tethered"/>
    <x v="4"/>
    <x v="11"/>
    <s v="Unknown"/>
    <m/>
    <m/>
    <m/>
    <m/>
    <n v="0"/>
    <s v="Unknown"/>
    <m/>
    <n v="1"/>
    <n v="0.33"/>
    <n v="13.530000000000001"/>
  </r>
  <r>
    <x v="0"/>
    <x v="10"/>
    <s v="Q3"/>
    <s v="Others"/>
    <s v="Dual LCD VR headset"/>
    <s v="VR"/>
    <s v="Unknown"/>
    <x v="0"/>
    <x v="1"/>
    <s v="Unknown"/>
    <s v=" "/>
    <m/>
    <m/>
    <m/>
    <n v="0"/>
    <s v="Unknown"/>
    <s v=" "/>
    <n v="2"/>
    <n v="1.76"/>
    <n v="56.32"/>
  </r>
  <r>
    <x v="0"/>
    <x v="10"/>
    <s v="Q3"/>
    <s v="Others"/>
    <s v="Dual SiOLED headset"/>
    <s v="VR"/>
    <s v="Unknown"/>
    <x v="2"/>
    <x v="4"/>
    <s v="Unknown"/>
    <m/>
    <m/>
    <m/>
    <m/>
    <n v="0"/>
    <s v="Unknown"/>
    <m/>
    <n v="2"/>
    <n v="1.76"/>
    <n v="169.316531822592"/>
  </r>
  <r>
    <x v="0"/>
    <x v="10"/>
    <s v="Q3"/>
    <s v="Others"/>
    <s v="OLED VR headset"/>
    <s v="VR"/>
    <s v="Unknown"/>
    <x v="1"/>
    <x v="2"/>
    <s v="Unknown"/>
    <s v=" "/>
    <m/>
    <m/>
    <m/>
    <n v="0"/>
    <s v="Unknown"/>
    <s v=" "/>
    <n v="2"/>
    <n v="0.66"/>
    <n v="21.663505485598911"/>
  </r>
  <r>
    <x v="0"/>
    <x v="10"/>
    <s v="Q3"/>
    <s v="Others"/>
    <s v="Single LCD VR headset"/>
    <s v="VR"/>
    <s v="Unknown"/>
    <x v="0"/>
    <x v="0"/>
    <s v="Unknown"/>
    <s v=" "/>
    <m/>
    <m/>
    <m/>
    <n v="0"/>
    <s v="Unknown"/>
    <s v=" "/>
    <n v="1"/>
    <n v="0.22"/>
    <n v="10.78"/>
  </r>
  <r>
    <x v="1"/>
    <x v="10"/>
    <s v="Q3"/>
    <s v="Others"/>
    <s v="Binocular MicroLED"/>
    <s v="AR see-through"/>
    <s v="Unknown"/>
    <x v="7"/>
    <x v="10"/>
    <s v="Unknown"/>
    <m/>
    <m/>
    <m/>
    <m/>
    <n v="0"/>
    <s v="Unknown"/>
    <s v=" "/>
    <n v="2"/>
    <n v="0.27500000000000002"/>
    <n v="14.3"/>
  </r>
  <r>
    <x v="1"/>
    <x v="10"/>
    <s v="Q3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2500000000000004E-3"/>
  </r>
  <r>
    <x v="1"/>
    <x v="10"/>
    <s v="Q3"/>
    <s v="Others"/>
    <s v="LCoS glasses"/>
    <s v="AR see-through"/>
    <s v="Unknown"/>
    <x v="4"/>
    <x v="6"/>
    <s v="Unknown"/>
    <m/>
    <m/>
    <m/>
    <m/>
    <n v="0"/>
    <s v="Unknown"/>
    <s v=" "/>
    <n v="2"/>
    <n v="0.26400000000000001"/>
    <n v="10.824"/>
  </r>
  <r>
    <x v="1"/>
    <x v="10"/>
    <s v="Q3"/>
    <s v="Others"/>
    <s v="Monocular MicroLED"/>
    <s v="AR see-through"/>
    <s v="Unknown"/>
    <x v="7"/>
    <x v="9"/>
    <s v="Unknown"/>
    <m/>
    <m/>
    <m/>
    <m/>
    <n v="0"/>
    <s v="Unknown"/>
    <s v=" "/>
    <n v="1"/>
    <n v="0.27500000000000002"/>
    <n v="14.3"/>
  </r>
  <r>
    <x v="1"/>
    <x v="10"/>
    <s v="Q3"/>
    <s v="Others"/>
    <s v="SiOLED glasses"/>
    <s v="AR see-through"/>
    <s v="Unknown"/>
    <x v="2"/>
    <x v="4"/>
    <s v="Unknown"/>
    <m/>
    <m/>
    <m/>
    <m/>
    <n v="0"/>
    <s v="Unknown"/>
    <s v=" "/>
    <n v="2"/>
    <n v="0.88"/>
    <n v="43.12"/>
  </r>
  <r>
    <x v="1"/>
    <x v="10"/>
    <s v="Q3"/>
    <s v="Others"/>
    <s v="Monocular LCoS glasses"/>
    <s v="AR see-through"/>
    <s v="Tethered"/>
    <x v="4"/>
    <x v="11"/>
    <s v="Unknown"/>
    <m/>
    <m/>
    <m/>
    <m/>
    <n v="0"/>
    <s v="Unknown"/>
    <m/>
    <n v="1"/>
    <n v="0.16500000000000001"/>
    <n v="6.7650000000000006"/>
  </r>
  <r>
    <x v="0"/>
    <x v="10"/>
    <s v="Q4"/>
    <s v="Others"/>
    <s v="Dual LCD VR headset"/>
    <s v="VR"/>
    <s v="Unknown"/>
    <x v="0"/>
    <x v="1"/>
    <s v="Unknown"/>
    <s v=" "/>
    <m/>
    <m/>
    <m/>
    <n v="0"/>
    <s v="Unknown"/>
    <s v=" "/>
    <n v="2"/>
    <n v="1.76"/>
    <n v="56.32"/>
  </r>
  <r>
    <x v="0"/>
    <x v="10"/>
    <s v="Q4"/>
    <s v="Others"/>
    <s v="Dual SiOLED headset"/>
    <s v="VR"/>
    <s v="Unknown"/>
    <x v="2"/>
    <x v="4"/>
    <s v="Unknown"/>
    <m/>
    <m/>
    <m/>
    <m/>
    <n v="0"/>
    <s v="Unknown"/>
    <m/>
    <n v="2"/>
    <n v="1.76"/>
    <n v="169.316531822592"/>
  </r>
  <r>
    <x v="0"/>
    <x v="10"/>
    <s v="Q4"/>
    <s v="Others"/>
    <s v="OLED VR headset"/>
    <s v="VR"/>
    <s v="Unknown"/>
    <x v="1"/>
    <x v="2"/>
    <s v="Unknown"/>
    <s v=" "/>
    <m/>
    <m/>
    <m/>
    <n v="0"/>
    <s v="Unknown"/>
    <s v=" "/>
    <n v="2"/>
    <n v="0.66"/>
    <n v="21.663505485598911"/>
  </r>
  <r>
    <x v="0"/>
    <x v="10"/>
    <s v="Q4"/>
    <s v="Others"/>
    <s v="Single LCD VR headset"/>
    <s v="VR"/>
    <s v="Unknown"/>
    <x v="0"/>
    <x v="0"/>
    <s v="Unknown"/>
    <s v=" "/>
    <m/>
    <m/>
    <m/>
    <n v="0"/>
    <s v="Unknown"/>
    <s v=" "/>
    <n v="1"/>
    <n v="0.22"/>
    <n v="10.78"/>
  </r>
  <r>
    <x v="1"/>
    <x v="10"/>
    <s v="Q4"/>
    <s v="Others"/>
    <s v="Binocular MicroLED"/>
    <s v="AR see-through"/>
    <s v="Unknown"/>
    <x v="7"/>
    <x v="10"/>
    <s v="Unknown"/>
    <m/>
    <m/>
    <m/>
    <m/>
    <n v="0"/>
    <s v="Unknown"/>
    <s v=" "/>
    <n v="2"/>
    <n v="0.27500000000000002"/>
    <n v="14.3"/>
  </r>
  <r>
    <x v="1"/>
    <x v="10"/>
    <s v="Q4"/>
    <s v="Others"/>
    <s v="DLP glasses"/>
    <s v="AR see-through"/>
    <s v="Unknown"/>
    <x v="6"/>
    <x v="8"/>
    <s v="Unknown"/>
    <m/>
    <m/>
    <m/>
    <m/>
    <n v="0"/>
    <s v="Unknown"/>
    <s v=" "/>
    <n v="1"/>
    <n v="1.1E-4"/>
    <n v="8.2500000000000004E-3"/>
  </r>
  <r>
    <x v="1"/>
    <x v="10"/>
    <s v="Q4"/>
    <s v="Others"/>
    <s v="LCoS glasses"/>
    <s v="AR see-through"/>
    <s v="Unknown"/>
    <x v="4"/>
    <x v="6"/>
    <s v="Unknown"/>
    <m/>
    <m/>
    <m/>
    <m/>
    <n v="0"/>
    <s v="Unknown"/>
    <s v=" "/>
    <n v="2"/>
    <n v="0.26400000000000001"/>
    <n v="10.824"/>
  </r>
  <r>
    <x v="1"/>
    <x v="10"/>
    <s v="Q4"/>
    <s v="Others"/>
    <s v="Monocular MicroLED"/>
    <s v="AR see-through"/>
    <s v="Unknown"/>
    <x v="7"/>
    <x v="9"/>
    <s v="Unknown"/>
    <m/>
    <m/>
    <m/>
    <m/>
    <n v="0"/>
    <s v="Unknown"/>
    <s v=" "/>
    <n v="1"/>
    <n v="0.27500000000000002"/>
    <n v="14.3"/>
  </r>
  <r>
    <x v="1"/>
    <x v="10"/>
    <s v="Q4"/>
    <s v="Others"/>
    <s v="SiOLED glasses"/>
    <s v="AR see-through"/>
    <s v="Unknown"/>
    <x v="2"/>
    <x v="4"/>
    <s v="Unknown"/>
    <m/>
    <m/>
    <m/>
    <m/>
    <n v="0"/>
    <s v="Unknown"/>
    <s v=" "/>
    <n v="2"/>
    <n v="0.88"/>
    <n v="43.12"/>
  </r>
  <r>
    <x v="1"/>
    <x v="10"/>
    <s v="Q4"/>
    <s v="Others"/>
    <s v="Monocular LCoS glasses"/>
    <s v="AR see-through"/>
    <s v="Tethered"/>
    <x v="4"/>
    <x v="11"/>
    <s v="Unknown"/>
    <m/>
    <m/>
    <m/>
    <m/>
    <n v="0"/>
    <s v="Unknown"/>
    <m/>
    <n v="1"/>
    <n v="0.22"/>
    <n v="9.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02E25C-E1EF-4CAA-92C0-93D2586248E0}" name="ピボットテーブル1" cacheId="22" applyNumberFormats="0" applyBorderFormats="0" applyFontFormats="0" applyPatternFormats="0" applyAlignmentFormats="0" applyWidthHeightFormats="1" dataCaption="値" grandTotalCaption="Grand Total" updatedVersion="8" minRefreshableVersion="3" showDrill="0" showDataTips="0" colGrandTotals="0" itemPrintTitles="1" createdVersion="6" indent="0" compact="0" compactData="0" gridDropZones="1" multipleFieldFilters="0">
  <location ref="A3:L10" firstHeaderRow="1" firstDataRow="2" firstDataCol="1" rowPageCount="1" colPageCount="1"/>
  <pivotFields count="20">
    <pivotField axis="axisPage" compact="0" outline="0" subtotalTop="0" showAll="0" defaultSubtotal="0">
      <items count="2">
        <item x="1"/>
        <item x="0"/>
      </items>
    </pivotField>
    <pivotField axis="axisCol" compact="0" outline="0" subtotalTop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2">
        <item x="3"/>
        <item x="8"/>
        <item x="0"/>
        <item x="5"/>
        <item x="9"/>
        <item x="2"/>
        <item x="7"/>
        <item x="1"/>
        <item x="6"/>
        <item x="10"/>
        <item x="4"/>
        <item x="11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8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numFmtId="167" outline="0" subtotalTop="0" showAll="0" defaultSubtotal="0"/>
    <pivotField compact="0" numFmtId="170" outline="0" subtotalTop="0" showAll="0" defaultSubtotal="0"/>
  </pivotFields>
  <rowFields count="1">
    <field x="8"/>
  </rowFields>
  <rowItems count="6">
    <i>
      <x/>
    </i>
    <i>
      <x v="2"/>
    </i>
    <i>
      <x v="5"/>
    </i>
    <i>
      <x v="7"/>
    </i>
    <i>
      <x v="10"/>
    </i>
    <i t="grand">
      <x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colItems>
  <pageFields count="1">
    <pageField fld="0" item="1" hier="-1"/>
  </pageFields>
  <dataFields count="1">
    <dataField name=" Panel Shipments (Millions)" fld="18" baseField="0" baseItem="0" numFmtId="177"/>
  </dataFields>
  <formats count="2">
    <format dxfId="13">
      <pivotArea dataOnly="0" labelOnly="1" outline="0" fieldPosition="0">
        <references count="1">
          <reference field="1" count="0"/>
        </references>
      </pivotArea>
    </format>
    <format dxfId="12">
      <pivotArea outline="0" collapsedLevelsAreSubtotals="1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4912F0-5DF5-46A2-BD51-8F2CEB0E71B1}" name="ピボットテーブル1" cacheId="22" applyNumberFormats="0" applyBorderFormats="0" applyFontFormats="0" applyPatternFormats="0" applyAlignmentFormats="0" applyWidthHeightFormats="1" dataCaption="値" grandTotalCaption="Grand Total" updatedVersion="8" minRefreshableVersion="3" showDrill="0" showDataTips="0" colGrandTotals="0" itemPrintTitles="1" createdVersion="6" indent="0" compact="0" compactData="0" gridDropZones="1" multipleFieldFilters="0">
  <location ref="A3:L10" firstHeaderRow="1" firstDataRow="2" firstDataCol="1" rowPageCount="1" colPageCount="1"/>
  <pivotFields count="20">
    <pivotField axis="axisPage" compact="0" outline="0" subtotalTop="0" showAll="0" defaultSubtotal="0">
      <items count="2">
        <item x="1"/>
        <item x="0"/>
      </items>
    </pivotField>
    <pivotField axis="axisCol" compact="0" outline="0" subtotalTop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2">
        <item x="3"/>
        <item x="8"/>
        <item x="0"/>
        <item x="5"/>
        <item x="9"/>
        <item x="2"/>
        <item x="7"/>
        <item x="1"/>
        <item x="6"/>
        <item x="10"/>
        <item x="4"/>
        <item x="11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8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7" outline="0" subtotalTop="0" showAll="0" defaultSubtotal="0"/>
    <pivotField dataField="1" compact="0" numFmtId="170" outline="0" subtotalTop="0" showAll="0" defaultSubtotal="0"/>
  </pivotFields>
  <rowFields count="1">
    <field x="8"/>
  </rowFields>
  <rowItems count="6">
    <i>
      <x/>
    </i>
    <i>
      <x v="2"/>
    </i>
    <i>
      <x v="5"/>
    </i>
    <i>
      <x v="7"/>
    </i>
    <i>
      <x v="10"/>
    </i>
    <i t="grand">
      <x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colItems>
  <pageFields count="1">
    <pageField fld="0" item="1" hier="-1"/>
  </pageFields>
  <dataFields count="1">
    <dataField name=" Panel Revenues ($ Millions)" fld="19" baseField="0" baseItem="0" numFmtId="171"/>
  </dataFields>
  <formats count="4">
    <format dxfId="11">
      <pivotArea outline="0" collapsedLevelsAreSubtotals="1" fieldPosition="0"/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1" count="0"/>
        </references>
      </pivotArea>
    </format>
    <format dxfId="8">
      <pivotArea outline="0" collapsedLevelsAreSubtotals="1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C8DFD-899A-48F9-BEC1-73A50FC7D287}" name="ピボットテーブル1" cacheId="22" applyNumberFormats="0" applyBorderFormats="0" applyFontFormats="0" applyPatternFormats="0" applyAlignmentFormats="0" applyWidthHeightFormats="1" dataCaption="値" grandTotalCaption="Grand Total" updatedVersion="8" minRefreshableVersion="3" showDrill="0" showDataTips="0" colGrandTotals="0" itemPrintTitles="1" createdVersion="6" indent="0" compact="0" compactData="0" gridDropZones="1" multipleFieldFilters="0">
  <location ref="A3:L11" firstHeaderRow="1" firstDataRow="2" firstDataCol="1" rowPageCount="1" colPageCount="1"/>
  <pivotFields count="20">
    <pivotField axis="axisPage" compact="0" outline="0" subtotalTop="0" showAll="0" defaultSubtotal="0">
      <items count="2">
        <item x="1"/>
        <item x="0"/>
      </items>
    </pivotField>
    <pivotField axis="axisCol" compact="0" outline="0" subtotalTop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8">
        <item x="1"/>
        <item x="6"/>
        <item x="5"/>
        <item x="0"/>
        <item x="4"/>
        <item x="3"/>
        <item x="7"/>
        <item x="2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8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numFmtId="167" outline="0" subtotalTop="0" showAll="0" defaultSubtotal="0"/>
    <pivotField compact="0" numFmtId="170" outline="0" subtotalTop="0" showAll="0" defaultSubtotal="0"/>
  </pivotFields>
  <rowFields count="1">
    <field x="7"/>
  </rowFields>
  <rowItems count="7">
    <i>
      <x v="1"/>
    </i>
    <i>
      <x v="2"/>
    </i>
    <i>
      <x v="4"/>
    </i>
    <i>
      <x v="5"/>
    </i>
    <i>
      <x v="6"/>
    </i>
    <i>
      <x v="7"/>
    </i>
    <i t="grand">
      <x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colItems>
  <pageFields count="1">
    <pageField fld="0" item="0" hier="-1"/>
  </pageFields>
  <dataFields count="1">
    <dataField name=" Panel Shipments (Millions)" fld="18" baseField="0" baseItem="0" numFmtId="177"/>
  </dataFields>
  <formats count="3">
    <format dxfId="7">
      <pivotArea dataOnly="0" labelOnly="1" outline="0" fieldPosition="0">
        <references count="1">
          <reference field="1" count="0"/>
        </references>
      </pivotArea>
    </format>
    <format dxfId="6">
      <pivotArea type="origin" dataOnly="0" labelOnly="1" outline="0" fieldPosition="0"/>
    </format>
    <format dxfId="5">
      <pivotArea outline="0" collapsedLevelsAreSubtotals="1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31B6C8-705B-4A0E-8DBD-7F3483CC8CE6}" name="ピボットテーブル1" cacheId="22" applyNumberFormats="0" applyBorderFormats="0" applyFontFormats="0" applyPatternFormats="0" applyAlignmentFormats="0" applyWidthHeightFormats="1" dataCaption="値" grandTotalCaption="Grand Total" updatedVersion="8" minRefreshableVersion="3" showDrill="0" showDataTips="0" colGrandTotals="0" itemPrintTitles="1" createdVersion="6" indent="0" compact="0" compactData="0" gridDropZones="1" multipleFieldFilters="0">
  <location ref="A3:L13" firstHeaderRow="1" firstDataRow="2" firstDataCol="1" rowPageCount="1" colPageCount="1"/>
  <pivotFields count="20">
    <pivotField axis="axisPage" compact="0" outline="0" subtotalTop="0" showAll="0" defaultSubtotal="0">
      <items count="2">
        <item x="1"/>
        <item x="0"/>
      </items>
    </pivotField>
    <pivotField axis="axisCol" compact="0" outline="0" subtotalTop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2">
        <item x="3"/>
        <item x="8"/>
        <item x="0"/>
        <item x="5"/>
        <item x="9"/>
        <item x="2"/>
        <item x="7"/>
        <item x="1"/>
        <item x="6"/>
        <item x="10"/>
        <item x="4"/>
        <item x="11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8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7" outline="0" subtotalTop="0" showAll="0" defaultSubtotal="0"/>
    <pivotField dataField="1" compact="0" numFmtId="170" outline="0" subtotalTop="0" showAll="0" defaultSubtotal="0"/>
  </pivotFields>
  <rowFields count="1">
    <field x="8"/>
  </rowFields>
  <rowItems count="9">
    <i>
      <x v="1"/>
    </i>
    <i>
      <x v="3"/>
    </i>
    <i>
      <x v="4"/>
    </i>
    <i>
      <x v="6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colItems>
  <pageFields count="1">
    <pageField fld="0" item="0" hier="-1"/>
  </pageFields>
  <dataFields count="1">
    <dataField name=" Panel Revenues ($ Millions)" fld="19" baseField="0" baseItem="0" numFmtId="171"/>
  </dataFields>
  <formats count="5">
    <format dxfId="4">
      <pivotArea dataOnly="0" labelOnly="1" outline="0" fieldPosition="0">
        <references count="1">
          <reference field="1" count="0"/>
        </references>
      </pivotArea>
    </format>
    <format dxfId="3">
      <pivotArea type="origin" dataOnly="0" labelOnly="1" outline="0" fieldPosition="0"/>
    </format>
    <format dxfId="2">
      <pivotArea outline="0" collapsedLevelsAreSubtotals="1" fieldPosition="0"/>
    </format>
    <format dxfId="1">
      <pivotArea outline="0" collapsedLevelsAreSubtotals="1" fieldPosition="0"/>
    </format>
    <format dxfId="0">
      <pivotArea outline="0" collapsedLevelsAreSubtotals="1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5642E-879A-4515-B0F3-5C25D7B8B94E}">
  <sheetPr codeName="Sheet1">
    <tabColor rgb="FF00B0F0"/>
  </sheetPr>
  <dimension ref="A3:J19"/>
  <sheetViews>
    <sheetView showGridLines="0" showRowColHeaders="0" tabSelected="1" zoomScale="90" zoomScaleNormal="90" workbookViewId="0"/>
  </sheetViews>
  <sheetFormatPr defaultColWidth="10" defaultRowHeight="13.2"/>
  <cols>
    <col min="1" max="1" width="158.296875" style="1" customWidth="1"/>
    <col min="2" max="16384" width="10" style="1"/>
  </cols>
  <sheetData>
    <row r="3" spans="1:10">
      <c r="A3" s="1" t="s">
        <v>167</v>
      </c>
    </row>
    <row r="10" spans="1:10" ht="44.4">
      <c r="A10" s="10" t="s">
        <v>282</v>
      </c>
    </row>
    <row r="11" spans="1:10" ht="39" customHeight="1"/>
    <row r="12" spans="1:10" ht="44.4">
      <c r="A12" s="2" t="s">
        <v>293</v>
      </c>
    </row>
    <row r="14" spans="1:10" ht="27.6">
      <c r="A14" s="149" t="s">
        <v>305</v>
      </c>
    </row>
    <row r="15" spans="1:10" ht="32.4">
      <c r="A15" s="3"/>
      <c r="J15" s="4"/>
    </row>
    <row r="19" spans="1:1" ht="34.799999999999997">
      <c r="A19" s="5" t="s">
        <v>103</v>
      </c>
    </row>
  </sheetData>
  <sheetProtection sheet="1" objects="1" scenarios="1" selectLockedCells="1" selectUnlockedCells="1"/>
  <phoneticPr fontId="3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411D8-49DD-479B-B73B-DB4880DB73BF}">
  <sheetPr codeName="Sheet63">
    <tabColor rgb="FF00B0F0"/>
  </sheetPr>
  <dimension ref="B9:K35"/>
  <sheetViews>
    <sheetView showGridLines="0" showRowColHeaders="0" zoomScaleNormal="100" workbookViewId="0"/>
  </sheetViews>
  <sheetFormatPr defaultColWidth="10" defaultRowHeight="13.8"/>
  <cols>
    <col min="1" max="1" width="10" style="7"/>
    <col min="2" max="2" width="3.69921875" style="7" customWidth="1"/>
    <col min="3" max="3" width="25.19921875" style="7" customWidth="1"/>
    <col min="4" max="4" width="27.09765625" style="7" customWidth="1"/>
    <col min="5" max="16384" width="10" style="7"/>
  </cols>
  <sheetData>
    <row r="9" spans="2:11" ht="20.100000000000001" customHeight="1">
      <c r="B9" s="143" t="s">
        <v>202</v>
      </c>
      <c r="C9" s="144"/>
      <c r="D9"/>
      <c r="E9"/>
      <c r="F9"/>
      <c r="G9" s="6"/>
      <c r="H9" s="6"/>
      <c r="I9" s="6"/>
      <c r="J9" s="6"/>
      <c r="K9" s="6"/>
    </row>
    <row r="10" spans="2:11" ht="20.100000000000001" customHeight="1">
      <c r="B10" s="145" t="s">
        <v>203</v>
      </c>
      <c r="C10" s="146"/>
      <c r="D10"/>
      <c r="E10"/>
      <c r="F10"/>
      <c r="G10" s="115"/>
      <c r="H10" s="115"/>
      <c r="I10" s="115"/>
      <c r="J10" s="115"/>
      <c r="K10" s="116"/>
    </row>
    <row r="11" spans="2:11" ht="20.100000000000001" customHeight="1">
      <c r="B11" s="145" t="s">
        <v>204</v>
      </c>
      <c r="C11" s="146"/>
      <c r="D11"/>
      <c r="E11"/>
      <c r="F11"/>
      <c r="G11" s="115"/>
      <c r="H11" s="115"/>
      <c r="I11" s="115"/>
      <c r="J11" s="115"/>
      <c r="K11" s="116"/>
    </row>
    <row r="12" spans="2:11" ht="20.100000000000001" customHeight="1">
      <c r="B12" s="145" t="s">
        <v>205</v>
      </c>
      <c r="C12" s="146"/>
      <c r="D12"/>
      <c r="E12"/>
      <c r="F12"/>
      <c r="G12" s="115"/>
      <c r="H12" s="115"/>
      <c r="I12" s="115"/>
      <c r="J12" s="115"/>
      <c r="K12" s="116"/>
    </row>
    <row r="13" spans="2:11" ht="20.100000000000001" customHeight="1">
      <c r="B13" s="145" t="s">
        <v>206</v>
      </c>
      <c r="C13" s="146"/>
      <c r="D13"/>
      <c r="E13"/>
      <c r="F13"/>
      <c r="G13" s="115"/>
      <c r="H13" s="115"/>
      <c r="I13" s="115"/>
      <c r="J13" s="115"/>
      <c r="K13" s="116"/>
    </row>
    <row r="14" spans="2:11" ht="20.100000000000001" customHeight="1">
      <c r="B14" s="145" t="s">
        <v>207</v>
      </c>
      <c r="C14" s="146"/>
      <c r="D14"/>
      <c r="E14"/>
      <c r="F14"/>
      <c r="G14" s="115"/>
      <c r="H14" s="115"/>
      <c r="I14" s="115"/>
      <c r="J14" s="115"/>
      <c r="K14" s="116"/>
    </row>
    <row r="15" spans="2:11" ht="20.100000000000001" customHeight="1">
      <c r="B15" s="145" t="s">
        <v>208</v>
      </c>
      <c r="C15" s="146"/>
      <c r="D15"/>
      <c r="E15"/>
      <c r="F15"/>
      <c r="G15" s="115"/>
      <c r="H15" s="115"/>
      <c r="I15" s="115"/>
      <c r="J15" s="115"/>
      <c r="K15" s="116"/>
    </row>
    <row r="16" spans="2:11" ht="20.100000000000001" customHeight="1">
      <c r="B16" s="147"/>
      <c r="C16" s="143" t="s">
        <v>209</v>
      </c>
      <c r="D16"/>
      <c r="E16"/>
      <c r="F16"/>
      <c r="G16" s="115"/>
      <c r="H16" s="115"/>
      <c r="I16" s="115"/>
      <c r="J16" s="115"/>
      <c r="K16" s="116"/>
    </row>
    <row r="17" spans="2:11" ht="20.100000000000001" customHeight="1">
      <c r="B17" s="147"/>
      <c r="C17" s="145" t="s">
        <v>210</v>
      </c>
      <c r="D17"/>
      <c r="E17"/>
      <c r="F17"/>
      <c r="G17" s="115"/>
      <c r="H17" s="115"/>
      <c r="I17" s="115"/>
      <c r="J17" s="115"/>
      <c r="K17" s="116"/>
    </row>
    <row r="18" spans="2:11" ht="20.100000000000001" customHeight="1">
      <c r="B18" s="147"/>
      <c r="C18" s="145" t="s">
        <v>211</v>
      </c>
      <c r="D18"/>
      <c r="E18"/>
      <c r="F18"/>
      <c r="G18" s="118"/>
      <c r="H18" s="118"/>
      <c r="I18" s="118"/>
      <c r="J18" s="118"/>
      <c r="K18" s="118"/>
    </row>
    <row r="19" spans="2:11" ht="20.100000000000001" customHeight="1">
      <c r="B19"/>
      <c r="C19" s="146"/>
      <c r="D19"/>
      <c r="E19"/>
      <c r="F19"/>
      <c r="G19" s="118"/>
      <c r="H19" s="118"/>
      <c r="I19" s="118"/>
      <c r="J19" s="118"/>
      <c r="K19" s="118"/>
    </row>
    <row r="20" spans="2:11" ht="20.100000000000001" customHeight="1">
      <c r="B20" s="143" t="s">
        <v>212</v>
      </c>
      <c r="C20" s="146"/>
      <c r="D20"/>
      <c r="E20"/>
      <c r="F20"/>
      <c r="G20" s="118"/>
      <c r="H20" s="118"/>
      <c r="I20" s="118"/>
      <c r="J20" s="118"/>
      <c r="K20" s="118"/>
    </row>
    <row r="21" spans="2:11" ht="20.100000000000001" customHeight="1">
      <c r="B21" s="145" t="s">
        <v>281</v>
      </c>
      <c r="C21" s="146"/>
      <c r="D21"/>
      <c r="E21"/>
      <c r="F21"/>
      <c r="G21" s="118"/>
      <c r="H21" s="118"/>
      <c r="I21" s="118"/>
      <c r="J21" s="118"/>
      <c r="K21" s="118"/>
    </row>
    <row r="22" spans="2:11" ht="20.100000000000001" customHeight="1">
      <c r="B22"/>
      <c r="C22"/>
      <c r="D22"/>
      <c r="E22"/>
      <c r="F22"/>
      <c r="G22" s="118"/>
      <c r="H22" s="118"/>
      <c r="I22" s="118"/>
      <c r="J22" s="118"/>
      <c r="K22" s="118"/>
    </row>
    <row r="23" spans="2:11" ht="20.100000000000001" customHeight="1">
      <c r="B23"/>
      <c r="C23"/>
      <c r="D23"/>
      <c r="E23"/>
      <c r="F23"/>
      <c r="G23" s="118"/>
      <c r="H23" s="118"/>
      <c r="I23" s="118"/>
      <c r="J23" s="118"/>
      <c r="K23" s="118"/>
    </row>
    <row r="24" spans="2:11" ht="20.100000000000001" customHeight="1">
      <c r="B24"/>
      <c r="C24"/>
      <c r="D24"/>
      <c r="E24"/>
      <c r="F24"/>
      <c r="G24" s="118"/>
      <c r="H24" s="118"/>
      <c r="I24" s="118"/>
      <c r="J24" s="118"/>
      <c r="K24" s="118"/>
    </row>
    <row r="25" spans="2:11" ht="20.100000000000001" customHeight="1">
      <c r="B25"/>
      <c r="C25"/>
      <c r="D25"/>
      <c r="E25"/>
      <c r="F25"/>
      <c r="G25" s="118"/>
      <c r="H25" s="118"/>
      <c r="I25" s="118"/>
      <c r="J25" s="118"/>
      <c r="K25" s="118"/>
    </row>
    <row r="26" spans="2:11">
      <c r="B26"/>
      <c r="C26"/>
      <c r="D26"/>
      <c r="E26"/>
      <c r="F26"/>
      <c r="G26" s="118"/>
      <c r="H26" s="118"/>
      <c r="I26" s="118"/>
      <c r="J26" s="118"/>
      <c r="K26" s="118"/>
    </row>
    <row r="27" spans="2:11">
      <c r="B27"/>
      <c r="C27"/>
      <c r="D27"/>
      <c r="E27"/>
      <c r="F27"/>
      <c r="G27" s="118"/>
      <c r="H27" s="118"/>
      <c r="I27" s="118"/>
      <c r="J27" s="118"/>
      <c r="K27" s="118"/>
    </row>
    <row r="28" spans="2:11">
      <c r="B28"/>
      <c r="C28"/>
      <c r="D28"/>
      <c r="E28"/>
      <c r="F28"/>
      <c r="G28" s="118"/>
      <c r="H28" s="118"/>
      <c r="I28" s="118"/>
      <c r="J28" s="118"/>
      <c r="K28" s="118"/>
    </row>
    <row r="29" spans="2:11">
      <c r="B29"/>
      <c r="C29"/>
      <c r="D29"/>
      <c r="E29"/>
      <c r="F29"/>
      <c r="G29" s="118"/>
      <c r="H29" s="118"/>
      <c r="I29" s="118"/>
      <c r="J29" s="118"/>
      <c r="K29" s="118"/>
    </row>
    <row r="30" spans="2:11">
      <c r="B30"/>
      <c r="C30"/>
      <c r="D30"/>
      <c r="E30"/>
      <c r="F30"/>
      <c r="G30" s="117"/>
      <c r="H30" s="117"/>
      <c r="I30" s="117"/>
      <c r="J30" s="117"/>
      <c r="K30" s="117"/>
    </row>
    <row r="31" spans="2:11">
      <c r="B31"/>
      <c r="C31"/>
      <c r="D31"/>
      <c r="E31"/>
      <c r="F31"/>
    </row>
    <row r="32" spans="2:11">
      <c r="B32"/>
      <c r="C32"/>
      <c r="D32"/>
      <c r="E32"/>
      <c r="F32"/>
    </row>
    <row r="33" spans="2:6">
      <c r="B33"/>
      <c r="C33"/>
      <c r="D33"/>
      <c r="E33"/>
      <c r="F33"/>
    </row>
    <row r="34" spans="2:6">
      <c r="B34"/>
      <c r="C34"/>
      <c r="D34"/>
      <c r="E34"/>
      <c r="F34"/>
    </row>
    <row r="35" spans="2:6">
      <c r="B35"/>
      <c r="C35"/>
      <c r="D35"/>
      <c r="E35"/>
      <c r="F35"/>
    </row>
  </sheetData>
  <sheetProtection sheet="1" objects="1" scenarios="1" selectLockedCells="1" selectUnlockedCells="1"/>
  <phoneticPr fontId="3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CDD0D-895B-4C94-A13A-C36599BA72D1}">
  <sheetPr codeName="Sheet15">
    <tabColor rgb="FFFF0000"/>
  </sheetPr>
  <dimension ref="C1:Q112"/>
  <sheetViews>
    <sheetView showGridLines="0" showZeros="0" zoomScale="80" zoomScaleNormal="80" workbookViewId="0">
      <selection activeCell="E7" sqref="E7"/>
    </sheetView>
  </sheetViews>
  <sheetFormatPr defaultColWidth="9" defaultRowHeight="13.8"/>
  <cols>
    <col min="1" max="2" width="4.59765625" customWidth="1"/>
    <col min="3" max="3" width="20.59765625" bestFit="1" customWidth="1"/>
    <col min="4" max="4" width="4.59765625" customWidth="1"/>
    <col min="5" max="5" width="19.59765625" bestFit="1" customWidth="1"/>
    <col min="6" max="6" width="4.59765625" customWidth="1"/>
    <col min="7" max="7" width="21.19921875" bestFit="1" customWidth="1"/>
    <col min="8" max="8" width="4.59765625" customWidth="1"/>
    <col min="9" max="9" width="21.19921875" bestFit="1" customWidth="1"/>
    <col min="10" max="11" width="4.59765625" customWidth="1"/>
    <col min="14" max="14" width="4.59765625" customWidth="1"/>
    <col min="18" max="18" width="4.59765625" customWidth="1"/>
  </cols>
  <sheetData>
    <row r="1" spans="3:17" ht="14.4" thickBot="1"/>
    <row r="2" spans="3:17" ht="15" thickTop="1" thickBot="1">
      <c r="C2" s="114" t="s">
        <v>173</v>
      </c>
    </row>
    <row r="3" spans="3:17" ht="14.4" thickBot="1">
      <c r="C3" s="113">
        <v>2024</v>
      </c>
    </row>
    <row r="4" spans="3:17" ht="14.4" thickTop="1"/>
    <row r="6" spans="3:17" ht="14.4" thickBot="1"/>
    <row r="7" spans="3:17" ht="14.4" thickBot="1">
      <c r="C7" s="48" t="s">
        <v>94</v>
      </c>
      <c r="E7" s="48" t="s">
        <v>93</v>
      </c>
      <c r="G7" s="48" t="s">
        <v>95</v>
      </c>
      <c r="I7" s="48" t="s">
        <v>96</v>
      </c>
      <c r="L7" s="66" t="s">
        <v>89</v>
      </c>
      <c r="M7" s="67" t="s">
        <v>90</v>
      </c>
      <c r="O7" s="8" t="s">
        <v>0</v>
      </c>
      <c r="P7" s="8"/>
      <c r="Q7" s="8" t="s">
        <v>1</v>
      </c>
    </row>
    <row r="8" spans="3:17">
      <c r="C8" s="63" t="s">
        <v>115</v>
      </c>
      <c r="E8" s="63" t="s">
        <v>133</v>
      </c>
      <c r="G8" s="59" t="s">
        <v>46</v>
      </c>
      <c r="I8" s="59" t="s">
        <v>81</v>
      </c>
      <c r="L8" s="100" t="s">
        <v>8</v>
      </c>
      <c r="M8" s="101">
        <v>2</v>
      </c>
      <c r="O8" s="85" t="s">
        <v>213</v>
      </c>
      <c r="P8" s="86">
        <v>1</v>
      </c>
      <c r="Q8" s="87" t="s">
        <v>213</v>
      </c>
    </row>
    <row r="9" spans="3:17">
      <c r="C9" s="64" t="s">
        <v>183</v>
      </c>
      <c r="E9" s="64" t="s">
        <v>188</v>
      </c>
      <c r="G9" s="60" t="s">
        <v>48</v>
      </c>
      <c r="I9" s="60" t="s">
        <v>280</v>
      </c>
      <c r="L9" s="102" t="s">
        <v>9</v>
      </c>
      <c r="M9" s="103">
        <v>3</v>
      </c>
      <c r="O9" s="88" t="s">
        <v>214</v>
      </c>
      <c r="P9" s="89">
        <v>2</v>
      </c>
      <c r="Q9" s="90" t="s">
        <v>214</v>
      </c>
    </row>
    <row r="10" spans="3:17">
      <c r="C10" s="64" t="s">
        <v>165</v>
      </c>
      <c r="E10" s="64" t="s">
        <v>198</v>
      </c>
      <c r="G10" s="60" t="s">
        <v>47</v>
      </c>
      <c r="I10" s="60" t="s">
        <v>170</v>
      </c>
      <c r="L10" s="102" t="s">
        <v>10</v>
      </c>
      <c r="M10" s="103">
        <v>4</v>
      </c>
      <c r="O10" s="88" t="s">
        <v>215</v>
      </c>
      <c r="P10" s="89">
        <v>3</v>
      </c>
      <c r="Q10" s="90" t="s">
        <v>215</v>
      </c>
    </row>
    <row r="11" spans="3:17">
      <c r="C11" s="64" t="s">
        <v>181</v>
      </c>
      <c r="E11" s="64" t="s">
        <v>295</v>
      </c>
      <c r="G11" s="60" t="s">
        <v>49</v>
      </c>
      <c r="I11" s="60" t="s">
        <v>124</v>
      </c>
      <c r="L11" s="102" t="s">
        <v>11</v>
      </c>
      <c r="M11" s="103">
        <v>5</v>
      </c>
      <c r="O11" s="91" t="s">
        <v>216</v>
      </c>
      <c r="P11" s="92">
        <v>4</v>
      </c>
      <c r="Q11" s="93" t="s">
        <v>216</v>
      </c>
    </row>
    <row r="12" spans="3:17">
      <c r="C12" s="64" t="s">
        <v>111</v>
      </c>
      <c r="E12" s="64" t="s">
        <v>119</v>
      </c>
      <c r="G12" s="60" t="s">
        <v>50</v>
      </c>
      <c r="I12" s="60" t="s">
        <v>82</v>
      </c>
      <c r="L12" s="102" t="s">
        <v>12</v>
      </c>
      <c r="M12" s="103">
        <v>6</v>
      </c>
      <c r="O12" s="94" t="s">
        <v>217</v>
      </c>
      <c r="P12" s="95">
        <v>5</v>
      </c>
      <c r="Q12" s="96" t="s">
        <v>217</v>
      </c>
    </row>
    <row r="13" spans="3:17">
      <c r="C13" s="64" t="s">
        <v>138</v>
      </c>
      <c r="E13" s="64" t="s">
        <v>123</v>
      </c>
      <c r="G13" s="60"/>
      <c r="I13" s="60" t="s">
        <v>83</v>
      </c>
      <c r="L13" s="102" t="s">
        <v>13</v>
      </c>
      <c r="M13" s="103">
        <v>7</v>
      </c>
      <c r="O13" s="88" t="s">
        <v>218</v>
      </c>
      <c r="P13" s="89">
        <v>6</v>
      </c>
      <c r="Q13" s="90" t="s">
        <v>218</v>
      </c>
    </row>
    <row r="14" spans="3:17">
      <c r="C14" s="64" t="s">
        <v>39</v>
      </c>
      <c r="E14" s="64" t="s">
        <v>69</v>
      </c>
      <c r="G14" s="60"/>
      <c r="I14" s="60" t="s">
        <v>84</v>
      </c>
      <c r="L14" s="102" t="s">
        <v>14</v>
      </c>
      <c r="M14" s="103">
        <v>8</v>
      </c>
      <c r="O14" s="88" t="s">
        <v>219</v>
      </c>
      <c r="P14" s="89">
        <v>7</v>
      </c>
      <c r="Q14" s="90" t="s">
        <v>219</v>
      </c>
    </row>
    <row r="15" spans="3:17">
      <c r="C15" s="64" t="s">
        <v>140</v>
      </c>
      <c r="E15" s="64" t="s">
        <v>76</v>
      </c>
      <c r="G15" s="60"/>
      <c r="I15" s="60" t="s">
        <v>50</v>
      </c>
      <c r="L15" s="102" t="s">
        <v>86</v>
      </c>
      <c r="M15" s="103">
        <v>9</v>
      </c>
      <c r="O15" s="91" t="s">
        <v>220</v>
      </c>
      <c r="P15" s="92">
        <v>8</v>
      </c>
      <c r="Q15" s="93" t="s">
        <v>220</v>
      </c>
    </row>
    <row r="16" spans="3:17">
      <c r="C16" s="64" t="s">
        <v>278</v>
      </c>
      <c r="E16" s="64" t="s">
        <v>195</v>
      </c>
      <c r="G16" s="60"/>
      <c r="I16" s="60"/>
      <c r="L16" s="102" t="s">
        <v>125</v>
      </c>
      <c r="M16" s="103">
        <v>10</v>
      </c>
      <c r="O16" s="94" t="s">
        <v>221</v>
      </c>
      <c r="P16" s="95">
        <v>9</v>
      </c>
      <c r="Q16" s="96" t="s">
        <v>221</v>
      </c>
    </row>
    <row r="17" spans="3:17" ht="14.4" thickBot="1">
      <c r="C17" s="64" t="s">
        <v>162</v>
      </c>
      <c r="E17" s="64" t="s">
        <v>130</v>
      </c>
      <c r="G17" s="61"/>
      <c r="I17" s="61"/>
      <c r="L17" s="102" t="s">
        <v>142</v>
      </c>
      <c r="M17" s="103">
        <v>11</v>
      </c>
      <c r="O17" s="88" t="s">
        <v>222</v>
      </c>
      <c r="P17" s="89">
        <v>10</v>
      </c>
      <c r="Q17" s="90" t="s">
        <v>222</v>
      </c>
    </row>
    <row r="18" spans="3:17" ht="14.4" thickBot="1">
      <c r="C18" s="64" t="s">
        <v>42</v>
      </c>
      <c r="E18" s="64" t="s">
        <v>199</v>
      </c>
      <c r="L18" s="104" t="s">
        <v>185</v>
      </c>
      <c r="M18" s="105">
        <v>12</v>
      </c>
      <c r="O18" s="88" t="s">
        <v>223</v>
      </c>
      <c r="P18" s="89">
        <v>11</v>
      </c>
      <c r="Q18" s="90" t="s">
        <v>223</v>
      </c>
    </row>
    <row r="19" spans="3:17">
      <c r="C19" s="64" t="s">
        <v>107</v>
      </c>
      <c r="E19" s="64" t="s">
        <v>192</v>
      </c>
      <c r="O19" s="91" t="s">
        <v>224</v>
      </c>
      <c r="P19" s="92">
        <v>12</v>
      </c>
      <c r="Q19" s="93" t="s">
        <v>224</v>
      </c>
    </row>
    <row r="20" spans="3:17">
      <c r="C20" s="64" t="s">
        <v>134</v>
      </c>
      <c r="E20" s="64" t="s">
        <v>197</v>
      </c>
      <c r="O20" s="94" t="s">
        <v>225</v>
      </c>
      <c r="P20" s="95">
        <v>13</v>
      </c>
      <c r="Q20" s="96" t="s">
        <v>225</v>
      </c>
    </row>
    <row r="21" spans="3:17">
      <c r="C21" s="64" t="s">
        <v>109</v>
      </c>
      <c r="E21" s="64" t="s">
        <v>62</v>
      </c>
      <c r="O21" s="88" t="s">
        <v>226</v>
      </c>
      <c r="P21" s="89">
        <v>14</v>
      </c>
      <c r="Q21" s="90" t="s">
        <v>226</v>
      </c>
    </row>
    <row r="22" spans="3:17">
      <c r="C22" s="64" t="s">
        <v>25</v>
      </c>
      <c r="E22" s="64" t="s">
        <v>288</v>
      </c>
      <c r="O22" s="88" t="s">
        <v>227</v>
      </c>
      <c r="P22" s="89">
        <v>15</v>
      </c>
      <c r="Q22" s="90" t="s">
        <v>227</v>
      </c>
    </row>
    <row r="23" spans="3:17">
      <c r="C23" s="64" t="s">
        <v>126</v>
      </c>
      <c r="E23" s="64" t="s">
        <v>287</v>
      </c>
      <c r="O23" s="91" t="s">
        <v>228</v>
      </c>
      <c r="P23" s="92">
        <v>16</v>
      </c>
      <c r="Q23" s="93" t="s">
        <v>228</v>
      </c>
    </row>
    <row r="24" spans="3:17">
      <c r="C24" s="64" t="s">
        <v>292</v>
      </c>
      <c r="E24" s="64" t="s">
        <v>80</v>
      </c>
      <c r="O24" s="94" t="s">
        <v>229</v>
      </c>
      <c r="P24" s="95">
        <v>17</v>
      </c>
      <c r="Q24" s="96" t="s">
        <v>229</v>
      </c>
    </row>
    <row r="25" spans="3:17">
      <c r="C25" s="64" t="s">
        <v>30</v>
      </c>
      <c r="E25" s="64" t="s">
        <v>75</v>
      </c>
      <c r="O25" s="88" t="s">
        <v>230</v>
      </c>
      <c r="P25" s="89">
        <v>18</v>
      </c>
      <c r="Q25" s="90" t="s">
        <v>230</v>
      </c>
    </row>
    <row r="26" spans="3:17">
      <c r="C26" s="64" t="s">
        <v>32</v>
      </c>
      <c r="E26" s="64" t="s">
        <v>290</v>
      </c>
      <c r="O26" s="88" t="s">
        <v>231</v>
      </c>
      <c r="P26" s="89">
        <v>19</v>
      </c>
      <c r="Q26" s="90" t="s">
        <v>231</v>
      </c>
    </row>
    <row r="27" spans="3:17">
      <c r="C27" s="64" t="s">
        <v>137</v>
      </c>
      <c r="E27" s="64" t="s">
        <v>187</v>
      </c>
      <c r="O27" s="91" t="s">
        <v>232</v>
      </c>
      <c r="P27" s="92">
        <v>20</v>
      </c>
      <c r="Q27" s="93" t="s">
        <v>232</v>
      </c>
    </row>
    <row r="28" spans="3:17">
      <c r="C28" s="64" t="s">
        <v>196</v>
      </c>
      <c r="E28" s="64" t="s">
        <v>160</v>
      </c>
      <c r="O28" s="94" t="s">
        <v>233</v>
      </c>
      <c r="P28" s="95">
        <v>21</v>
      </c>
      <c r="Q28" s="96" t="s">
        <v>233</v>
      </c>
    </row>
    <row r="29" spans="3:17">
      <c r="C29" s="64" t="s">
        <v>113</v>
      </c>
      <c r="E29" s="64" t="s">
        <v>193</v>
      </c>
      <c r="O29" s="88" t="s">
        <v>234</v>
      </c>
      <c r="P29" s="89">
        <v>22</v>
      </c>
      <c r="Q29" s="90" t="s">
        <v>234</v>
      </c>
    </row>
    <row r="30" spans="3:17">
      <c r="C30" s="64" t="s">
        <v>7</v>
      </c>
      <c r="E30" s="64" t="s">
        <v>289</v>
      </c>
      <c r="O30" s="88" t="s">
        <v>235</v>
      </c>
      <c r="P30" s="89">
        <v>23</v>
      </c>
      <c r="Q30" s="90" t="s">
        <v>235</v>
      </c>
    </row>
    <row r="31" spans="3:17">
      <c r="C31" s="64" t="s">
        <v>35</v>
      </c>
      <c r="E31" s="64" t="s">
        <v>285</v>
      </c>
      <c r="O31" s="91" t="s">
        <v>236</v>
      </c>
      <c r="P31" s="92">
        <v>24</v>
      </c>
      <c r="Q31" s="93" t="s">
        <v>236</v>
      </c>
    </row>
    <row r="32" spans="3:17">
      <c r="C32" s="64" t="s">
        <v>37</v>
      </c>
      <c r="E32" s="64" t="s">
        <v>277</v>
      </c>
      <c r="O32" s="94" t="s">
        <v>237</v>
      </c>
      <c r="P32" s="95">
        <v>25</v>
      </c>
      <c r="Q32" s="96" t="s">
        <v>237</v>
      </c>
    </row>
    <row r="33" spans="3:17">
      <c r="C33" s="64" t="s">
        <v>33</v>
      </c>
      <c r="E33" s="64" t="s">
        <v>117</v>
      </c>
      <c r="O33" s="88" t="s">
        <v>238</v>
      </c>
      <c r="P33" s="89">
        <v>26</v>
      </c>
      <c r="Q33" s="90" t="s">
        <v>238</v>
      </c>
    </row>
    <row r="34" spans="3:17">
      <c r="C34" s="64" t="s">
        <v>161</v>
      </c>
      <c r="E34" s="64" t="s">
        <v>66</v>
      </c>
      <c r="O34" s="88" t="s">
        <v>239</v>
      </c>
      <c r="P34" s="89">
        <v>27</v>
      </c>
      <c r="Q34" s="90" t="s">
        <v>239</v>
      </c>
    </row>
    <row r="35" spans="3:17">
      <c r="C35" s="64" t="s">
        <v>163</v>
      </c>
      <c r="E35" s="64" t="s">
        <v>279</v>
      </c>
      <c r="O35" s="91" t="s">
        <v>240</v>
      </c>
      <c r="P35" s="92">
        <v>28</v>
      </c>
      <c r="Q35" s="93" t="s">
        <v>240</v>
      </c>
    </row>
    <row r="36" spans="3:17">
      <c r="C36" s="64" t="s">
        <v>169</v>
      </c>
      <c r="E36" s="64" t="s">
        <v>121</v>
      </c>
      <c r="O36" s="88" t="s">
        <v>241</v>
      </c>
      <c r="P36" s="89">
        <v>29</v>
      </c>
      <c r="Q36" s="90" t="s">
        <v>241</v>
      </c>
    </row>
    <row r="37" spans="3:17">
      <c r="C37" s="64" t="s">
        <v>178</v>
      </c>
      <c r="E37" s="64" t="s">
        <v>74</v>
      </c>
      <c r="O37" s="88" t="s">
        <v>242</v>
      </c>
      <c r="P37" s="89">
        <v>30</v>
      </c>
      <c r="Q37" s="90" t="s">
        <v>242</v>
      </c>
    </row>
    <row r="38" spans="3:17">
      <c r="C38" s="64" t="s">
        <v>275</v>
      </c>
      <c r="E38" s="64" t="s">
        <v>190</v>
      </c>
      <c r="O38" s="88" t="s">
        <v>243</v>
      </c>
      <c r="P38" s="89">
        <v>31</v>
      </c>
      <c r="Q38" s="90" t="s">
        <v>243</v>
      </c>
    </row>
    <row r="39" spans="3:17">
      <c r="C39" s="64" t="s">
        <v>184</v>
      </c>
      <c r="E39" s="64" t="s">
        <v>136</v>
      </c>
      <c r="O39" s="91" t="s">
        <v>244</v>
      </c>
      <c r="P39" s="92">
        <v>32</v>
      </c>
      <c r="Q39" s="93" t="s">
        <v>244</v>
      </c>
    </row>
    <row r="40" spans="3:17">
      <c r="C40" s="64"/>
      <c r="E40" s="64" t="s">
        <v>200</v>
      </c>
      <c r="O40" s="88" t="s">
        <v>245</v>
      </c>
      <c r="P40" s="89">
        <v>33</v>
      </c>
      <c r="Q40" s="90" t="s">
        <v>245</v>
      </c>
    </row>
    <row r="41" spans="3:17">
      <c r="C41" s="64"/>
      <c r="E41" s="64" t="s">
        <v>201</v>
      </c>
      <c r="O41" s="88" t="s">
        <v>246</v>
      </c>
      <c r="P41" s="89">
        <v>34</v>
      </c>
      <c r="Q41" s="90" t="s">
        <v>246</v>
      </c>
    </row>
    <row r="42" spans="3:17">
      <c r="C42" s="64"/>
      <c r="E42" s="64" t="s">
        <v>300</v>
      </c>
      <c r="O42" s="88" t="s">
        <v>247</v>
      </c>
      <c r="P42" s="89">
        <v>35</v>
      </c>
      <c r="Q42" s="90" t="s">
        <v>247</v>
      </c>
    </row>
    <row r="43" spans="3:17">
      <c r="C43" s="64"/>
      <c r="E43" s="64" t="s">
        <v>298</v>
      </c>
      <c r="O43" s="91" t="s">
        <v>248</v>
      </c>
      <c r="P43" s="92">
        <v>36</v>
      </c>
      <c r="Q43" s="93" t="s">
        <v>248</v>
      </c>
    </row>
    <row r="44" spans="3:17">
      <c r="C44" s="64"/>
      <c r="E44" s="64" t="s">
        <v>122</v>
      </c>
      <c r="O44" s="88" t="s">
        <v>249</v>
      </c>
      <c r="P44" s="89">
        <v>37</v>
      </c>
      <c r="Q44" s="90" t="s">
        <v>249</v>
      </c>
    </row>
    <row r="45" spans="3:17">
      <c r="C45" s="64"/>
      <c r="E45" s="64" t="s">
        <v>79</v>
      </c>
      <c r="O45" s="88" t="s">
        <v>250</v>
      </c>
      <c r="P45" s="89">
        <v>38</v>
      </c>
      <c r="Q45" s="90" t="s">
        <v>250</v>
      </c>
    </row>
    <row r="46" spans="3:17">
      <c r="C46" s="64"/>
      <c r="E46" s="64" t="s">
        <v>131</v>
      </c>
      <c r="O46" s="88" t="s">
        <v>251</v>
      </c>
      <c r="P46" s="89">
        <v>39</v>
      </c>
      <c r="Q46" s="90" t="s">
        <v>251</v>
      </c>
    </row>
    <row r="47" spans="3:17">
      <c r="C47" s="64"/>
      <c r="E47" s="64" t="s">
        <v>78</v>
      </c>
      <c r="O47" s="88" t="s">
        <v>252</v>
      </c>
      <c r="P47" s="89">
        <v>40</v>
      </c>
      <c r="Q47" s="90" t="s">
        <v>252</v>
      </c>
    </row>
    <row r="48" spans="3:17">
      <c r="C48" s="64"/>
      <c r="E48" s="64" t="s">
        <v>284</v>
      </c>
      <c r="O48" s="88" t="s">
        <v>253</v>
      </c>
      <c r="P48" s="89">
        <v>41</v>
      </c>
      <c r="Q48" s="90" t="s">
        <v>253</v>
      </c>
    </row>
    <row r="49" spans="3:17">
      <c r="C49" s="64"/>
      <c r="E49" s="64" t="s">
        <v>296</v>
      </c>
      <c r="O49" s="88" t="s">
        <v>254</v>
      </c>
      <c r="P49" s="89">
        <v>42</v>
      </c>
      <c r="Q49" s="90" t="s">
        <v>254</v>
      </c>
    </row>
    <row r="50" spans="3:17">
      <c r="C50" s="64"/>
      <c r="E50" s="64" t="s">
        <v>273</v>
      </c>
      <c r="O50" s="88" t="s">
        <v>255</v>
      </c>
      <c r="P50" s="89">
        <v>43</v>
      </c>
      <c r="Q50" s="90" t="s">
        <v>255</v>
      </c>
    </row>
    <row r="51" spans="3:17">
      <c r="C51" s="64"/>
      <c r="E51" s="64"/>
      <c r="O51" s="91" t="s">
        <v>256</v>
      </c>
      <c r="P51" s="92">
        <v>44</v>
      </c>
      <c r="Q51" s="93" t="s">
        <v>256</v>
      </c>
    </row>
    <row r="52" spans="3:17">
      <c r="C52" s="64"/>
      <c r="E52" s="64"/>
      <c r="O52" s="88" t="s">
        <v>257</v>
      </c>
      <c r="P52" s="89">
        <v>45</v>
      </c>
      <c r="Q52" s="90" t="s">
        <v>257</v>
      </c>
    </row>
    <row r="53" spans="3:17">
      <c r="C53" s="64"/>
      <c r="E53" s="64"/>
      <c r="O53" s="88" t="s">
        <v>258</v>
      </c>
      <c r="P53" s="89">
        <v>46</v>
      </c>
      <c r="Q53" s="90" t="s">
        <v>258</v>
      </c>
    </row>
    <row r="54" spans="3:17">
      <c r="C54" s="64"/>
      <c r="E54" s="64"/>
      <c r="O54" s="88" t="s">
        <v>259</v>
      </c>
      <c r="P54" s="89">
        <v>47</v>
      </c>
      <c r="Q54" s="90" t="s">
        <v>259</v>
      </c>
    </row>
    <row r="55" spans="3:17">
      <c r="C55" s="64"/>
      <c r="E55" s="64"/>
      <c r="O55" s="88" t="s">
        <v>260</v>
      </c>
      <c r="P55" s="89">
        <v>48</v>
      </c>
      <c r="Q55" s="90" t="s">
        <v>260</v>
      </c>
    </row>
    <row r="56" spans="3:17">
      <c r="C56" s="64"/>
      <c r="E56" s="64"/>
      <c r="O56" s="94" t="s">
        <v>261</v>
      </c>
      <c r="P56" s="95">
        <v>49</v>
      </c>
      <c r="Q56" s="96" t="s">
        <v>261</v>
      </c>
    </row>
    <row r="57" spans="3:17" ht="14.4" thickBot="1">
      <c r="C57" s="65" t="s">
        <v>45</v>
      </c>
      <c r="E57" s="65" t="s">
        <v>45</v>
      </c>
      <c r="O57" s="88" t="s">
        <v>262</v>
      </c>
      <c r="P57" s="89">
        <v>50</v>
      </c>
      <c r="Q57" s="90" t="s">
        <v>262</v>
      </c>
    </row>
    <row r="58" spans="3:17">
      <c r="O58" s="88" t="s">
        <v>263</v>
      </c>
      <c r="P58" s="89">
        <v>51</v>
      </c>
      <c r="Q58" s="90" t="s">
        <v>263</v>
      </c>
    </row>
    <row r="59" spans="3:17">
      <c r="O59" s="91" t="s">
        <v>264</v>
      </c>
      <c r="P59" s="92">
        <v>52</v>
      </c>
      <c r="Q59" s="93" t="s">
        <v>264</v>
      </c>
    </row>
    <row r="60" spans="3:17">
      <c r="O60" s="94" t="s">
        <v>265</v>
      </c>
      <c r="P60" s="95">
        <v>53</v>
      </c>
      <c r="Q60" s="96" t="s">
        <v>265</v>
      </c>
    </row>
    <row r="61" spans="3:17">
      <c r="O61" s="88" t="s">
        <v>266</v>
      </c>
      <c r="P61" s="89">
        <v>54</v>
      </c>
      <c r="Q61" s="90" t="s">
        <v>266</v>
      </c>
    </row>
    <row r="62" spans="3:17">
      <c r="O62" s="88" t="s">
        <v>267</v>
      </c>
      <c r="P62" s="89">
        <v>55</v>
      </c>
      <c r="Q62" s="90" t="s">
        <v>267</v>
      </c>
    </row>
    <row r="63" spans="3:17">
      <c r="O63" s="91" t="s">
        <v>268</v>
      </c>
      <c r="P63" s="92">
        <v>56</v>
      </c>
      <c r="Q63" s="93" t="s">
        <v>268</v>
      </c>
    </row>
    <row r="64" spans="3:17">
      <c r="O64" s="94" t="s">
        <v>269</v>
      </c>
      <c r="P64" s="95">
        <v>57</v>
      </c>
      <c r="Q64" s="96" t="s">
        <v>269</v>
      </c>
    </row>
    <row r="65" spans="15:17">
      <c r="O65" s="88" t="s">
        <v>270</v>
      </c>
      <c r="P65" s="89">
        <v>58</v>
      </c>
      <c r="Q65" s="90" t="s">
        <v>270</v>
      </c>
    </row>
    <row r="66" spans="15:17">
      <c r="O66" s="88" t="s">
        <v>271</v>
      </c>
      <c r="P66" s="89">
        <v>59</v>
      </c>
      <c r="Q66" s="90" t="s">
        <v>271</v>
      </c>
    </row>
    <row r="67" spans="15:17" ht="14.4" thickBot="1">
      <c r="O67" s="97" t="s">
        <v>272</v>
      </c>
      <c r="P67" s="98">
        <v>60</v>
      </c>
      <c r="Q67" s="99" t="s">
        <v>272</v>
      </c>
    </row>
    <row r="111" spans="15:17">
      <c r="O111" s="62"/>
      <c r="P111" s="62"/>
      <c r="Q111" s="62"/>
    </row>
    <row r="112" spans="15:17">
      <c r="O112" s="62"/>
      <c r="P112" s="62"/>
      <c r="Q112" s="62"/>
    </row>
  </sheetData>
  <phoneticPr fontId="4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0F503-1CF8-4B1B-8713-A629480712D6}">
  <sheetPr codeName="Sheet3">
    <tabColor rgb="FFFF0000"/>
  </sheetPr>
  <dimension ref="A1:AC1013"/>
  <sheetViews>
    <sheetView showGridLines="0" showZeros="0" zoomScale="80" zoomScaleNormal="80" workbookViewId="0"/>
  </sheetViews>
  <sheetFormatPr defaultColWidth="8.796875" defaultRowHeight="13.8"/>
  <cols>
    <col min="1" max="1" width="11.59765625" customWidth="1"/>
    <col min="2" max="2" width="4.59765625" customWidth="1"/>
    <col min="3" max="3" width="9" style="11" customWidth="1"/>
    <col min="4" max="4" width="14.09765625" style="11" customWidth="1"/>
    <col min="5" max="6" width="14.59765625" style="12" customWidth="1"/>
    <col min="7" max="7" width="11.796875" style="11" customWidth="1"/>
    <col min="8" max="8" width="18.59765625" style="11" customWidth="1"/>
    <col min="9" max="9" width="15.09765625" style="11" customWidth="1"/>
    <col min="10" max="10" width="19.59765625" style="11" customWidth="1"/>
    <col min="11" max="11" width="17" style="11" bestFit="1" customWidth="1"/>
    <col min="12" max="13" width="17" style="11" customWidth="1"/>
    <col min="14" max="14" width="17" style="12" customWidth="1"/>
    <col min="15" max="16" width="12.59765625" style="11" customWidth="1"/>
    <col min="17" max="19" width="12.59765625" style="12" customWidth="1"/>
    <col min="20" max="20" width="19.59765625" style="12" customWidth="1"/>
    <col min="21" max="21" width="11.296875" style="11" customWidth="1"/>
    <col min="22" max="22" width="19.796875" style="11" customWidth="1"/>
    <col min="23" max="23" width="16.796875" style="12" customWidth="1"/>
    <col min="24" max="24" width="17" style="11" customWidth="1"/>
    <col min="25" max="25" width="27.59765625" style="11" customWidth="1"/>
    <col min="26" max="26" width="22.796875" customWidth="1"/>
    <col min="27" max="28" width="8.796875" style="11"/>
    <col min="30" max="16384" width="8.796875" style="11"/>
  </cols>
  <sheetData>
    <row r="1" spans="1:29" ht="14.25" customHeight="1" thickBot="1">
      <c r="E1" s="13"/>
      <c r="F1" s="13"/>
      <c r="G1"/>
      <c r="H1"/>
      <c r="I1"/>
      <c r="J1"/>
      <c r="T1" s="13"/>
      <c r="V1"/>
      <c r="W1"/>
    </row>
    <row r="2" spans="1:29" customFormat="1" ht="14.25" customHeight="1" thickTop="1" thickBot="1">
      <c r="E2" s="84" t="s">
        <v>104</v>
      </c>
      <c r="F2" s="119"/>
      <c r="N2" s="13"/>
      <c r="T2" s="13"/>
    </row>
    <row r="3" spans="1:29" ht="14.4" thickTop="1">
      <c r="E3" s="13" t="s">
        <v>105</v>
      </c>
      <c r="F3" s="13"/>
      <c r="G3" s="9"/>
      <c r="H3" s="9"/>
      <c r="I3"/>
      <c r="J3"/>
      <c r="K3"/>
      <c r="L3"/>
      <c r="M3"/>
      <c r="N3" s="13"/>
      <c r="O3"/>
      <c r="P3"/>
      <c r="Q3"/>
      <c r="R3"/>
      <c r="S3"/>
      <c r="T3" s="13"/>
      <c r="U3"/>
      <c r="V3"/>
      <c r="W3"/>
      <c r="X3"/>
    </row>
    <row r="4" spans="1:29">
      <c r="C4" s="9" t="s">
        <v>304</v>
      </c>
      <c r="D4" s="9" t="s">
        <v>303</v>
      </c>
      <c r="G4" s="9"/>
      <c r="H4" s="9"/>
      <c r="I4"/>
      <c r="J4"/>
      <c r="K4"/>
      <c r="L4"/>
      <c r="M4"/>
      <c r="N4" s="13"/>
      <c r="O4"/>
      <c r="P4"/>
      <c r="Q4"/>
      <c r="R4"/>
      <c r="S4"/>
      <c r="T4" s="13"/>
      <c r="U4"/>
      <c r="V4"/>
      <c r="W4"/>
      <c r="X4"/>
    </row>
    <row r="6" spans="1:29" s="12" customFormat="1">
      <c r="A6" s="13"/>
      <c r="B6" s="13"/>
      <c r="C6" s="111"/>
      <c r="D6" s="112" t="s">
        <v>150</v>
      </c>
      <c r="E6" s="112" t="s">
        <v>151</v>
      </c>
      <c r="F6" s="112" t="s">
        <v>175</v>
      </c>
      <c r="G6" s="112" t="s">
        <v>152</v>
      </c>
      <c r="H6" s="112" t="s">
        <v>154</v>
      </c>
      <c r="I6" s="112" t="s">
        <v>158</v>
      </c>
      <c r="J6" s="112"/>
      <c r="K6" s="112" t="s">
        <v>159</v>
      </c>
      <c r="L6" s="112" t="s">
        <v>153</v>
      </c>
      <c r="M6" s="112" t="s">
        <v>155</v>
      </c>
      <c r="N6" s="112"/>
      <c r="O6" s="112"/>
      <c r="P6" s="112"/>
      <c r="Q6" s="112"/>
      <c r="R6" s="112"/>
      <c r="S6" s="112"/>
      <c r="T6" s="112"/>
      <c r="U6" s="112"/>
      <c r="V6" s="112" t="s">
        <v>156</v>
      </c>
      <c r="W6" s="112" t="s">
        <v>157</v>
      </c>
      <c r="X6" s="13"/>
      <c r="Z6" s="13"/>
      <c r="AC6"/>
    </row>
    <row r="7" spans="1:29" ht="14.25" customHeight="1" thickBot="1">
      <c r="V7"/>
    </row>
    <row r="8" spans="1:29" s="26" customFormat="1" ht="42.75" customHeight="1" thickTop="1" thickBot="1">
      <c r="A8"/>
      <c r="B8" s="13"/>
      <c r="C8" s="14" t="s">
        <v>5</v>
      </c>
      <c r="D8" s="15" t="s">
        <v>128</v>
      </c>
      <c r="E8" s="16" t="s">
        <v>21</v>
      </c>
      <c r="F8" s="16" t="s">
        <v>174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22</v>
      </c>
      <c r="L8" s="35" t="s">
        <v>98</v>
      </c>
      <c r="M8" s="16" t="s">
        <v>53</v>
      </c>
      <c r="N8" s="16" t="s">
        <v>54</v>
      </c>
      <c r="O8" s="16" t="s">
        <v>55</v>
      </c>
      <c r="P8" s="16" t="s">
        <v>56</v>
      </c>
      <c r="Q8" s="16" t="s">
        <v>57</v>
      </c>
      <c r="R8" s="16" t="s">
        <v>23</v>
      </c>
      <c r="S8" s="16" t="s">
        <v>24</v>
      </c>
      <c r="T8" s="16" t="s">
        <v>20</v>
      </c>
      <c r="U8" s="16" t="s">
        <v>58</v>
      </c>
      <c r="V8" s="123" t="s">
        <v>52</v>
      </c>
      <c r="W8" s="68" t="s">
        <v>92</v>
      </c>
      <c r="X8" s="122" t="s">
        <v>147</v>
      </c>
      <c r="Y8" s="71" t="s">
        <v>148</v>
      </c>
      <c r="Z8" s="38" t="s">
        <v>149</v>
      </c>
      <c r="AC8"/>
    </row>
    <row r="9" spans="1:29">
      <c r="C9" s="17">
        <v>1</v>
      </c>
      <c r="D9" s="109" t="s">
        <v>26</v>
      </c>
      <c r="E9" s="20" t="s">
        <v>8</v>
      </c>
      <c r="F9" s="20" t="s">
        <v>176</v>
      </c>
      <c r="G9" s="21" t="s">
        <v>106</v>
      </c>
      <c r="H9" s="21" t="s">
        <v>107</v>
      </c>
      <c r="I9" s="19" t="s">
        <v>26</v>
      </c>
      <c r="J9" s="19" t="s">
        <v>31</v>
      </c>
      <c r="K9" s="21" t="s">
        <v>15</v>
      </c>
      <c r="L9" s="33" t="str">
        <f t="shared" ref="L9:L72" si="0">IF(U9=0, "", U9&amp;"x "&amp;K9)</f>
        <v>1x LCD</v>
      </c>
      <c r="M9" s="21" t="s">
        <v>36</v>
      </c>
      <c r="N9" s="21" t="s">
        <v>143</v>
      </c>
      <c r="O9" s="27"/>
      <c r="P9" s="20"/>
      <c r="Q9" s="20"/>
      <c r="R9" s="29">
        <f t="shared" ref="R9:R72" si="1">IF(O9=0, 0, SQRT(Q9^2+P9^2)/O9)</f>
        <v>0</v>
      </c>
      <c r="S9" s="20" t="s">
        <v>36</v>
      </c>
      <c r="T9" s="18">
        <v>43770</v>
      </c>
      <c r="U9" s="20">
        <v>1</v>
      </c>
      <c r="V9" s="120">
        <v>4.1250000000000002E-2</v>
      </c>
      <c r="W9" s="69">
        <f t="shared" ref="W9:W72" si="2">V9*X9</f>
        <v>2.4750000000000001</v>
      </c>
      <c r="X9" s="106">
        <v>60</v>
      </c>
      <c r="Y9" s="72" t="str">
        <f t="shared" ref="Y9:Y72" si="3">D9&amp;"_"&amp;E9&amp;"_"&amp;L9&amp;"_"&amp;H9</f>
        <v>VR_2019_1x LCD_P1 family</v>
      </c>
      <c r="Z9" s="36" t="str">
        <f t="shared" ref="Z9:Z72" si="4">D9&amp;"_"&amp;E9&amp;"_"&amp;L9</f>
        <v>VR_2019_1x LCD</v>
      </c>
    </row>
    <row r="10" spans="1:29">
      <c r="C10" s="17">
        <v>2</v>
      </c>
      <c r="D10" s="109" t="s">
        <v>26</v>
      </c>
      <c r="E10" s="20" t="s">
        <v>8</v>
      </c>
      <c r="F10" s="20" t="s">
        <v>176</v>
      </c>
      <c r="G10" s="21" t="s">
        <v>34</v>
      </c>
      <c r="H10" s="21" t="s">
        <v>35</v>
      </c>
      <c r="I10" s="19" t="s">
        <v>26</v>
      </c>
      <c r="J10" s="19" t="s">
        <v>27</v>
      </c>
      <c r="K10" s="21" t="s">
        <v>15</v>
      </c>
      <c r="L10" s="33" t="str">
        <f t="shared" si="0"/>
        <v>2x LCD</v>
      </c>
      <c r="M10" s="21" t="s">
        <v>36</v>
      </c>
      <c r="N10" s="21" t="s">
        <v>143</v>
      </c>
      <c r="O10" s="27">
        <v>2.89</v>
      </c>
      <c r="P10" s="20">
        <v>2160</v>
      </c>
      <c r="Q10" s="20">
        <v>2160</v>
      </c>
      <c r="R10" s="29">
        <f t="shared" si="1"/>
        <v>1056.990067379199</v>
      </c>
      <c r="S10" s="20">
        <v>90</v>
      </c>
      <c r="T10" s="18">
        <v>43586</v>
      </c>
      <c r="U10" s="20">
        <v>2</v>
      </c>
      <c r="V10" s="120">
        <v>5.5E-2</v>
      </c>
      <c r="W10" s="69">
        <f t="shared" si="2"/>
        <v>2.2000000000000002</v>
      </c>
      <c r="X10" s="106">
        <v>40</v>
      </c>
      <c r="Y10" s="72" t="str">
        <f t="shared" si="3"/>
        <v>VR_2019_2x LCD_Reverb</v>
      </c>
      <c r="Z10" s="36" t="str">
        <f t="shared" si="4"/>
        <v>VR_2019_2x LCD</v>
      </c>
    </row>
    <row r="11" spans="1:29">
      <c r="C11" s="17">
        <v>3</v>
      </c>
      <c r="D11" s="109" t="s">
        <v>26</v>
      </c>
      <c r="E11" s="20" t="s">
        <v>8</v>
      </c>
      <c r="F11" s="20" t="s">
        <v>176</v>
      </c>
      <c r="G11" s="21" t="s">
        <v>34</v>
      </c>
      <c r="H11" s="21" t="s">
        <v>37</v>
      </c>
      <c r="I11" s="19" t="s">
        <v>26</v>
      </c>
      <c r="J11" s="19" t="s">
        <v>27</v>
      </c>
      <c r="K11" s="21" t="s">
        <v>15</v>
      </c>
      <c r="L11" s="33" t="str">
        <f t="shared" si="0"/>
        <v>2x LCD</v>
      </c>
      <c r="M11" s="21" t="s">
        <v>36</v>
      </c>
      <c r="N11" s="21" t="s">
        <v>143</v>
      </c>
      <c r="O11" s="27">
        <v>2.89</v>
      </c>
      <c r="P11" s="20">
        <v>2160</v>
      </c>
      <c r="Q11" s="20">
        <v>2160</v>
      </c>
      <c r="R11" s="29">
        <f t="shared" si="1"/>
        <v>1056.990067379199</v>
      </c>
      <c r="S11" s="20">
        <v>90</v>
      </c>
      <c r="T11" s="18">
        <v>44136</v>
      </c>
      <c r="U11" s="20">
        <v>2</v>
      </c>
      <c r="V11" s="120">
        <v>1.0999999999999999E-2</v>
      </c>
      <c r="W11" s="69">
        <f t="shared" si="2"/>
        <v>0.43999999999999995</v>
      </c>
      <c r="X11" s="106">
        <v>40</v>
      </c>
      <c r="Y11" s="72" t="str">
        <f t="shared" si="3"/>
        <v>VR_2019_2x LCD_Reverb G2</v>
      </c>
      <c r="Z11" s="36" t="str">
        <f t="shared" si="4"/>
        <v>VR_2019_2x LCD</v>
      </c>
    </row>
    <row r="12" spans="1:29">
      <c r="C12" s="17">
        <v>4</v>
      </c>
      <c r="D12" s="109" t="s">
        <v>26</v>
      </c>
      <c r="E12" s="20" t="s">
        <v>8</v>
      </c>
      <c r="F12" s="20" t="s">
        <v>176</v>
      </c>
      <c r="G12" s="21" t="s">
        <v>41</v>
      </c>
      <c r="H12" s="21" t="s">
        <v>178</v>
      </c>
      <c r="I12" s="19" t="s">
        <v>26</v>
      </c>
      <c r="J12" s="19" t="s">
        <v>31</v>
      </c>
      <c r="K12" s="21" t="s">
        <v>15</v>
      </c>
      <c r="L12" s="33" t="str">
        <f t="shared" si="0"/>
        <v>2x LCD</v>
      </c>
      <c r="M12" s="21" t="s">
        <v>2</v>
      </c>
      <c r="N12" s="21" t="s">
        <v>143</v>
      </c>
      <c r="O12" s="27"/>
      <c r="P12" s="20"/>
      <c r="Q12" s="20"/>
      <c r="R12" s="29">
        <f t="shared" si="1"/>
        <v>0</v>
      </c>
      <c r="S12" s="20" t="s">
        <v>36</v>
      </c>
      <c r="T12" s="18">
        <v>43739</v>
      </c>
      <c r="U12" s="20">
        <v>2</v>
      </c>
      <c r="V12" s="120">
        <v>6.875E-3</v>
      </c>
      <c r="W12" s="69">
        <f t="shared" si="2"/>
        <v>0.27500000000000002</v>
      </c>
      <c r="X12" s="106">
        <v>40</v>
      </c>
      <c r="Y12" s="72" t="str">
        <f t="shared" si="3"/>
        <v>VR_2019_2x LCD_Vive LCD headsets</v>
      </c>
      <c r="Z12" s="36" t="str">
        <f t="shared" si="4"/>
        <v>VR_2019_2x LCD</v>
      </c>
    </row>
    <row r="13" spans="1:29">
      <c r="C13" s="17">
        <v>5</v>
      </c>
      <c r="D13" s="109" t="s">
        <v>26</v>
      </c>
      <c r="E13" s="20" t="s">
        <v>8</v>
      </c>
      <c r="F13" s="20" t="s">
        <v>176</v>
      </c>
      <c r="G13" s="21" t="s">
        <v>29</v>
      </c>
      <c r="H13" s="21" t="s">
        <v>30</v>
      </c>
      <c r="I13" s="19" t="s">
        <v>26</v>
      </c>
      <c r="J13" s="19" t="s">
        <v>31</v>
      </c>
      <c r="K13" s="21" t="s">
        <v>28</v>
      </c>
      <c r="L13" s="33" t="str">
        <f t="shared" si="0"/>
        <v>2x AMOLED</v>
      </c>
      <c r="M13" s="21" t="s">
        <v>3</v>
      </c>
      <c r="N13" s="21" t="s">
        <v>143</v>
      </c>
      <c r="O13" s="27">
        <v>3.5</v>
      </c>
      <c r="P13" s="20">
        <v>1440</v>
      </c>
      <c r="Q13" s="20">
        <v>1600</v>
      </c>
      <c r="R13" s="29">
        <f t="shared" si="1"/>
        <v>615.02281358051255</v>
      </c>
      <c r="S13" s="20">
        <v>72</v>
      </c>
      <c r="T13" s="18">
        <v>43586</v>
      </c>
      <c r="U13" s="20">
        <v>2</v>
      </c>
      <c r="V13" s="120">
        <v>0.1925</v>
      </c>
      <c r="W13" s="69">
        <f t="shared" si="2"/>
        <v>4.7539799999999994</v>
      </c>
      <c r="X13" s="106">
        <v>24.695999999999998</v>
      </c>
      <c r="Y13" s="72" t="str">
        <f t="shared" si="3"/>
        <v>VR_2019_2x AMOLED_Quest</v>
      </c>
      <c r="Z13" s="36" t="str">
        <f t="shared" si="4"/>
        <v>VR_2019_2x AMOLED</v>
      </c>
    </row>
    <row r="14" spans="1:29">
      <c r="C14" s="17">
        <v>6</v>
      </c>
      <c r="D14" s="109" t="s">
        <v>26</v>
      </c>
      <c r="E14" s="20" t="s">
        <v>8</v>
      </c>
      <c r="F14" s="20" t="s">
        <v>176</v>
      </c>
      <c r="G14" s="21" t="s">
        <v>29</v>
      </c>
      <c r="H14" s="21" t="s">
        <v>33</v>
      </c>
      <c r="I14" s="19" t="s">
        <v>26</v>
      </c>
      <c r="J14" s="19" t="s">
        <v>27</v>
      </c>
      <c r="K14" s="21" t="s">
        <v>15</v>
      </c>
      <c r="L14" s="33" t="str">
        <f t="shared" si="0"/>
        <v>1x LCD</v>
      </c>
      <c r="M14" s="21" t="s">
        <v>2</v>
      </c>
      <c r="N14" s="21" t="s">
        <v>4</v>
      </c>
      <c r="O14" s="27">
        <v>5.46</v>
      </c>
      <c r="P14" s="20">
        <v>2560</v>
      </c>
      <c r="Q14" s="20">
        <v>1440</v>
      </c>
      <c r="R14" s="29">
        <f t="shared" si="1"/>
        <v>537.95046888456613</v>
      </c>
      <c r="S14" s="20">
        <v>80</v>
      </c>
      <c r="T14" s="18">
        <v>43586</v>
      </c>
      <c r="U14" s="20">
        <v>1</v>
      </c>
      <c r="V14" s="120">
        <v>8.2500000000000004E-2</v>
      </c>
      <c r="W14" s="69">
        <f t="shared" si="2"/>
        <v>4.95</v>
      </c>
      <c r="X14" s="106">
        <v>60</v>
      </c>
      <c r="Y14" s="72" t="str">
        <f t="shared" si="3"/>
        <v>VR_2019_1x LCD_Rift S</v>
      </c>
      <c r="Z14" s="36" t="str">
        <f t="shared" si="4"/>
        <v>VR_2019_1x LCD</v>
      </c>
    </row>
    <row r="15" spans="1:29">
      <c r="C15" s="17">
        <v>7</v>
      </c>
      <c r="D15" s="109" t="s">
        <v>26</v>
      </c>
      <c r="E15" s="20" t="s">
        <v>8</v>
      </c>
      <c r="F15" s="20" t="s">
        <v>176</v>
      </c>
      <c r="G15" s="21" t="s">
        <v>108</v>
      </c>
      <c r="H15" s="21" t="s">
        <v>109</v>
      </c>
      <c r="I15" s="19" t="s">
        <v>26</v>
      </c>
      <c r="J15" s="19" t="s">
        <v>27</v>
      </c>
      <c r="K15" s="21" t="s">
        <v>15</v>
      </c>
      <c r="L15" s="33" t="str">
        <f t="shared" si="0"/>
        <v>2x LCD</v>
      </c>
      <c r="M15" s="21" t="s">
        <v>145</v>
      </c>
      <c r="N15" s="21" t="s">
        <v>146</v>
      </c>
      <c r="O15" s="27"/>
      <c r="P15" s="20"/>
      <c r="Q15" s="20"/>
      <c r="R15" s="29">
        <f t="shared" si="1"/>
        <v>0</v>
      </c>
      <c r="S15" s="20" t="s">
        <v>36</v>
      </c>
      <c r="T15" s="18" t="s">
        <v>143</v>
      </c>
      <c r="U15" s="20">
        <v>2</v>
      </c>
      <c r="V15" s="120">
        <v>8.2500000000000004E-3</v>
      </c>
      <c r="W15" s="69">
        <f t="shared" si="2"/>
        <v>0.33</v>
      </c>
      <c r="X15" s="106">
        <v>40</v>
      </c>
      <c r="Y15" s="72" t="str">
        <f t="shared" si="3"/>
        <v>VR_2019_2x LCD_Pimax VR</v>
      </c>
      <c r="Z15" s="36" t="str">
        <f t="shared" si="4"/>
        <v>VR_2019_2x LCD</v>
      </c>
    </row>
    <row r="16" spans="1:29">
      <c r="C16" s="17">
        <v>8</v>
      </c>
      <c r="D16" s="109" t="s">
        <v>26</v>
      </c>
      <c r="E16" s="20" t="s">
        <v>8</v>
      </c>
      <c r="F16" s="20" t="s">
        <v>176</v>
      </c>
      <c r="G16" s="21" t="s">
        <v>6</v>
      </c>
      <c r="H16" s="21" t="s">
        <v>25</v>
      </c>
      <c r="I16" s="19" t="s">
        <v>26</v>
      </c>
      <c r="J16" s="19" t="s">
        <v>27</v>
      </c>
      <c r="K16" s="21" t="s">
        <v>28</v>
      </c>
      <c r="L16" s="33" t="str">
        <f t="shared" si="0"/>
        <v>1x AMOLED</v>
      </c>
      <c r="M16" s="21" t="s">
        <v>3</v>
      </c>
      <c r="N16" s="21" t="s">
        <v>143</v>
      </c>
      <c r="O16" s="27">
        <v>5.7</v>
      </c>
      <c r="P16" s="20">
        <v>1920</v>
      </c>
      <c r="Q16" s="20">
        <v>1080</v>
      </c>
      <c r="R16" s="29">
        <f t="shared" si="1"/>
        <v>386.47494211970144</v>
      </c>
      <c r="S16" s="20">
        <v>120</v>
      </c>
      <c r="T16" s="18">
        <v>42644</v>
      </c>
      <c r="U16" s="20">
        <v>1</v>
      </c>
      <c r="V16" s="120">
        <v>0.2</v>
      </c>
      <c r="W16" s="69">
        <f t="shared" si="2"/>
        <v>7.0560000000000009</v>
      </c>
      <c r="X16" s="106">
        <v>35.28</v>
      </c>
      <c r="Y16" s="72" t="str">
        <f t="shared" si="3"/>
        <v>VR_2019_1x AMOLED_PlayStation VR</v>
      </c>
      <c r="Z16" s="36" t="str">
        <f t="shared" si="4"/>
        <v>VR_2019_1x AMOLED</v>
      </c>
    </row>
    <row r="17" spans="3:26">
      <c r="C17" s="17">
        <v>9</v>
      </c>
      <c r="D17" s="109" t="s">
        <v>26</v>
      </c>
      <c r="E17" s="20" t="s">
        <v>8</v>
      </c>
      <c r="F17" s="20" t="s">
        <v>176</v>
      </c>
      <c r="G17" s="21" t="s">
        <v>97</v>
      </c>
      <c r="H17" s="21" t="s">
        <v>42</v>
      </c>
      <c r="I17" s="19" t="s">
        <v>26</v>
      </c>
      <c r="J17" s="19" t="s">
        <v>36</v>
      </c>
      <c r="K17" s="21" t="s">
        <v>28</v>
      </c>
      <c r="L17" s="33" t="str">
        <f t="shared" si="0"/>
        <v>2x AMOLED</v>
      </c>
      <c r="M17" s="21" t="s">
        <v>36</v>
      </c>
      <c r="N17" s="21" t="s">
        <v>143</v>
      </c>
      <c r="O17" s="27"/>
      <c r="P17" s="20"/>
      <c r="Q17" s="20"/>
      <c r="R17" s="29">
        <f t="shared" si="1"/>
        <v>0</v>
      </c>
      <c r="S17" s="20" t="s">
        <v>36</v>
      </c>
      <c r="T17" s="18" t="s">
        <v>143</v>
      </c>
      <c r="U17" s="20">
        <v>2</v>
      </c>
      <c r="V17" s="120">
        <v>0.8075</v>
      </c>
      <c r="W17" s="69">
        <f t="shared" si="2"/>
        <v>19.942019999999999</v>
      </c>
      <c r="X17" s="106">
        <v>24.695999999999998</v>
      </c>
      <c r="Y17" s="72" t="str">
        <f t="shared" si="3"/>
        <v>VR_2019_2x AMOLED_OLED VR headset</v>
      </c>
      <c r="Z17" s="36" t="str">
        <f t="shared" si="4"/>
        <v>VR_2019_2x AMOLED</v>
      </c>
    </row>
    <row r="18" spans="3:26">
      <c r="C18" s="17">
        <v>10</v>
      </c>
      <c r="D18" s="109" t="s">
        <v>26</v>
      </c>
      <c r="E18" s="20" t="s">
        <v>8</v>
      </c>
      <c r="F18" s="20" t="s">
        <v>176</v>
      </c>
      <c r="G18" s="21" t="s">
        <v>97</v>
      </c>
      <c r="H18" s="21" t="s">
        <v>161</v>
      </c>
      <c r="I18" s="19" t="s">
        <v>26</v>
      </c>
      <c r="J18" s="19" t="s">
        <v>36</v>
      </c>
      <c r="K18" s="21" t="s">
        <v>15</v>
      </c>
      <c r="L18" s="33" t="str">
        <f t="shared" si="0"/>
        <v>1x LCD</v>
      </c>
      <c r="M18" s="21" t="s">
        <v>36</v>
      </c>
      <c r="N18" s="21" t="s">
        <v>143</v>
      </c>
      <c r="O18" s="27"/>
      <c r="P18" s="20"/>
      <c r="Q18" s="20"/>
      <c r="R18" s="29">
        <f t="shared" si="1"/>
        <v>0</v>
      </c>
      <c r="S18" s="20" t="s">
        <v>36</v>
      </c>
      <c r="T18" s="18" t="s">
        <v>143</v>
      </c>
      <c r="U18" s="20">
        <v>1</v>
      </c>
      <c r="V18" s="120">
        <v>0.44</v>
      </c>
      <c r="W18" s="69">
        <f t="shared" si="2"/>
        <v>26.4</v>
      </c>
      <c r="X18" s="106">
        <v>60</v>
      </c>
      <c r="Y18" s="72" t="str">
        <f t="shared" si="3"/>
        <v>VR_2019_1x LCD_Single LCD VR headset</v>
      </c>
      <c r="Z18" s="36" t="str">
        <f t="shared" si="4"/>
        <v>VR_2019_1x LCD</v>
      </c>
    </row>
    <row r="19" spans="3:26">
      <c r="C19" s="17">
        <v>11</v>
      </c>
      <c r="D19" s="109" t="s">
        <v>26</v>
      </c>
      <c r="E19" s="20" t="s">
        <v>8</v>
      </c>
      <c r="F19" s="20" t="s">
        <v>176</v>
      </c>
      <c r="G19" s="21" t="s">
        <v>38</v>
      </c>
      <c r="H19" s="21" t="s">
        <v>39</v>
      </c>
      <c r="I19" s="19" t="s">
        <v>26</v>
      </c>
      <c r="J19" s="19" t="s">
        <v>27</v>
      </c>
      <c r="K19" s="21" t="s">
        <v>15</v>
      </c>
      <c r="L19" s="33" t="str">
        <f t="shared" si="0"/>
        <v>2x LCD</v>
      </c>
      <c r="M19" s="21" t="s">
        <v>40</v>
      </c>
      <c r="N19" s="21" t="s">
        <v>143</v>
      </c>
      <c r="O19" s="27">
        <v>3.5</v>
      </c>
      <c r="P19" s="20">
        <v>1440</v>
      </c>
      <c r="Q19" s="20">
        <v>1600</v>
      </c>
      <c r="R19" s="29">
        <f t="shared" si="1"/>
        <v>615.02281358051255</v>
      </c>
      <c r="S19" s="20">
        <v>144</v>
      </c>
      <c r="T19" s="18">
        <v>43586</v>
      </c>
      <c r="U19" s="20">
        <v>2</v>
      </c>
      <c r="V19" s="120">
        <v>8.2500000000000004E-2</v>
      </c>
      <c r="W19" s="69">
        <f t="shared" si="2"/>
        <v>3.3000000000000003</v>
      </c>
      <c r="X19" s="106">
        <v>40</v>
      </c>
      <c r="Y19" s="72" t="str">
        <f t="shared" si="3"/>
        <v>VR_2019_2x LCD_Index</v>
      </c>
      <c r="Z19" s="36" t="str">
        <f t="shared" si="4"/>
        <v>VR_2019_2x LCD</v>
      </c>
    </row>
    <row r="20" spans="3:26">
      <c r="C20" s="17">
        <v>12</v>
      </c>
      <c r="D20" s="109" t="s">
        <v>129</v>
      </c>
      <c r="E20" s="20" t="s">
        <v>8</v>
      </c>
      <c r="F20" s="20" t="s">
        <v>176</v>
      </c>
      <c r="G20" s="21" t="s">
        <v>73</v>
      </c>
      <c r="H20" s="21" t="s">
        <v>74</v>
      </c>
      <c r="I20" s="19" t="s">
        <v>63</v>
      </c>
      <c r="J20" s="19" t="s">
        <v>31</v>
      </c>
      <c r="K20" s="21" t="s">
        <v>51</v>
      </c>
      <c r="L20" s="33" t="str">
        <f t="shared" si="0"/>
        <v>2x SiOLED</v>
      </c>
      <c r="M20" s="21" t="s">
        <v>73</v>
      </c>
      <c r="N20" s="21"/>
      <c r="O20" s="27">
        <v>0.43</v>
      </c>
      <c r="P20" s="20">
        <v>1280</v>
      </c>
      <c r="Q20" s="20">
        <v>720</v>
      </c>
      <c r="R20" s="29">
        <f t="shared" si="1"/>
        <v>3415.3599536159668</v>
      </c>
      <c r="S20" s="20" t="s">
        <v>36</v>
      </c>
      <c r="T20" s="18">
        <v>42401</v>
      </c>
      <c r="U20" s="20">
        <v>2</v>
      </c>
      <c r="V20" s="120">
        <v>3.3000000000000002E-2</v>
      </c>
      <c r="W20" s="69">
        <f t="shared" si="2"/>
        <v>2.9039999999999999</v>
      </c>
      <c r="X20" s="106">
        <v>88</v>
      </c>
      <c r="Y20" s="72" t="str">
        <f t="shared" si="3"/>
        <v>AR_2019_2x SiOLED_Moverio</v>
      </c>
      <c r="Z20" s="36" t="str">
        <f t="shared" si="4"/>
        <v>AR_2019_2x SiOLED</v>
      </c>
    </row>
    <row r="21" spans="3:26">
      <c r="C21" s="17">
        <v>13</v>
      </c>
      <c r="D21" s="109" t="s">
        <v>129</v>
      </c>
      <c r="E21" s="20" t="s">
        <v>8</v>
      </c>
      <c r="F21" s="20" t="s">
        <v>176</v>
      </c>
      <c r="G21" s="21" t="s">
        <v>71</v>
      </c>
      <c r="H21" s="21" t="s">
        <v>130</v>
      </c>
      <c r="I21" s="19" t="s">
        <v>63</v>
      </c>
      <c r="J21" s="19" t="s">
        <v>31</v>
      </c>
      <c r="K21" s="21" t="s">
        <v>168</v>
      </c>
      <c r="L21" s="33" t="str">
        <f t="shared" si="0"/>
        <v>1x Micro LCD</v>
      </c>
      <c r="M21" s="21" t="s">
        <v>72</v>
      </c>
      <c r="N21" s="21"/>
      <c r="O21" s="27"/>
      <c r="P21" s="20">
        <v>640</v>
      </c>
      <c r="Q21" s="20">
        <v>360</v>
      </c>
      <c r="R21" s="29">
        <f t="shared" si="1"/>
        <v>0</v>
      </c>
      <c r="S21" s="20" t="s">
        <v>36</v>
      </c>
      <c r="T21" s="18">
        <v>43586</v>
      </c>
      <c r="U21" s="20">
        <v>1</v>
      </c>
      <c r="V21" s="120">
        <v>1.0999999999999999E-2</v>
      </c>
      <c r="W21" s="69">
        <f t="shared" si="2"/>
        <v>0.46199999999999997</v>
      </c>
      <c r="X21" s="106">
        <v>42</v>
      </c>
      <c r="Y21" s="72" t="str">
        <f t="shared" si="3"/>
        <v>AR_2019_1x Micro LCD_Glass</v>
      </c>
      <c r="Z21" s="36" t="str">
        <f t="shared" si="4"/>
        <v>AR_2019_1x Micro LCD</v>
      </c>
    </row>
    <row r="22" spans="3:26">
      <c r="C22" s="17">
        <v>14</v>
      </c>
      <c r="D22" s="109" t="s">
        <v>129</v>
      </c>
      <c r="E22" s="20" t="s">
        <v>8</v>
      </c>
      <c r="F22" s="20" t="s">
        <v>176</v>
      </c>
      <c r="G22" s="21" t="s">
        <v>65</v>
      </c>
      <c r="H22" s="21" t="s">
        <v>66</v>
      </c>
      <c r="I22" s="19" t="s">
        <v>63</v>
      </c>
      <c r="J22" s="19" t="s">
        <v>31</v>
      </c>
      <c r="K22" s="21" t="s">
        <v>67</v>
      </c>
      <c r="L22" s="33" t="str">
        <f t="shared" si="0"/>
        <v>2x LCoS</v>
      </c>
      <c r="M22" s="21" t="s">
        <v>36</v>
      </c>
      <c r="N22" s="21"/>
      <c r="O22" s="27"/>
      <c r="P22" s="20">
        <v>1280</v>
      </c>
      <c r="Q22" s="20">
        <v>960</v>
      </c>
      <c r="R22" s="29">
        <f t="shared" si="1"/>
        <v>0</v>
      </c>
      <c r="S22" s="20">
        <v>120</v>
      </c>
      <c r="T22" s="18">
        <v>43313</v>
      </c>
      <c r="U22" s="20">
        <v>2</v>
      </c>
      <c r="V22" s="120">
        <v>2.4750000000000002E-3</v>
      </c>
      <c r="W22" s="69">
        <f t="shared" si="2"/>
        <v>0.11385000000000001</v>
      </c>
      <c r="X22" s="106">
        <v>46</v>
      </c>
      <c r="Y22" s="72" t="str">
        <f t="shared" si="3"/>
        <v>AR_2019_2x LCoS_ML One</v>
      </c>
      <c r="Z22" s="36" t="str">
        <f t="shared" si="4"/>
        <v>AR_2019_2x LCoS</v>
      </c>
    </row>
    <row r="23" spans="3:26">
      <c r="C23" s="17">
        <v>15</v>
      </c>
      <c r="D23" s="109" t="s">
        <v>129</v>
      </c>
      <c r="E23" s="20" t="s">
        <v>8</v>
      </c>
      <c r="F23" s="20" t="s">
        <v>176</v>
      </c>
      <c r="G23" s="21" t="s">
        <v>61</v>
      </c>
      <c r="H23" s="21" t="s">
        <v>62</v>
      </c>
      <c r="I23" s="19" t="s">
        <v>63</v>
      </c>
      <c r="J23" s="19" t="s">
        <v>31</v>
      </c>
      <c r="K23" s="21" t="s">
        <v>64</v>
      </c>
      <c r="L23" s="33" t="str">
        <f t="shared" si="0"/>
        <v>2x LBS</v>
      </c>
      <c r="M23" s="21" t="s">
        <v>36</v>
      </c>
      <c r="N23" s="21"/>
      <c r="O23" s="27"/>
      <c r="P23" s="20"/>
      <c r="Q23" s="20"/>
      <c r="R23" s="29">
        <f t="shared" si="1"/>
        <v>0</v>
      </c>
      <c r="S23" s="20" t="s">
        <v>36</v>
      </c>
      <c r="T23" s="18">
        <v>43770</v>
      </c>
      <c r="U23" s="20">
        <v>2</v>
      </c>
      <c r="V23" s="120">
        <v>4.3999999999999997E-2</v>
      </c>
      <c r="W23" s="69">
        <f t="shared" si="2"/>
        <v>4.9279999999999999</v>
      </c>
      <c r="X23" s="106">
        <v>112</v>
      </c>
      <c r="Y23" s="72" t="str">
        <f t="shared" si="3"/>
        <v>AR_2019_2x LBS_HoloLens 2</v>
      </c>
      <c r="Z23" s="36" t="str">
        <f t="shared" si="4"/>
        <v>AR_2019_2x LBS</v>
      </c>
    </row>
    <row r="24" spans="3:26">
      <c r="C24" s="17">
        <v>16</v>
      </c>
      <c r="D24" s="109" t="s">
        <v>129</v>
      </c>
      <c r="E24" s="20" t="s">
        <v>8</v>
      </c>
      <c r="F24" s="20" t="s">
        <v>176</v>
      </c>
      <c r="G24" s="21" t="s">
        <v>186</v>
      </c>
      <c r="H24" s="21" t="s">
        <v>187</v>
      </c>
      <c r="I24" s="19" t="s">
        <v>63</v>
      </c>
      <c r="J24" s="19" t="s">
        <v>27</v>
      </c>
      <c r="K24" s="21" t="s">
        <v>51</v>
      </c>
      <c r="L24" s="33" t="str">
        <f t="shared" si="0"/>
        <v>2x SiOLED</v>
      </c>
      <c r="M24" s="21" t="s">
        <v>145</v>
      </c>
      <c r="N24" s="21"/>
      <c r="O24" s="27">
        <v>0.71</v>
      </c>
      <c r="P24" s="20">
        <v>1920</v>
      </c>
      <c r="Q24" s="20">
        <v>1080</v>
      </c>
      <c r="R24" s="29">
        <f t="shared" si="1"/>
        <v>3102.6861550454905</v>
      </c>
      <c r="S24" s="20">
        <v>90</v>
      </c>
      <c r="T24" s="18">
        <v>44044</v>
      </c>
      <c r="U24" s="20">
        <v>2</v>
      </c>
      <c r="V24" s="120">
        <v>2.7499999999999998E-3</v>
      </c>
      <c r="W24" s="69">
        <f t="shared" si="2"/>
        <v>0.24199999999999999</v>
      </c>
      <c r="X24" s="106">
        <v>88</v>
      </c>
      <c r="Y24" s="72" t="str">
        <f t="shared" si="3"/>
        <v>AR_2019_2x SiOLED_Light</v>
      </c>
      <c r="Z24" s="36" t="str">
        <f t="shared" si="4"/>
        <v>AR_2019_2x SiOLED</v>
      </c>
    </row>
    <row r="25" spans="3:26">
      <c r="C25" s="17">
        <v>17</v>
      </c>
      <c r="D25" s="109" t="s">
        <v>129</v>
      </c>
      <c r="E25" s="20" t="s">
        <v>8</v>
      </c>
      <c r="F25" s="20" t="s">
        <v>176</v>
      </c>
      <c r="G25" s="21" t="s">
        <v>68</v>
      </c>
      <c r="H25" s="21" t="s">
        <v>69</v>
      </c>
      <c r="I25" s="19" t="s">
        <v>63</v>
      </c>
      <c r="J25" s="19" t="s">
        <v>31</v>
      </c>
      <c r="K25" s="21" t="s">
        <v>70</v>
      </c>
      <c r="L25" s="33" t="str">
        <f t="shared" si="0"/>
        <v>1x DLP</v>
      </c>
      <c r="M25" s="21" t="s">
        <v>172</v>
      </c>
      <c r="N25" s="21"/>
      <c r="O25" s="27"/>
      <c r="P25" s="20">
        <v>853</v>
      </c>
      <c r="Q25" s="20">
        <v>480</v>
      </c>
      <c r="R25" s="29">
        <f t="shared" si="1"/>
        <v>0</v>
      </c>
      <c r="S25" s="20" t="s">
        <v>36</v>
      </c>
      <c r="T25" s="18">
        <v>43466</v>
      </c>
      <c r="U25" s="20">
        <v>1</v>
      </c>
      <c r="V25" s="120">
        <v>9.6299999999999999E-4</v>
      </c>
      <c r="W25" s="69">
        <f t="shared" si="2"/>
        <v>7.9929E-2</v>
      </c>
      <c r="X25" s="106">
        <v>83</v>
      </c>
      <c r="Y25" s="72" t="str">
        <f t="shared" si="3"/>
        <v>AR_2019_1x DLP_Blade</v>
      </c>
      <c r="Z25" s="36" t="str">
        <f t="shared" si="4"/>
        <v>AR_2019_1x DLP</v>
      </c>
    </row>
    <row r="26" spans="3:26">
      <c r="C26" s="17">
        <v>18</v>
      </c>
      <c r="D26" s="109" t="s">
        <v>129</v>
      </c>
      <c r="E26" s="20" t="s">
        <v>8</v>
      </c>
      <c r="F26" s="20" t="s">
        <v>176</v>
      </c>
      <c r="G26" s="21" t="s">
        <v>97</v>
      </c>
      <c r="H26" s="21" t="s">
        <v>75</v>
      </c>
      <c r="I26" s="19" t="s">
        <v>63</v>
      </c>
      <c r="J26" s="19" t="s">
        <v>36</v>
      </c>
      <c r="K26" s="21" t="s">
        <v>67</v>
      </c>
      <c r="L26" s="33" t="str">
        <f t="shared" si="0"/>
        <v>2x LCoS</v>
      </c>
      <c r="M26" s="21" t="s">
        <v>36</v>
      </c>
      <c r="N26" s="21"/>
      <c r="O26" s="27"/>
      <c r="P26" s="20"/>
      <c r="Q26" s="20"/>
      <c r="R26" s="29">
        <f t="shared" si="1"/>
        <v>0</v>
      </c>
      <c r="S26" s="20" t="s">
        <v>36</v>
      </c>
      <c r="T26" s="18" t="s">
        <v>143</v>
      </c>
      <c r="U26" s="20">
        <v>2</v>
      </c>
      <c r="V26" s="120">
        <v>2.7499999999999998E-3</v>
      </c>
      <c r="W26" s="69">
        <f t="shared" si="2"/>
        <v>0.1265</v>
      </c>
      <c r="X26" s="106">
        <v>46</v>
      </c>
      <c r="Y26" s="72" t="str">
        <f t="shared" si="3"/>
        <v>AR_2019_2x LCoS_LCoS glasses</v>
      </c>
      <c r="Z26" s="36" t="str">
        <f t="shared" si="4"/>
        <v>AR_2019_2x LCoS</v>
      </c>
    </row>
    <row r="27" spans="3:26">
      <c r="C27" s="17">
        <v>19</v>
      </c>
      <c r="D27" s="109" t="s">
        <v>129</v>
      </c>
      <c r="E27" s="20" t="s">
        <v>8</v>
      </c>
      <c r="F27" s="20" t="s">
        <v>176</v>
      </c>
      <c r="G27" s="21" t="s">
        <v>97</v>
      </c>
      <c r="H27" s="21" t="s">
        <v>79</v>
      </c>
      <c r="I27" s="19" t="s">
        <v>63</v>
      </c>
      <c r="J27" s="19" t="s">
        <v>36</v>
      </c>
      <c r="K27" s="21" t="s">
        <v>51</v>
      </c>
      <c r="L27" s="33" t="str">
        <f t="shared" si="0"/>
        <v>2x SiOLED</v>
      </c>
      <c r="M27" s="21" t="s">
        <v>36</v>
      </c>
      <c r="N27" s="21"/>
      <c r="O27" s="27"/>
      <c r="P27" s="20"/>
      <c r="Q27" s="20"/>
      <c r="R27" s="29">
        <f t="shared" si="1"/>
        <v>0</v>
      </c>
      <c r="S27" s="20" t="s">
        <v>36</v>
      </c>
      <c r="T27" s="18" t="s">
        <v>143</v>
      </c>
      <c r="U27" s="20">
        <v>2</v>
      </c>
      <c r="V27" s="120">
        <v>1.1000000000000001E-3</v>
      </c>
      <c r="W27" s="69">
        <f t="shared" si="2"/>
        <v>9.6800000000000011E-2</v>
      </c>
      <c r="X27" s="106">
        <v>88</v>
      </c>
      <c r="Y27" s="72" t="str">
        <f t="shared" si="3"/>
        <v>AR_2019_2x SiOLED_SiOLED glasses</v>
      </c>
      <c r="Z27" s="36" t="str">
        <f t="shared" si="4"/>
        <v>AR_2019_2x SiOLED</v>
      </c>
    </row>
    <row r="28" spans="3:26">
      <c r="C28" s="17">
        <v>20</v>
      </c>
      <c r="D28" s="109" t="s">
        <v>26</v>
      </c>
      <c r="E28" s="20" t="s">
        <v>8</v>
      </c>
      <c r="F28" s="20" t="s">
        <v>177</v>
      </c>
      <c r="G28" s="21" t="s">
        <v>106</v>
      </c>
      <c r="H28" s="21" t="s">
        <v>107</v>
      </c>
      <c r="I28" s="19" t="s">
        <v>26</v>
      </c>
      <c r="J28" s="19" t="s">
        <v>31</v>
      </c>
      <c r="K28" s="21" t="s">
        <v>15</v>
      </c>
      <c r="L28" s="33" t="str">
        <f t="shared" si="0"/>
        <v>1x LCD</v>
      </c>
      <c r="M28" s="21" t="s">
        <v>36</v>
      </c>
      <c r="N28" s="21" t="s">
        <v>143</v>
      </c>
      <c r="O28" s="27"/>
      <c r="P28" s="20"/>
      <c r="Q28" s="20"/>
      <c r="R28" s="29">
        <f t="shared" si="1"/>
        <v>0</v>
      </c>
      <c r="S28" s="20" t="s">
        <v>36</v>
      </c>
      <c r="T28" s="18">
        <v>43770</v>
      </c>
      <c r="U28" s="20">
        <v>1</v>
      </c>
      <c r="V28" s="120">
        <v>4.1250000000000002E-2</v>
      </c>
      <c r="W28" s="69">
        <f t="shared" si="2"/>
        <v>2.4750000000000001</v>
      </c>
      <c r="X28" s="106">
        <v>60</v>
      </c>
      <c r="Y28" s="72" t="str">
        <f t="shared" si="3"/>
        <v>VR_2019_1x LCD_P1 family</v>
      </c>
      <c r="Z28" s="36" t="str">
        <f t="shared" si="4"/>
        <v>VR_2019_1x LCD</v>
      </c>
    </row>
    <row r="29" spans="3:26">
      <c r="C29" s="17">
        <v>21</v>
      </c>
      <c r="D29" s="109" t="s">
        <v>26</v>
      </c>
      <c r="E29" s="20" t="s">
        <v>8</v>
      </c>
      <c r="F29" s="20" t="s">
        <v>177</v>
      </c>
      <c r="G29" s="21" t="s">
        <v>34</v>
      </c>
      <c r="H29" s="21" t="s">
        <v>35</v>
      </c>
      <c r="I29" s="19" t="s">
        <v>26</v>
      </c>
      <c r="J29" s="19" t="s">
        <v>27</v>
      </c>
      <c r="K29" s="21" t="s">
        <v>15</v>
      </c>
      <c r="L29" s="33" t="str">
        <f t="shared" si="0"/>
        <v>2x LCD</v>
      </c>
      <c r="M29" s="21" t="s">
        <v>36</v>
      </c>
      <c r="N29" s="21" t="s">
        <v>143</v>
      </c>
      <c r="O29" s="27">
        <v>2.89</v>
      </c>
      <c r="P29" s="20">
        <v>2160</v>
      </c>
      <c r="Q29" s="20">
        <v>2160</v>
      </c>
      <c r="R29" s="29">
        <f t="shared" si="1"/>
        <v>1056.990067379199</v>
      </c>
      <c r="S29" s="20">
        <v>90</v>
      </c>
      <c r="T29" s="18">
        <v>43586</v>
      </c>
      <c r="U29" s="20">
        <v>2</v>
      </c>
      <c r="V29" s="120">
        <v>5.5E-2</v>
      </c>
      <c r="W29" s="69">
        <f t="shared" si="2"/>
        <v>2.2000000000000002</v>
      </c>
      <c r="X29" s="106">
        <v>40</v>
      </c>
      <c r="Y29" s="72" t="str">
        <f t="shared" si="3"/>
        <v>VR_2019_2x LCD_Reverb</v>
      </c>
      <c r="Z29" s="36" t="str">
        <f t="shared" si="4"/>
        <v>VR_2019_2x LCD</v>
      </c>
    </row>
    <row r="30" spans="3:26">
      <c r="C30" s="17">
        <v>22</v>
      </c>
      <c r="D30" s="109" t="s">
        <v>26</v>
      </c>
      <c r="E30" s="20" t="s">
        <v>8</v>
      </c>
      <c r="F30" s="20" t="s">
        <v>177</v>
      </c>
      <c r="G30" s="21" t="s">
        <v>34</v>
      </c>
      <c r="H30" s="21" t="s">
        <v>37</v>
      </c>
      <c r="I30" s="19" t="s">
        <v>26</v>
      </c>
      <c r="J30" s="19" t="s">
        <v>27</v>
      </c>
      <c r="K30" s="21" t="s">
        <v>15</v>
      </c>
      <c r="L30" s="33" t="str">
        <f t="shared" si="0"/>
        <v>2x LCD</v>
      </c>
      <c r="M30" s="21" t="s">
        <v>36</v>
      </c>
      <c r="N30" s="21" t="s">
        <v>143</v>
      </c>
      <c r="O30" s="27">
        <v>2.89</v>
      </c>
      <c r="P30" s="20">
        <v>2160</v>
      </c>
      <c r="Q30" s="20">
        <v>2160</v>
      </c>
      <c r="R30" s="29">
        <f t="shared" si="1"/>
        <v>1056.990067379199</v>
      </c>
      <c r="S30" s="20">
        <v>90</v>
      </c>
      <c r="T30" s="18">
        <v>44136</v>
      </c>
      <c r="U30" s="20">
        <v>2</v>
      </c>
      <c r="V30" s="120">
        <v>1.0999999999999999E-2</v>
      </c>
      <c r="W30" s="69">
        <f t="shared" si="2"/>
        <v>0.43999999999999995</v>
      </c>
      <c r="X30" s="106">
        <v>40</v>
      </c>
      <c r="Y30" s="72" t="str">
        <f t="shared" si="3"/>
        <v>VR_2019_2x LCD_Reverb G2</v>
      </c>
      <c r="Z30" s="36" t="str">
        <f t="shared" si="4"/>
        <v>VR_2019_2x LCD</v>
      </c>
    </row>
    <row r="31" spans="3:26">
      <c r="C31" s="17">
        <v>23</v>
      </c>
      <c r="D31" s="109" t="s">
        <v>26</v>
      </c>
      <c r="E31" s="20" t="s">
        <v>8</v>
      </c>
      <c r="F31" s="20" t="s">
        <v>177</v>
      </c>
      <c r="G31" s="21" t="s">
        <v>41</v>
      </c>
      <c r="H31" s="21" t="s">
        <v>178</v>
      </c>
      <c r="I31" s="19" t="s">
        <v>26</v>
      </c>
      <c r="J31" s="19" t="s">
        <v>31</v>
      </c>
      <c r="K31" s="21" t="s">
        <v>15</v>
      </c>
      <c r="L31" s="33" t="str">
        <f t="shared" si="0"/>
        <v>2x LCD</v>
      </c>
      <c r="M31" s="21" t="s">
        <v>2</v>
      </c>
      <c r="N31" s="21" t="s">
        <v>143</v>
      </c>
      <c r="O31" s="27"/>
      <c r="P31" s="20"/>
      <c r="Q31" s="20"/>
      <c r="R31" s="29">
        <f t="shared" si="1"/>
        <v>0</v>
      </c>
      <c r="S31" s="20" t="s">
        <v>36</v>
      </c>
      <c r="T31" s="18">
        <v>43739</v>
      </c>
      <c r="U31" s="20">
        <v>2</v>
      </c>
      <c r="V31" s="120">
        <v>6.875E-3</v>
      </c>
      <c r="W31" s="69">
        <f t="shared" si="2"/>
        <v>0.27500000000000002</v>
      </c>
      <c r="X31" s="106">
        <v>40</v>
      </c>
      <c r="Y31" s="72" t="str">
        <f t="shared" si="3"/>
        <v>VR_2019_2x LCD_Vive LCD headsets</v>
      </c>
      <c r="Z31" s="36" t="str">
        <f t="shared" si="4"/>
        <v>VR_2019_2x LCD</v>
      </c>
    </row>
    <row r="32" spans="3:26">
      <c r="C32" s="17">
        <v>24</v>
      </c>
      <c r="D32" s="109" t="s">
        <v>26</v>
      </c>
      <c r="E32" s="20" t="s">
        <v>8</v>
      </c>
      <c r="F32" s="20" t="s">
        <v>177</v>
      </c>
      <c r="G32" s="21" t="s">
        <v>29</v>
      </c>
      <c r="H32" s="21" t="s">
        <v>30</v>
      </c>
      <c r="I32" s="19" t="s">
        <v>26</v>
      </c>
      <c r="J32" s="19" t="s">
        <v>31</v>
      </c>
      <c r="K32" s="21" t="s">
        <v>28</v>
      </c>
      <c r="L32" s="33" t="str">
        <f t="shared" si="0"/>
        <v>2x AMOLED</v>
      </c>
      <c r="M32" s="21" t="s">
        <v>3</v>
      </c>
      <c r="N32" s="21" t="s">
        <v>143</v>
      </c>
      <c r="O32" s="27">
        <v>3.5</v>
      </c>
      <c r="P32" s="20">
        <v>1440</v>
      </c>
      <c r="Q32" s="20">
        <v>1600</v>
      </c>
      <c r="R32" s="29">
        <f t="shared" si="1"/>
        <v>615.02281358051255</v>
      </c>
      <c r="S32" s="20">
        <v>72</v>
      </c>
      <c r="T32" s="18">
        <v>43586</v>
      </c>
      <c r="U32" s="20">
        <v>2</v>
      </c>
      <c r="V32" s="120">
        <v>0.1925</v>
      </c>
      <c r="W32" s="69">
        <f t="shared" si="2"/>
        <v>4.6589004000000003</v>
      </c>
      <c r="X32" s="106">
        <v>24.202079999999999</v>
      </c>
      <c r="Y32" s="72" t="str">
        <f t="shared" si="3"/>
        <v>VR_2019_2x AMOLED_Quest</v>
      </c>
      <c r="Z32" s="36" t="str">
        <f t="shared" si="4"/>
        <v>VR_2019_2x AMOLED</v>
      </c>
    </row>
    <row r="33" spans="3:26">
      <c r="C33" s="17">
        <v>25</v>
      </c>
      <c r="D33" s="109" t="s">
        <v>26</v>
      </c>
      <c r="E33" s="20" t="s">
        <v>8</v>
      </c>
      <c r="F33" s="20" t="s">
        <v>177</v>
      </c>
      <c r="G33" s="21" t="s">
        <v>29</v>
      </c>
      <c r="H33" s="21" t="s">
        <v>33</v>
      </c>
      <c r="I33" s="19" t="s">
        <v>26</v>
      </c>
      <c r="J33" s="19" t="s">
        <v>27</v>
      </c>
      <c r="K33" s="21" t="s">
        <v>15</v>
      </c>
      <c r="L33" s="33" t="str">
        <f t="shared" si="0"/>
        <v>1x LCD</v>
      </c>
      <c r="M33" s="21" t="s">
        <v>2</v>
      </c>
      <c r="N33" s="21" t="s">
        <v>4</v>
      </c>
      <c r="O33" s="27">
        <v>5.46</v>
      </c>
      <c r="P33" s="20">
        <v>2560</v>
      </c>
      <c r="Q33" s="20">
        <v>1440</v>
      </c>
      <c r="R33" s="29">
        <f t="shared" si="1"/>
        <v>537.95046888456613</v>
      </c>
      <c r="S33" s="20">
        <v>80</v>
      </c>
      <c r="T33" s="18">
        <v>43586</v>
      </c>
      <c r="U33" s="20">
        <v>1</v>
      </c>
      <c r="V33" s="120">
        <v>8.2500000000000004E-2</v>
      </c>
      <c r="W33" s="69">
        <f t="shared" si="2"/>
        <v>4.95</v>
      </c>
      <c r="X33" s="106">
        <v>60</v>
      </c>
      <c r="Y33" s="72" t="str">
        <f t="shared" si="3"/>
        <v>VR_2019_1x LCD_Rift S</v>
      </c>
      <c r="Z33" s="36" t="str">
        <f t="shared" si="4"/>
        <v>VR_2019_1x LCD</v>
      </c>
    </row>
    <row r="34" spans="3:26">
      <c r="C34" s="17">
        <v>26</v>
      </c>
      <c r="D34" s="109" t="s">
        <v>26</v>
      </c>
      <c r="E34" s="20" t="s">
        <v>8</v>
      </c>
      <c r="F34" s="20" t="s">
        <v>177</v>
      </c>
      <c r="G34" s="21" t="s">
        <v>108</v>
      </c>
      <c r="H34" s="21" t="s">
        <v>109</v>
      </c>
      <c r="I34" s="19" t="s">
        <v>26</v>
      </c>
      <c r="J34" s="19" t="s">
        <v>27</v>
      </c>
      <c r="K34" s="21" t="s">
        <v>15</v>
      </c>
      <c r="L34" s="33" t="str">
        <f t="shared" si="0"/>
        <v>2x LCD</v>
      </c>
      <c r="M34" s="21" t="s">
        <v>145</v>
      </c>
      <c r="N34" s="21" t="s">
        <v>146</v>
      </c>
      <c r="O34" s="27"/>
      <c r="P34" s="20"/>
      <c r="Q34" s="20"/>
      <c r="R34" s="29">
        <f t="shared" si="1"/>
        <v>0</v>
      </c>
      <c r="S34" s="20" t="s">
        <v>36</v>
      </c>
      <c r="T34" s="18" t="s">
        <v>143</v>
      </c>
      <c r="U34" s="20">
        <v>2</v>
      </c>
      <c r="V34" s="120">
        <v>8.2500000000000004E-3</v>
      </c>
      <c r="W34" s="69">
        <f t="shared" si="2"/>
        <v>0.33</v>
      </c>
      <c r="X34" s="106">
        <v>40</v>
      </c>
      <c r="Y34" s="72" t="str">
        <f t="shared" si="3"/>
        <v>VR_2019_2x LCD_Pimax VR</v>
      </c>
      <c r="Z34" s="36" t="str">
        <f t="shared" si="4"/>
        <v>VR_2019_2x LCD</v>
      </c>
    </row>
    <row r="35" spans="3:26">
      <c r="C35" s="17">
        <v>27</v>
      </c>
      <c r="D35" s="109" t="s">
        <v>26</v>
      </c>
      <c r="E35" s="20" t="s">
        <v>8</v>
      </c>
      <c r="F35" s="20" t="s">
        <v>177</v>
      </c>
      <c r="G35" s="21" t="s">
        <v>6</v>
      </c>
      <c r="H35" s="21" t="s">
        <v>25</v>
      </c>
      <c r="I35" s="19" t="s">
        <v>26</v>
      </c>
      <c r="J35" s="19" t="s">
        <v>27</v>
      </c>
      <c r="K35" s="21" t="s">
        <v>28</v>
      </c>
      <c r="L35" s="33" t="str">
        <f t="shared" si="0"/>
        <v>1x AMOLED</v>
      </c>
      <c r="M35" s="21" t="s">
        <v>3</v>
      </c>
      <c r="N35" s="21" t="s">
        <v>143</v>
      </c>
      <c r="O35" s="27">
        <v>5.7</v>
      </c>
      <c r="P35" s="20">
        <v>1920</v>
      </c>
      <c r="Q35" s="20">
        <v>1080</v>
      </c>
      <c r="R35" s="29">
        <f t="shared" si="1"/>
        <v>386.47494211970144</v>
      </c>
      <c r="S35" s="20">
        <v>120</v>
      </c>
      <c r="T35" s="18">
        <v>42644</v>
      </c>
      <c r="U35" s="20">
        <v>1</v>
      </c>
      <c r="V35" s="120">
        <v>0.4</v>
      </c>
      <c r="W35" s="69">
        <f t="shared" si="2"/>
        <v>13.82976</v>
      </c>
      <c r="X35" s="106">
        <v>34.574399999999997</v>
      </c>
      <c r="Y35" s="72" t="str">
        <f t="shared" si="3"/>
        <v>VR_2019_1x AMOLED_PlayStation VR</v>
      </c>
      <c r="Z35" s="36" t="str">
        <f t="shared" si="4"/>
        <v>VR_2019_1x AMOLED</v>
      </c>
    </row>
    <row r="36" spans="3:26">
      <c r="C36" s="17">
        <v>28</v>
      </c>
      <c r="D36" s="109" t="s">
        <v>26</v>
      </c>
      <c r="E36" s="20" t="s">
        <v>8</v>
      </c>
      <c r="F36" s="20" t="s">
        <v>177</v>
      </c>
      <c r="G36" s="21" t="s">
        <v>97</v>
      </c>
      <c r="H36" s="21" t="s">
        <v>42</v>
      </c>
      <c r="I36" s="19" t="s">
        <v>26</v>
      </c>
      <c r="J36" s="19" t="s">
        <v>36</v>
      </c>
      <c r="K36" s="21" t="s">
        <v>28</v>
      </c>
      <c r="L36" s="33" t="str">
        <f t="shared" si="0"/>
        <v>2x AMOLED</v>
      </c>
      <c r="M36" s="21" t="s">
        <v>36</v>
      </c>
      <c r="N36" s="21" t="s">
        <v>143</v>
      </c>
      <c r="O36" s="27"/>
      <c r="P36" s="20"/>
      <c r="Q36" s="20"/>
      <c r="R36" s="29">
        <f t="shared" si="1"/>
        <v>0</v>
      </c>
      <c r="S36" s="20" t="s">
        <v>36</v>
      </c>
      <c r="T36" s="18" t="s">
        <v>143</v>
      </c>
      <c r="U36" s="20">
        <v>2</v>
      </c>
      <c r="V36" s="120">
        <v>0.8075</v>
      </c>
      <c r="W36" s="69">
        <f t="shared" si="2"/>
        <v>19.543179599999998</v>
      </c>
      <c r="X36" s="106">
        <v>24.202079999999999</v>
      </c>
      <c r="Y36" s="72" t="str">
        <f t="shared" si="3"/>
        <v>VR_2019_2x AMOLED_OLED VR headset</v>
      </c>
      <c r="Z36" s="36" t="str">
        <f t="shared" si="4"/>
        <v>VR_2019_2x AMOLED</v>
      </c>
    </row>
    <row r="37" spans="3:26">
      <c r="C37" s="17">
        <v>29</v>
      </c>
      <c r="D37" s="109" t="s">
        <v>26</v>
      </c>
      <c r="E37" s="20" t="s">
        <v>8</v>
      </c>
      <c r="F37" s="20" t="s">
        <v>177</v>
      </c>
      <c r="G37" s="21" t="s">
        <v>97</v>
      </c>
      <c r="H37" s="21" t="s">
        <v>161</v>
      </c>
      <c r="I37" s="19" t="s">
        <v>26</v>
      </c>
      <c r="J37" s="19" t="s">
        <v>36</v>
      </c>
      <c r="K37" s="21" t="s">
        <v>15</v>
      </c>
      <c r="L37" s="33" t="str">
        <f t="shared" si="0"/>
        <v>1x LCD</v>
      </c>
      <c r="M37" s="21" t="s">
        <v>36</v>
      </c>
      <c r="N37" s="21" t="s">
        <v>143</v>
      </c>
      <c r="O37" s="27"/>
      <c r="P37" s="20"/>
      <c r="Q37" s="20"/>
      <c r="R37" s="29">
        <f t="shared" si="1"/>
        <v>0</v>
      </c>
      <c r="S37" s="20" t="s">
        <v>36</v>
      </c>
      <c r="T37" s="18" t="s">
        <v>143</v>
      </c>
      <c r="U37" s="20">
        <v>1</v>
      </c>
      <c r="V37" s="120">
        <v>0.44</v>
      </c>
      <c r="W37" s="69">
        <f t="shared" si="2"/>
        <v>26.4</v>
      </c>
      <c r="X37" s="106">
        <v>60</v>
      </c>
      <c r="Y37" s="72" t="str">
        <f t="shared" si="3"/>
        <v>VR_2019_1x LCD_Single LCD VR headset</v>
      </c>
      <c r="Z37" s="36" t="str">
        <f t="shared" si="4"/>
        <v>VR_2019_1x LCD</v>
      </c>
    </row>
    <row r="38" spans="3:26">
      <c r="C38" s="17">
        <v>30</v>
      </c>
      <c r="D38" s="109" t="s">
        <v>26</v>
      </c>
      <c r="E38" s="20" t="s">
        <v>8</v>
      </c>
      <c r="F38" s="20" t="s">
        <v>177</v>
      </c>
      <c r="G38" s="21" t="s">
        <v>38</v>
      </c>
      <c r="H38" s="21" t="s">
        <v>39</v>
      </c>
      <c r="I38" s="19" t="s">
        <v>26</v>
      </c>
      <c r="J38" s="19" t="s">
        <v>27</v>
      </c>
      <c r="K38" s="21" t="s">
        <v>15</v>
      </c>
      <c r="L38" s="33" t="str">
        <f t="shared" si="0"/>
        <v>2x LCD</v>
      </c>
      <c r="M38" s="21" t="s">
        <v>40</v>
      </c>
      <c r="N38" s="21" t="s">
        <v>143</v>
      </c>
      <c r="O38" s="27">
        <v>3.5</v>
      </c>
      <c r="P38" s="20">
        <v>1440</v>
      </c>
      <c r="Q38" s="20">
        <v>1600</v>
      </c>
      <c r="R38" s="29">
        <f t="shared" si="1"/>
        <v>615.02281358051255</v>
      </c>
      <c r="S38" s="20">
        <v>144</v>
      </c>
      <c r="T38" s="18">
        <v>43586</v>
      </c>
      <c r="U38" s="20">
        <v>2</v>
      </c>
      <c r="V38" s="120">
        <v>8.2500000000000004E-2</v>
      </c>
      <c r="W38" s="69">
        <f t="shared" si="2"/>
        <v>3.3000000000000003</v>
      </c>
      <c r="X38" s="106">
        <v>40</v>
      </c>
      <c r="Y38" s="72" t="str">
        <f t="shared" si="3"/>
        <v>VR_2019_2x LCD_Index</v>
      </c>
      <c r="Z38" s="36" t="str">
        <f t="shared" si="4"/>
        <v>VR_2019_2x LCD</v>
      </c>
    </row>
    <row r="39" spans="3:26">
      <c r="C39" s="17">
        <v>31</v>
      </c>
      <c r="D39" s="109" t="s">
        <v>129</v>
      </c>
      <c r="E39" s="20" t="s">
        <v>8</v>
      </c>
      <c r="F39" s="20" t="s">
        <v>177</v>
      </c>
      <c r="G39" s="21" t="s">
        <v>73</v>
      </c>
      <c r="H39" s="21" t="s">
        <v>74</v>
      </c>
      <c r="I39" s="19" t="s">
        <v>63</v>
      </c>
      <c r="J39" s="19" t="s">
        <v>31</v>
      </c>
      <c r="K39" s="21" t="s">
        <v>51</v>
      </c>
      <c r="L39" s="33" t="str">
        <f t="shared" si="0"/>
        <v>2x SiOLED</v>
      </c>
      <c r="M39" s="21" t="s">
        <v>73</v>
      </c>
      <c r="N39" s="21"/>
      <c r="O39" s="27">
        <v>0.43</v>
      </c>
      <c r="P39" s="20">
        <v>1280</v>
      </c>
      <c r="Q39" s="20">
        <v>720</v>
      </c>
      <c r="R39" s="29">
        <f t="shared" si="1"/>
        <v>3415.3599536159668</v>
      </c>
      <c r="S39" s="20" t="s">
        <v>36</v>
      </c>
      <c r="T39" s="18">
        <v>42401</v>
      </c>
      <c r="U39" s="20">
        <v>2</v>
      </c>
      <c r="V39" s="120">
        <v>3.3000000000000002E-2</v>
      </c>
      <c r="W39" s="69">
        <f t="shared" si="2"/>
        <v>2.9039999999999999</v>
      </c>
      <c r="X39" s="106">
        <v>88</v>
      </c>
      <c r="Y39" s="72" t="str">
        <f t="shared" si="3"/>
        <v>AR_2019_2x SiOLED_Moverio</v>
      </c>
      <c r="Z39" s="36" t="str">
        <f t="shared" si="4"/>
        <v>AR_2019_2x SiOLED</v>
      </c>
    </row>
    <row r="40" spans="3:26">
      <c r="C40" s="17">
        <v>32</v>
      </c>
      <c r="D40" s="109" t="s">
        <v>129</v>
      </c>
      <c r="E40" s="20" t="s">
        <v>8</v>
      </c>
      <c r="F40" s="20" t="s">
        <v>177</v>
      </c>
      <c r="G40" s="21" t="s">
        <v>71</v>
      </c>
      <c r="H40" s="21" t="s">
        <v>130</v>
      </c>
      <c r="I40" s="19" t="s">
        <v>63</v>
      </c>
      <c r="J40" s="19" t="s">
        <v>31</v>
      </c>
      <c r="K40" s="21" t="s">
        <v>168</v>
      </c>
      <c r="L40" s="33" t="str">
        <f t="shared" si="0"/>
        <v>1x Micro LCD</v>
      </c>
      <c r="M40" s="21" t="s">
        <v>72</v>
      </c>
      <c r="N40" s="21"/>
      <c r="O40" s="27"/>
      <c r="P40" s="20">
        <v>640</v>
      </c>
      <c r="Q40" s="20">
        <v>360</v>
      </c>
      <c r="R40" s="29">
        <f t="shared" si="1"/>
        <v>0</v>
      </c>
      <c r="S40" s="20" t="s">
        <v>36</v>
      </c>
      <c r="T40" s="18">
        <v>43586</v>
      </c>
      <c r="U40" s="20">
        <v>1</v>
      </c>
      <c r="V40" s="120">
        <v>1.0999999999999999E-2</v>
      </c>
      <c r="W40" s="69">
        <f t="shared" si="2"/>
        <v>0.46199999999999997</v>
      </c>
      <c r="X40" s="106">
        <v>42</v>
      </c>
      <c r="Y40" s="72" t="str">
        <f t="shared" si="3"/>
        <v>AR_2019_1x Micro LCD_Glass</v>
      </c>
      <c r="Z40" s="36" t="str">
        <f t="shared" si="4"/>
        <v>AR_2019_1x Micro LCD</v>
      </c>
    </row>
    <row r="41" spans="3:26">
      <c r="C41" s="17">
        <v>33</v>
      </c>
      <c r="D41" s="109" t="s">
        <v>129</v>
      </c>
      <c r="E41" s="20" t="s">
        <v>8</v>
      </c>
      <c r="F41" s="20" t="s">
        <v>177</v>
      </c>
      <c r="G41" s="21" t="s">
        <v>65</v>
      </c>
      <c r="H41" s="21" t="s">
        <v>66</v>
      </c>
      <c r="I41" s="19" t="s">
        <v>63</v>
      </c>
      <c r="J41" s="19" t="s">
        <v>31</v>
      </c>
      <c r="K41" s="21" t="s">
        <v>67</v>
      </c>
      <c r="L41" s="33" t="str">
        <f t="shared" si="0"/>
        <v>2x LCoS</v>
      </c>
      <c r="M41" s="21" t="s">
        <v>36</v>
      </c>
      <c r="N41" s="21"/>
      <c r="O41" s="27"/>
      <c r="P41" s="20">
        <v>1280</v>
      </c>
      <c r="Q41" s="20">
        <v>960</v>
      </c>
      <c r="R41" s="29">
        <f t="shared" si="1"/>
        <v>0</v>
      </c>
      <c r="S41" s="20">
        <v>120</v>
      </c>
      <c r="T41" s="18">
        <v>43313</v>
      </c>
      <c r="U41" s="20">
        <v>2</v>
      </c>
      <c r="V41" s="120">
        <v>2.4750000000000002E-3</v>
      </c>
      <c r="W41" s="69">
        <f t="shared" si="2"/>
        <v>0.11385000000000001</v>
      </c>
      <c r="X41" s="106">
        <v>46</v>
      </c>
      <c r="Y41" s="72" t="str">
        <f t="shared" si="3"/>
        <v>AR_2019_2x LCoS_ML One</v>
      </c>
      <c r="Z41" s="36" t="str">
        <f t="shared" si="4"/>
        <v>AR_2019_2x LCoS</v>
      </c>
    </row>
    <row r="42" spans="3:26">
      <c r="C42" s="17">
        <v>34</v>
      </c>
      <c r="D42" s="109" t="s">
        <v>129</v>
      </c>
      <c r="E42" s="20" t="s">
        <v>8</v>
      </c>
      <c r="F42" s="20" t="s">
        <v>177</v>
      </c>
      <c r="G42" s="21" t="s">
        <v>61</v>
      </c>
      <c r="H42" s="21" t="s">
        <v>62</v>
      </c>
      <c r="I42" s="19" t="s">
        <v>63</v>
      </c>
      <c r="J42" s="19" t="s">
        <v>31</v>
      </c>
      <c r="K42" s="21" t="s">
        <v>64</v>
      </c>
      <c r="L42" s="33" t="str">
        <f t="shared" si="0"/>
        <v>2x LBS</v>
      </c>
      <c r="M42" s="21" t="s">
        <v>36</v>
      </c>
      <c r="N42" s="21"/>
      <c r="O42" s="27"/>
      <c r="P42" s="20"/>
      <c r="Q42" s="20"/>
      <c r="R42" s="29">
        <f t="shared" si="1"/>
        <v>0</v>
      </c>
      <c r="S42" s="20" t="s">
        <v>36</v>
      </c>
      <c r="T42" s="18">
        <v>43770</v>
      </c>
      <c r="U42" s="20">
        <v>2</v>
      </c>
      <c r="V42" s="120">
        <v>4.3999999999999997E-2</v>
      </c>
      <c r="W42" s="69">
        <f t="shared" si="2"/>
        <v>4.9279999999999999</v>
      </c>
      <c r="X42" s="106">
        <v>112</v>
      </c>
      <c r="Y42" s="72" t="str">
        <f t="shared" si="3"/>
        <v>AR_2019_2x LBS_HoloLens 2</v>
      </c>
      <c r="Z42" s="36" t="str">
        <f t="shared" si="4"/>
        <v>AR_2019_2x LBS</v>
      </c>
    </row>
    <row r="43" spans="3:26">
      <c r="C43" s="17">
        <v>35</v>
      </c>
      <c r="D43" s="109" t="s">
        <v>129</v>
      </c>
      <c r="E43" s="20" t="s">
        <v>8</v>
      </c>
      <c r="F43" s="20" t="s">
        <v>177</v>
      </c>
      <c r="G43" s="21" t="s">
        <v>186</v>
      </c>
      <c r="H43" s="21" t="s">
        <v>187</v>
      </c>
      <c r="I43" s="19" t="s">
        <v>63</v>
      </c>
      <c r="J43" s="19" t="s">
        <v>27</v>
      </c>
      <c r="K43" s="21" t="s">
        <v>51</v>
      </c>
      <c r="L43" s="33" t="str">
        <f t="shared" si="0"/>
        <v>2x SiOLED</v>
      </c>
      <c r="M43" s="21" t="s">
        <v>145</v>
      </c>
      <c r="N43" s="21"/>
      <c r="O43" s="27">
        <v>0.71</v>
      </c>
      <c r="P43" s="20">
        <v>1920</v>
      </c>
      <c r="Q43" s="20">
        <v>1080</v>
      </c>
      <c r="R43" s="29">
        <f t="shared" si="1"/>
        <v>3102.6861550454905</v>
      </c>
      <c r="S43" s="20">
        <v>90</v>
      </c>
      <c r="T43" s="18">
        <v>44044</v>
      </c>
      <c r="U43" s="20">
        <v>2</v>
      </c>
      <c r="V43" s="120">
        <v>2.7499999999999998E-3</v>
      </c>
      <c r="W43" s="69">
        <f t="shared" si="2"/>
        <v>0.24199999999999999</v>
      </c>
      <c r="X43" s="106">
        <v>88</v>
      </c>
      <c r="Y43" s="72" t="str">
        <f t="shared" si="3"/>
        <v>AR_2019_2x SiOLED_Light</v>
      </c>
      <c r="Z43" s="36" t="str">
        <f t="shared" si="4"/>
        <v>AR_2019_2x SiOLED</v>
      </c>
    </row>
    <row r="44" spans="3:26">
      <c r="C44" s="17">
        <v>36</v>
      </c>
      <c r="D44" s="109" t="s">
        <v>129</v>
      </c>
      <c r="E44" s="20" t="s">
        <v>8</v>
      </c>
      <c r="F44" s="20" t="s">
        <v>177</v>
      </c>
      <c r="G44" s="21" t="s">
        <v>68</v>
      </c>
      <c r="H44" s="21" t="s">
        <v>69</v>
      </c>
      <c r="I44" s="19" t="s">
        <v>63</v>
      </c>
      <c r="J44" s="19" t="s">
        <v>31</v>
      </c>
      <c r="K44" s="21" t="s">
        <v>70</v>
      </c>
      <c r="L44" s="33" t="str">
        <f t="shared" si="0"/>
        <v>1x DLP</v>
      </c>
      <c r="M44" s="21" t="s">
        <v>172</v>
      </c>
      <c r="N44" s="21"/>
      <c r="O44" s="27"/>
      <c r="P44" s="20">
        <v>853</v>
      </c>
      <c r="Q44" s="20">
        <v>480</v>
      </c>
      <c r="R44" s="29">
        <f t="shared" si="1"/>
        <v>0</v>
      </c>
      <c r="S44" s="20" t="s">
        <v>36</v>
      </c>
      <c r="T44" s="18">
        <v>43466</v>
      </c>
      <c r="U44" s="20">
        <v>1</v>
      </c>
      <c r="V44" s="120">
        <v>9.6299999999999999E-4</v>
      </c>
      <c r="W44" s="69">
        <f t="shared" si="2"/>
        <v>7.9929E-2</v>
      </c>
      <c r="X44" s="106">
        <v>83</v>
      </c>
      <c r="Y44" s="72" t="str">
        <f t="shared" si="3"/>
        <v>AR_2019_1x DLP_Blade</v>
      </c>
      <c r="Z44" s="36" t="str">
        <f t="shared" si="4"/>
        <v>AR_2019_1x DLP</v>
      </c>
    </row>
    <row r="45" spans="3:26">
      <c r="C45" s="17">
        <v>37</v>
      </c>
      <c r="D45" s="109" t="s">
        <v>129</v>
      </c>
      <c r="E45" s="20" t="s">
        <v>8</v>
      </c>
      <c r="F45" s="20" t="s">
        <v>177</v>
      </c>
      <c r="G45" s="21" t="s">
        <v>97</v>
      </c>
      <c r="H45" s="21" t="s">
        <v>75</v>
      </c>
      <c r="I45" s="19" t="s">
        <v>63</v>
      </c>
      <c r="J45" s="19" t="s">
        <v>36</v>
      </c>
      <c r="K45" s="21" t="s">
        <v>67</v>
      </c>
      <c r="L45" s="33" t="str">
        <f t="shared" si="0"/>
        <v>2x LCoS</v>
      </c>
      <c r="M45" s="21" t="s">
        <v>36</v>
      </c>
      <c r="N45" s="21"/>
      <c r="O45" s="27"/>
      <c r="P45" s="20"/>
      <c r="Q45" s="20"/>
      <c r="R45" s="29">
        <f t="shared" si="1"/>
        <v>0</v>
      </c>
      <c r="S45" s="20" t="s">
        <v>36</v>
      </c>
      <c r="T45" s="18" t="s">
        <v>143</v>
      </c>
      <c r="U45" s="20">
        <v>2</v>
      </c>
      <c r="V45" s="120">
        <v>2.7499999999999998E-3</v>
      </c>
      <c r="W45" s="69">
        <f t="shared" si="2"/>
        <v>0.1265</v>
      </c>
      <c r="X45" s="106">
        <v>46</v>
      </c>
      <c r="Y45" s="72" t="str">
        <f t="shared" si="3"/>
        <v>AR_2019_2x LCoS_LCoS glasses</v>
      </c>
      <c r="Z45" s="36" t="str">
        <f t="shared" si="4"/>
        <v>AR_2019_2x LCoS</v>
      </c>
    </row>
    <row r="46" spans="3:26">
      <c r="C46" s="17">
        <v>38</v>
      </c>
      <c r="D46" s="109" t="s">
        <v>129</v>
      </c>
      <c r="E46" s="20" t="s">
        <v>8</v>
      </c>
      <c r="F46" s="20" t="s">
        <v>177</v>
      </c>
      <c r="G46" s="21" t="s">
        <v>97</v>
      </c>
      <c r="H46" s="21" t="s">
        <v>79</v>
      </c>
      <c r="I46" s="19" t="s">
        <v>63</v>
      </c>
      <c r="J46" s="19" t="s">
        <v>36</v>
      </c>
      <c r="K46" s="21" t="s">
        <v>51</v>
      </c>
      <c r="L46" s="33" t="str">
        <f t="shared" si="0"/>
        <v>2x SiOLED</v>
      </c>
      <c r="M46" s="21" t="s">
        <v>36</v>
      </c>
      <c r="N46" s="21"/>
      <c r="O46" s="27"/>
      <c r="P46" s="20"/>
      <c r="Q46" s="20"/>
      <c r="R46" s="29">
        <f t="shared" si="1"/>
        <v>0</v>
      </c>
      <c r="S46" s="20" t="s">
        <v>36</v>
      </c>
      <c r="T46" s="18" t="s">
        <v>143</v>
      </c>
      <c r="U46" s="20">
        <v>2</v>
      </c>
      <c r="V46" s="120">
        <v>1.1000000000000001E-3</v>
      </c>
      <c r="W46" s="69">
        <f t="shared" si="2"/>
        <v>9.6800000000000011E-2</v>
      </c>
      <c r="X46" s="106">
        <v>88</v>
      </c>
      <c r="Y46" s="72" t="str">
        <f t="shared" si="3"/>
        <v>AR_2019_2x SiOLED_SiOLED glasses</v>
      </c>
      <c r="Z46" s="36" t="str">
        <f t="shared" si="4"/>
        <v>AR_2019_2x SiOLED</v>
      </c>
    </row>
    <row r="47" spans="3:26">
      <c r="C47" s="17">
        <v>39</v>
      </c>
      <c r="D47" s="109" t="s">
        <v>26</v>
      </c>
      <c r="E47" s="20" t="s">
        <v>8</v>
      </c>
      <c r="F47" s="20" t="s">
        <v>179</v>
      </c>
      <c r="G47" s="21" t="s">
        <v>106</v>
      </c>
      <c r="H47" s="21" t="s">
        <v>107</v>
      </c>
      <c r="I47" s="19" t="s">
        <v>26</v>
      </c>
      <c r="J47" s="19" t="s">
        <v>31</v>
      </c>
      <c r="K47" s="21" t="s">
        <v>15</v>
      </c>
      <c r="L47" s="33" t="str">
        <f t="shared" si="0"/>
        <v>1x LCD</v>
      </c>
      <c r="M47" s="21" t="s">
        <v>36</v>
      </c>
      <c r="N47" s="21" t="s">
        <v>143</v>
      </c>
      <c r="O47" s="27"/>
      <c r="P47" s="20"/>
      <c r="Q47" s="20"/>
      <c r="R47" s="29">
        <f t="shared" si="1"/>
        <v>0</v>
      </c>
      <c r="S47" s="20" t="s">
        <v>36</v>
      </c>
      <c r="T47" s="18">
        <v>43770</v>
      </c>
      <c r="U47" s="20">
        <v>1</v>
      </c>
      <c r="V47" s="120">
        <v>4.1250000000000002E-2</v>
      </c>
      <c r="W47" s="69">
        <f t="shared" si="2"/>
        <v>2.4750000000000001</v>
      </c>
      <c r="X47" s="106">
        <v>60</v>
      </c>
      <c r="Y47" s="72" t="str">
        <f t="shared" si="3"/>
        <v>VR_2019_1x LCD_P1 family</v>
      </c>
      <c r="Z47" s="36" t="str">
        <f t="shared" si="4"/>
        <v>VR_2019_1x LCD</v>
      </c>
    </row>
    <row r="48" spans="3:26">
      <c r="C48" s="17">
        <v>40</v>
      </c>
      <c r="D48" s="109" t="s">
        <v>26</v>
      </c>
      <c r="E48" s="20" t="s">
        <v>8</v>
      </c>
      <c r="F48" s="20" t="s">
        <v>179</v>
      </c>
      <c r="G48" s="21" t="s">
        <v>34</v>
      </c>
      <c r="H48" s="21" t="s">
        <v>35</v>
      </c>
      <c r="I48" s="19" t="s">
        <v>26</v>
      </c>
      <c r="J48" s="19" t="s">
        <v>27</v>
      </c>
      <c r="K48" s="21" t="s">
        <v>15</v>
      </c>
      <c r="L48" s="33" t="str">
        <f t="shared" si="0"/>
        <v>2x LCD</v>
      </c>
      <c r="M48" s="21" t="s">
        <v>36</v>
      </c>
      <c r="N48" s="21" t="s">
        <v>143</v>
      </c>
      <c r="O48" s="27">
        <v>2.89</v>
      </c>
      <c r="P48" s="20">
        <v>2160</v>
      </c>
      <c r="Q48" s="20">
        <v>2160</v>
      </c>
      <c r="R48" s="29">
        <f t="shared" si="1"/>
        <v>1056.990067379199</v>
      </c>
      <c r="S48" s="20">
        <v>90</v>
      </c>
      <c r="T48" s="18">
        <v>43586</v>
      </c>
      <c r="U48" s="20">
        <v>2</v>
      </c>
      <c r="V48" s="120">
        <v>5.5E-2</v>
      </c>
      <c r="W48" s="69">
        <f t="shared" si="2"/>
        <v>2.2000000000000002</v>
      </c>
      <c r="X48" s="106">
        <v>40</v>
      </c>
      <c r="Y48" s="72" t="str">
        <f t="shared" si="3"/>
        <v>VR_2019_2x LCD_Reverb</v>
      </c>
      <c r="Z48" s="36" t="str">
        <f t="shared" si="4"/>
        <v>VR_2019_2x LCD</v>
      </c>
    </row>
    <row r="49" spans="3:26">
      <c r="C49" s="17">
        <v>41</v>
      </c>
      <c r="D49" s="109" t="s">
        <v>26</v>
      </c>
      <c r="E49" s="20" t="s">
        <v>8</v>
      </c>
      <c r="F49" s="20" t="s">
        <v>179</v>
      </c>
      <c r="G49" s="21" t="s">
        <v>34</v>
      </c>
      <c r="H49" s="21" t="s">
        <v>37</v>
      </c>
      <c r="I49" s="19" t="s">
        <v>26</v>
      </c>
      <c r="J49" s="19" t="s">
        <v>27</v>
      </c>
      <c r="K49" s="21" t="s">
        <v>15</v>
      </c>
      <c r="L49" s="33" t="str">
        <f t="shared" si="0"/>
        <v>2x LCD</v>
      </c>
      <c r="M49" s="21" t="s">
        <v>36</v>
      </c>
      <c r="N49" s="21" t="s">
        <v>143</v>
      </c>
      <c r="O49" s="27">
        <v>2.89</v>
      </c>
      <c r="P49" s="20">
        <v>2160</v>
      </c>
      <c r="Q49" s="20">
        <v>2160</v>
      </c>
      <c r="R49" s="29">
        <f t="shared" si="1"/>
        <v>1056.990067379199</v>
      </c>
      <c r="S49" s="20">
        <v>90</v>
      </c>
      <c r="T49" s="18">
        <v>44136</v>
      </c>
      <c r="U49" s="20">
        <v>2</v>
      </c>
      <c r="V49" s="120">
        <v>1.0999999999999999E-2</v>
      </c>
      <c r="W49" s="69">
        <f t="shared" si="2"/>
        <v>0.43999999999999995</v>
      </c>
      <c r="X49" s="106">
        <v>40</v>
      </c>
      <c r="Y49" s="72" t="str">
        <f t="shared" si="3"/>
        <v>VR_2019_2x LCD_Reverb G2</v>
      </c>
      <c r="Z49" s="36" t="str">
        <f t="shared" si="4"/>
        <v>VR_2019_2x LCD</v>
      </c>
    </row>
    <row r="50" spans="3:26">
      <c r="C50" s="17">
        <v>42</v>
      </c>
      <c r="D50" s="109" t="s">
        <v>26</v>
      </c>
      <c r="E50" s="20" t="s">
        <v>8</v>
      </c>
      <c r="F50" s="20" t="s">
        <v>179</v>
      </c>
      <c r="G50" s="21" t="s">
        <v>41</v>
      </c>
      <c r="H50" s="21" t="s">
        <v>178</v>
      </c>
      <c r="I50" s="19" t="s">
        <v>26</v>
      </c>
      <c r="J50" s="19" t="s">
        <v>31</v>
      </c>
      <c r="K50" s="21" t="s">
        <v>15</v>
      </c>
      <c r="L50" s="33" t="str">
        <f t="shared" si="0"/>
        <v>2x LCD</v>
      </c>
      <c r="M50" s="21" t="s">
        <v>2</v>
      </c>
      <c r="N50" s="21" t="s">
        <v>143</v>
      </c>
      <c r="O50" s="27"/>
      <c r="P50" s="20"/>
      <c r="Q50" s="20"/>
      <c r="R50" s="29">
        <f t="shared" si="1"/>
        <v>0</v>
      </c>
      <c r="S50" s="20" t="s">
        <v>36</v>
      </c>
      <c r="T50" s="18">
        <v>43739</v>
      </c>
      <c r="U50" s="20">
        <v>2</v>
      </c>
      <c r="V50" s="120">
        <v>6.875E-3</v>
      </c>
      <c r="W50" s="69">
        <f t="shared" si="2"/>
        <v>0.27500000000000002</v>
      </c>
      <c r="X50" s="106">
        <v>40</v>
      </c>
      <c r="Y50" s="72" t="str">
        <f t="shared" si="3"/>
        <v>VR_2019_2x LCD_Vive LCD headsets</v>
      </c>
      <c r="Z50" s="36" t="str">
        <f t="shared" si="4"/>
        <v>VR_2019_2x LCD</v>
      </c>
    </row>
    <row r="51" spans="3:26">
      <c r="C51" s="17">
        <v>43</v>
      </c>
      <c r="D51" s="109" t="s">
        <v>26</v>
      </c>
      <c r="E51" s="20" t="s">
        <v>8</v>
      </c>
      <c r="F51" s="20" t="s">
        <v>179</v>
      </c>
      <c r="G51" s="21" t="s">
        <v>29</v>
      </c>
      <c r="H51" s="21" t="s">
        <v>30</v>
      </c>
      <c r="I51" s="19" t="s">
        <v>26</v>
      </c>
      <c r="J51" s="19" t="s">
        <v>31</v>
      </c>
      <c r="K51" s="21" t="s">
        <v>28</v>
      </c>
      <c r="L51" s="33" t="str">
        <f t="shared" si="0"/>
        <v>2x AMOLED</v>
      </c>
      <c r="M51" s="21" t="s">
        <v>3</v>
      </c>
      <c r="N51" s="21" t="s">
        <v>143</v>
      </c>
      <c r="O51" s="27">
        <v>3.5</v>
      </c>
      <c r="P51" s="20">
        <v>1440</v>
      </c>
      <c r="Q51" s="20">
        <v>1600</v>
      </c>
      <c r="R51" s="29">
        <f t="shared" si="1"/>
        <v>615.02281358051255</v>
      </c>
      <c r="S51" s="20">
        <v>72</v>
      </c>
      <c r="T51" s="18">
        <v>43586</v>
      </c>
      <c r="U51" s="20">
        <v>2</v>
      </c>
      <c r="V51" s="120">
        <v>0.1925</v>
      </c>
      <c r="W51" s="69">
        <f t="shared" si="2"/>
        <v>4.5657223919999996</v>
      </c>
      <c r="X51" s="106">
        <v>23.718038399999998</v>
      </c>
      <c r="Y51" s="72" t="str">
        <f t="shared" si="3"/>
        <v>VR_2019_2x AMOLED_Quest</v>
      </c>
      <c r="Z51" s="36" t="str">
        <f t="shared" si="4"/>
        <v>VR_2019_2x AMOLED</v>
      </c>
    </row>
    <row r="52" spans="3:26">
      <c r="C52" s="17">
        <v>44</v>
      </c>
      <c r="D52" s="109" t="s">
        <v>26</v>
      </c>
      <c r="E52" s="20" t="s">
        <v>8</v>
      </c>
      <c r="F52" s="20" t="s">
        <v>179</v>
      </c>
      <c r="G52" s="21" t="s">
        <v>29</v>
      </c>
      <c r="H52" s="21" t="s">
        <v>33</v>
      </c>
      <c r="I52" s="19" t="s">
        <v>26</v>
      </c>
      <c r="J52" s="19" t="s">
        <v>27</v>
      </c>
      <c r="K52" s="21" t="s">
        <v>15</v>
      </c>
      <c r="L52" s="33" t="str">
        <f t="shared" si="0"/>
        <v>1x LCD</v>
      </c>
      <c r="M52" s="21" t="s">
        <v>2</v>
      </c>
      <c r="N52" s="21" t="s">
        <v>4</v>
      </c>
      <c r="O52" s="27">
        <v>5.46</v>
      </c>
      <c r="P52" s="20">
        <v>2560</v>
      </c>
      <c r="Q52" s="20">
        <v>1440</v>
      </c>
      <c r="R52" s="29">
        <f t="shared" si="1"/>
        <v>537.95046888456613</v>
      </c>
      <c r="S52" s="20">
        <v>80</v>
      </c>
      <c r="T52" s="18">
        <v>43586</v>
      </c>
      <c r="U52" s="20">
        <v>1</v>
      </c>
      <c r="V52" s="120">
        <v>8.2500000000000004E-2</v>
      </c>
      <c r="W52" s="69">
        <f t="shared" si="2"/>
        <v>4.95</v>
      </c>
      <c r="X52" s="106">
        <v>60</v>
      </c>
      <c r="Y52" s="72" t="str">
        <f t="shared" si="3"/>
        <v>VR_2019_1x LCD_Rift S</v>
      </c>
      <c r="Z52" s="36" t="str">
        <f t="shared" si="4"/>
        <v>VR_2019_1x LCD</v>
      </c>
    </row>
    <row r="53" spans="3:26">
      <c r="C53" s="17">
        <v>45</v>
      </c>
      <c r="D53" s="109" t="s">
        <v>26</v>
      </c>
      <c r="E53" s="20" t="s">
        <v>8</v>
      </c>
      <c r="F53" s="20" t="s">
        <v>179</v>
      </c>
      <c r="G53" s="21" t="s">
        <v>108</v>
      </c>
      <c r="H53" s="21" t="s">
        <v>109</v>
      </c>
      <c r="I53" s="19" t="s">
        <v>26</v>
      </c>
      <c r="J53" s="19" t="s">
        <v>27</v>
      </c>
      <c r="K53" s="21" t="s">
        <v>15</v>
      </c>
      <c r="L53" s="33" t="str">
        <f t="shared" si="0"/>
        <v>2x LCD</v>
      </c>
      <c r="M53" s="21" t="s">
        <v>145</v>
      </c>
      <c r="N53" s="21" t="s">
        <v>146</v>
      </c>
      <c r="O53" s="27"/>
      <c r="P53" s="20"/>
      <c r="Q53" s="20"/>
      <c r="R53" s="29">
        <f t="shared" si="1"/>
        <v>0</v>
      </c>
      <c r="S53" s="20" t="s">
        <v>36</v>
      </c>
      <c r="T53" s="18" t="s">
        <v>143</v>
      </c>
      <c r="U53" s="20">
        <v>2</v>
      </c>
      <c r="V53" s="120">
        <v>8.2500000000000004E-3</v>
      </c>
      <c r="W53" s="69">
        <f t="shared" si="2"/>
        <v>0.33</v>
      </c>
      <c r="X53" s="106">
        <v>40</v>
      </c>
      <c r="Y53" s="72" t="str">
        <f t="shared" si="3"/>
        <v>VR_2019_2x LCD_Pimax VR</v>
      </c>
      <c r="Z53" s="36" t="str">
        <f t="shared" si="4"/>
        <v>VR_2019_2x LCD</v>
      </c>
    </row>
    <row r="54" spans="3:26">
      <c r="C54" s="17">
        <v>46</v>
      </c>
      <c r="D54" s="109" t="s">
        <v>26</v>
      </c>
      <c r="E54" s="20" t="s">
        <v>8</v>
      </c>
      <c r="F54" s="20" t="s">
        <v>179</v>
      </c>
      <c r="G54" s="21" t="s">
        <v>6</v>
      </c>
      <c r="H54" s="21" t="s">
        <v>25</v>
      </c>
      <c r="I54" s="19" t="s">
        <v>26</v>
      </c>
      <c r="J54" s="19" t="s">
        <v>27</v>
      </c>
      <c r="K54" s="21" t="s">
        <v>28</v>
      </c>
      <c r="L54" s="33" t="str">
        <f t="shared" si="0"/>
        <v>1x AMOLED</v>
      </c>
      <c r="M54" s="21" t="s">
        <v>3</v>
      </c>
      <c r="N54" s="21" t="s">
        <v>143</v>
      </c>
      <c r="O54" s="27">
        <v>5.7</v>
      </c>
      <c r="P54" s="20">
        <v>1920</v>
      </c>
      <c r="Q54" s="20">
        <v>1080</v>
      </c>
      <c r="R54" s="29">
        <f t="shared" si="1"/>
        <v>386.47494211970144</v>
      </c>
      <c r="S54" s="20">
        <v>120</v>
      </c>
      <c r="T54" s="18">
        <v>42644</v>
      </c>
      <c r="U54" s="20">
        <v>1</v>
      </c>
      <c r="V54" s="120">
        <v>0.2</v>
      </c>
      <c r="W54" s="69">
        <f t="shared" si="2"/>
        <v>6.7765823999999997</v>
      </c>
      <c r="X54" s="106">
        <v>33.882911999999997</v>
      </c>
      <c r="Y54" s="72" t="str">
        <f t="shared" si="3"/>
        <v>VR_2019_1x AMOLED_PlayStation VR</v>
      </c>
      <c r="Z54" s="36" t="str">
        <f t="shared" si="4"/>
        <v>VR_2019_1x AMOLED</v>
      </c>
    </row>
    <row r="55" spans="3:26">
      <c r="C55" s="17">
        <v>47</v>
      </c>
      <c r="D55" s="109" t="s">
        <v>26</v>
      </c>
      <c r="E55" s="20" t="s">
        <v>8</v>
      </c>
      <c r="F55" s="20" t="s">
        <v>179</v>
      </c>
      <c r="G55" s="21" t="s">
        <v>97</v>
      </c>
      <c r="H55" s="21" t="s">
        <v>42</v>
      </c>
      <c r="I55" s="19" t="s">
        <v>26</v>
      </c>
      <c r="J55" s="19" t="s">
        <v>36</v>
      </c>
      <c r="K55" s="21" t="s">
        <v>28</v>
      </c>
      <c r="L55" s="33" t="str">
        <f t="shared" si="0"/>
        <v>2x AMOLED</v>
      </c>
      <c r="M55" s="21" t="s">
        <v>36</v>
      </c>
      <c r="N55" s="21" t="s">
        <v>143</v>
      </c>
      <c r="O55" s="27"/>
      <c r="P55" s="20"/>
      <c r="Q55" s="20"/>
      <c r="R55" s="29">
        <f t="shared" si="1"/>
        <v>0</v>
      </c>
      <c r="S55" s="20" t="s">
        <v>36</v>
      </c>
      <c r="T55" s="18" t="s">
        <v>143</v>
      </c>
      <c r="U55" s="20">
        <v>2</v>
      </c>
      <c r="V55" s="120">
        <v>0.3075</v>
      </c>
      <c r="W55" s="69">
        <f t="shared" si="2"/>
        <v>7.2932968079999991</v>
      </c>
      <c r="X55" s="106">
        <v>23.718038399999998</v>
      </c>
      <c r="Y55" s="72" t="str">
        <f t="shared" si="3"/>
        <v>VR_2019_2x AMOLED_OLED VR headset</v>
      </c>
      <c r="Z55" s="36" t="str">
        <f t="shared" si="4"/>
        <v>VR_2019_2x AMOLED</v>
      </c>
    </row>
    <row r="56" spans="3:26">
      <c r="C56" s="17">
        <v>48</v>
      </c>
      <c r="D56" s="109" t="s">
        <v>26</v>
      </c>
      <c r="E56" s="20" t="s">
        <v>8</v>
      </c>
      <c r="F56" s="20" t="s">
        <v>179</v>
      </c>
      <c r="G56" s="21" t="s">
        <v>97</v>
      </c>
      <c r="H56" s="21" t="s">
        <v>161</v>
      </c>
      <c r="I56" s="19" t="s">
        <v>26</v>
      </c>
      <c r="J56" s="19" t="s">
        <v>36</v>
      </c>
      <c r="K56" s="21" t="s">
        <v>15</v>
      </c>
      <c r="L56" s="33" t="str">
        <f t="shared" si="0"/>
        <v>1x LCD</v>
      </c>
      <c r="M56" s="21" t="s">
        <v>36</v>
      </c>
      <c r="N56" s="21" t="s">
        <v>143</v>
      </c>
      <c r="O56" s="27"/>
      <c r="P56" s="20"/>
      <c r="Q56" s="20"/>
      <c r="R56" s="29">
        <f t="shared" si="1"/>
        <v>0</v>
      </c>
      <c r="S56" s="20" t="s">
        <v>36</v>
      </c>
      <c r="T56" s="18" t="s">
        <v>143</v>
      </c>
      <c r="U56" s="20">
        <v>1</v>
      </c>
      <c r="V56" s="120">
        <v>0.44</v>
      </c>
      <c r="W56" s="69">
        <f t="shared" si="2"/>
        <v>26.4</v>
      </c>
      <c r="X56" s="106">
        <v>60</v>
      </c>
      <c r="Y56" s="72" t="str">
        <f t="shared" si="3"/>
        <v>VR_2019_1x LCD_Single LCD VR headset</v>
      </c>
      <c r="Z56" s="36" t="str">
        <f t="shared" si="4"/>
        <v>VR_2019_1x LCD</v>
      </c>
    </row>
    <row r="57" spans="3:26">
      <c r="C57" s="17">
        <v>49</v>
      </c>
      <c r="D57" s="109" t="s">
        <v>26</v>
      </c>
      <c r="E57" s="20" t="s">
        <v>8</v>
      </c>
      <c r="F57" s="20" t="s">
        <v>179</v>
      </c>
      <c r="G57" s="21" t="s">
        <v>38</v>
      </c>
      <c r="H57" s="21" t="s">
        <v>39</v>
      </c>
      <c r="I57" s="19" t="s">
        <v>26</v>
      </c>
      <c r="J57" s="19" t="s">
        <v>27</v>
      </c>
      <c r="K57" s="21" t="s">
        <v>15</v>
      </c>
      <c r="L57" s="33" t="str">
        <f t="shared" si="0"/>
        <v>2x LCD</v>
      </c>
      <c r="M57" s="21" t="s">
        <v>40</v>
      </c>
      <c r="N57" s="21" t="s">
        <v>143</v>
      </c>
      <c r="O57" s="27">
        <v>3.5</v>
      </c>
      <c r="P57" s="20">
        <v>1440</v>
      </c>
      <c r="Q57" s="20">
        <v>1600</v>
      </c>
      <c r="R57" s="29">
        <f t="shared" si="1"/>
        <v>615.02281358051255</v>
      </c>
      <c r="S57" s="20">
        <v>144</v>
      </c>
      <c r="T57" s="18">
        <v>43586</v>
      </c>
      <c r="U57" s="20">
        <v>2</v>
      </c>
      <c r="V57" s="120">
        <v>8.2500000000000004E-2</v>
      </c>
      <c r="W57" s="69">
        <f t="shared" si="2"/>
        <v>3.3000000000000003</v>
      </c>
      <c r="X57" s="106">
        <v>40</v>
      </c>
      <c r="Y57" s="72" t="str">
        <f t="shared" si="3"/>
        <v>VR_2019_2x LCD_Index</v>
      </c>
      <c r="Z57" s="36" t="str">
        <f t="shared" si="4"/>
        <v>VR_2019_2x LCD</v>
      </c>
    </row>
    <row r="58" spans="3:26">
      <c r="C58" s="17">
        <v>50</v>
      </c>
      <c r="D58" s="109" t="s">
        <v>129</v>
      </c>
      <c r="E58" s="20" t="s">
        <v>8</v>
      </c>
      <c r="F58" s="20" t="s">
        <v>179</v>
      </c>
      <c r="G58" s="21" t="s">
        <v>73</v>
      </c>
      <c r="H58" s="21" t="s">
        <v>74</v>
      </c>
      <c r="I58" s="19" t="s">
        <v>63</v>
      </c>
      <c r="J58" s="19" t="s">
        <v>31</v>
      </c>
      <c r="K58" s="21" t="s">
        <v>51</v>
      </c>
      <c r="L58" s="33" t="str">
        <f t="shared" si="0"/>
        <v>2x SiOLED</v>
      </c>
      <c r="M58" s="21" t="s">
        <v>73</v>
      </c>
      <c r="N58" s="21"/>
      <c r="O58" s="27">
        <v>0.43</v>
      </c>
      <c r="P58" s="20">
        <v>1280</v>
      </c>
      <c r="Q58" s="20">
        <v>720</v>
      </c>
      <c r="R58" s="29">
        <f t="shared" si="1"/>
        <v>3415.3599536159668</v>
      </c>
      <c r="S58" s="20" t="s">
        <v>36</v>
      </c>
      <c r="T58" s="18">
        <v>42401</v>
      </c>
      <c r="U58" s="20">
        <v>2</v>
      </c>
      <c r="V58" s="120">
        <v>3.3000000000000002E-2</v>
      </c>
      <c r="W58" s="69">
        <f t="shared" si="2"/>
        <v>2.9039999999999999</v>
      </c>
      <c r="X58" s="106">
        <v>88</v>
      </c>
      <c r="Y58" s="72" t="str">
        <f t="shared" si="3"/>
        <v>AR_2019_2x SiOLED_Moverio</v>
      </c>
      <c r="Z58" s="36" t="str">
        <f t="shared" si="4"/>
        <v>AR_2019_2x SiOLED</v>
      </c>
    </row>
    <row r="59" spans="3:26">
      <c r="C59" s="17">
        <v>51</v>
      </c>
      <c r="D59" s="109" t="s">
        <v>129</v>
      </c>
      <c r="E59" s="20" t="s">
        <v>8</v>
      </c>
      <c r="F59" s="20" t="s">
        <v>179</v>
      </c>
      <c r="G59" s="21" t="s">
        <v>71</v>
      </c>
      <c r="H59" s="21" t="s">
        <v>130</v>
      </c>
      <c r="I59" s="19" t="s">
        <v>63</v>
      </c>
      <c r="J59" s="19" t="s">
        <v>31</v>
      </c>
      <c r="K59" s="21" t="s">
        <v>168</v>
      </c>
      <c r="L59" s="33" t="str">
        <f t="shared" si="0"/>
        <v>1x Micro LCD</v>
      </c>
      <c r="M59" s="21" t="s">
        <v>72</v>
      </c>
      <c r="N59" s="21"/>
      <c r="O59" s="27"/>
      <c r="P59" s="20">
        <v>640</v>
      </c>
      <c r="Q59" s="20">
        <v>360</v>
      </c>
      <c r="R59" s="29">
        <f t="shared" si="1"/>
        <v>0</v>
      </c>
      <c r="S59" s="20" t="s">
        <v>36</v>
      </c>
      <c r="T59" s="18">
        <v>43586</v>
      </c>
      <c r="U59" s="20">
        <v>1</v>
      </c>
      <c r="V59" s="120">
        <v>1.0999999999999999E-2</v>
      </c>
      <c r="W59" s="69">
        <f t="shared" si="2"/>
        <v>0.46199999999999997</v>
      </c>
      <c r="X59" s="106">
        <v>42</v>
      </c>
      <c r="Y59" s="72" t="str">
        <f t="shared" si="3"/>
        <v>AR_2019_1x Micro LCD_Glass</v>
      </c>
      <c r="Z59" s="36" t="str">
        <f t="shared" si="4"/>
        <v>AR_2019_1x Micro LCD</v>
      </c>
    </row>
    <row r="60" spans="3:26">
      <c r="C60" s="17">
        <v>52</v>
      </c>
      <c r="D60" s="109" t="s">
        <v>129</v>
      </c>
      <c r="E60" s="20" t="s">
        <v>8</v>
      </c>
      <c r="F60" s="20" t="s">
        <v>179</v>
      </c>
      <c r="G60" s="21" t="s">
        <v>65</v>
      </c>
      <c r="H60" s="21" t="s">
        <v>66</v>
      </c>
      <c r="I60" s="19" t="s">
        <v>63</v>
      </c>
      <c r="J60" s="19" t="s">
        <v>31</v>
      </c>
      <c r="K60" s="21" t="s">
        <v>67</v>
      </c>
      <c r="L60" s="33" t="str">
        <f t="shared" si="0"/>
        <v>2x LCoS</v>
      </c>
      <c r="M60" s="21" t="s">
        <v>36</v>
      </c>
      <c r="N60" s="21"/>
      <c r="O60" s="27"/>
      <c r="P60" s="20">
        <v>1280</v>
      </c>
      <c r="Q60" s="20">
        <v>960</v>
      </c>
      <c r="R60" s="29">
        <f t="shared" si="1"/>
        <v>0</v>
      </c>
      <c r="S60" s="20">
        <v>120</v>
      </c>
      <c r="T60" s="18">
        <v>43313</v>
      </c>
      <c r="U60" s="20">
        <v>2</v>
      </c>
      <c r="V60" s="120">
        <v>2.4750000000000002E-3</v>
      </c>
      <c r="W60" s="69">
        <f t="shared" si="2"/>
        <v>0.11385000000000001</v>
      </c>
      <c r="X60" s="106">
        <v>46</v>
      </c>
      <c r="Y60" s="72" t="str">
        <f t="shared" si="3"/>
        <v>AR_2019_2x LCoS_ML One</v>
      </c>
      <c r="Z60" s="36" t="str">
        <f t="shared" si="4"/>
        <v>AR_2019_2x LCoS</v>
      </c>
    </row>
    <row r="61" spans="3:26">
      <c r="C61" s="17">
        <v>53</v>
      </c>
      <c r="D61" s="109" t="s">
        <v>129</v>
      </c>
      <c r="E61" s="20" t="s">
        <v>8</v>
      </c>
      <c r="F61" s="20" t="s">
        <v>179</v>
      </c>
      <c r="G61" s="21" t="s">
        <v>61</v>
      </c>
      <c r="H61" s="21" t="s">
        <v>62</v>
      </c>
      <c r="I61" s="19" t="s">
        <v>63</v>
      </c>
      <c r="J61" s="19" t="s">
        <v>31</v>
      </c>
      <c r="K61" s="21" t="s">
        <v>64</v>
      </c>
      <c r="L61" s="33" t="str">
        <f t="shared" si="0"/>
        <v>2x LBS</v>
      </c>
      <c r="M61" s="21" t="s">
        <v>36</v>
      </c>
      <c r="N61" s="21"/>
      <c r="O61" s="27"/>
      <c r="P61" s="20"/>
      <c r="Q61" s="20"/>
      <c r="R61" s="29">
        <f t="shared" si="1"/>
        <v>0</v>
      </c>
      <c r="S61" s="20" t="s">
        <v>36</v>
      </c>
      <c r="T61" s="18">
        <v>43770</v>
      </c>
      <c r="U61" s="20">
        <v>2</v>
      </c>
      <c r="V61" s="120">
        <v>4.3999999999999997E-2</v>
      </c>
      <c r="W61" s="69">
        <f t="shared" si="2"/>
        <v>4.9279999999999999</v>
      </c>
      <c r="X61" s="106">
        <v>112</v>
      </c>
      <c r="Y61" s="72" t="str">
        <f t="shared" si="3"/>
        <v>AR_2019_2x LBS_HoloLens 2</v>
      </c>
      <c r="Z61" s="36" t="str">
        <f t="shared" si="4"/>
        <v>AR_2019_2x LBS</v>
      </c>
    </row>
    <row r="62" spans="3:26">
      <c r="C62" s="17">
        <v>54</v>
      </c>
      <c r="D62" s="109" t="s">
        <v>129</v>
      </c>
      <c r="E62" s="20" t="s">
        <v>8</v>
      </c>
      <c r="F62" s="20" t="s">
        <v>179</v>
      </c>
      <c r="G62" s="21" t="s">
        <v>186</v>
      </c>
      <c r="H62" s="21" t="s">
        <v>187</v>
      </c>
      <c r="I62" s="19" t="s">
        <v>63</v>
      </c>
      <c r="J62" s="19" t="s">
        <v>27</v>
      </c>
      <c r="K62" s="21" t="s">
        <v>51</v>
      </c>
      <c r="L62" s="33" t="str">
        <f t="shared" si="0"/>
        <v>2x SiOLED</v>
      </c>
      <c r="M62" s="21" t="s">
        <v>145</v>
      </c>
      <c r="N62" s="21"/>
      <c r="O62" s="27">
        <v>0.71</v>
      </c>
      <c r="P62" s="20">
        <v>1920</v>
      </c>
      <c r="Q62" s="20">
        <v>1080</v>
      </c>
      <c r="R62" s="29">
        <f t="shared" si="1"/>
        <v>3102.6861550454905</v>
      </c>
      <c r="S62" s="20">
        <v>90</v>
      </c>
      <c r="T62" s="18">
        <v>44044</v>
      </c>
      <c r="U62" s="20">
        <v>2</v>
      </c>
      <c r="V62" s="120">
        <v>2.7499999999999998E-3</v>
      </c>
      <c r="W62" s="69">
        <f t="shared" si="2"/>
        <v>0.24199999999999999</v>
      </c>
      <c r="X62" s="106">
        <v>88</v>
      </c>
      <c r="Y62" s="72" t="str">
        <f t="shared" si="3"/>
        <v>AR_2019_2x SiOLED_Light</v>
      </c>
      <c r="Z62" s="36" t="str">
        <f t="shared" si="4"/>
        <v>AR_2019_2x SiOLED</v>
      </c>
    </row>
    <row r="63" spans="3:26">
      <c r="C63" s="17">
        <v>55</v>
      </c>
      <c r="D63" s="109" t="s">
        <v>129</v>
      </c>
      <c r="E63" s="20" t="s">
        <v>8</v>
      </c>
      <c r="F63" s="20" t="s">
        <v>179</v>
      </c>
      <c r="G63" s="21" t="s">
        <v>68</v>
      </c>
      <c r="H63" s="21" t="s">
        <v>69</v>
      </c>
      <c r="I63" s="19" t="s">
        <v>63</v>
      </c>
      <c r="J63" s="19" t="s">
        <v>31</v>
      </c>
      <c r="K63" s="21" t="s">
        <v>70</v>
      </c>
      <c r="L63" s="33" t="str">
        <f t="shared" si="0"/>
        <v>1x DLP</v>
      </c>
      <c r="M63" s="21" t="s">
        <v>172</v>
      </c>
      <c r="N63" s="21"/>
      <c r="O63" s="27"/>
      <c r="P63" s="20">
        <v>853</v>
      </c>
      <c r="Q63" s="20">
        <v>480</v>
      </c>
      <c r="R63" s="29">
        <f t="shared" si="1"/>
        <v>0</v>
      </c>
      <c r="S63" s="20" t="s">
        <v>36</v>
      </c>
      <c r="T63" s="18">
        <v>43466</v>
      </c>
      <c r="U63" s="20">
        <v>1</v>
      </c>
      <c r="V63" s="120">
        <v>9.6299999999999999E-4</v>
      </c>
      <c r="W63" s="69">
        <f t="shared" si="2"/>
        <v>7.9929E-2</v>
      </c>
      <c r="X63" s="106">
        <v>83</v>
      </c>
      <c r="Y63" s="72" t="str">
        <f t="shared" si="3"/>
        <v>AR_2019_1x DLP_Blade</v>
      </c>
      <c r="Z63" s="36" t="str">
        <f t="shared" si="4"/>
        <v>AR_2019_1x DLP</v>
      </c>
    </row>
    <row r="64" spans="3:26">
      <c r="C64" s="17">
        <v>56</v>
      </c>
      <c r="D64" s="109" t="s">
        <v>129</v>
      </c>
      <c r="E64" s="20" t="s">
        <v>8</v>
      </c>
      <c r="F64" s="20" t="s">
        <v>179</v>
      </c>
      <c r="G64" s="21" t="s">
        <v>97</v>
      </c>
      <c r="H64" s="21" t="s">
        <v>75</v>
      </c>
      <c r="I64" s="19" t="s">
        <v>63</v>
      </c>
      <c r="J64" s="19" t="s">
        <v>36</v>
      </c>
      <c r="K64" s="21" t="s">
        <v>67</v>
      </c>
      <c r="L64" s="33" t="str">
        <f t="shared" si="0"/>
        <v>2x LCoS</v>
      </c>
      <c r="M64" s="21" t="s">
        <v>36</v>
      </c>
      <c r="N64" s="21"/>
      <c r="O64" s="27"/>
      <c r="P64" s="20"/>
      <c r="Q64" s="20"/>
      <c r="R64" s="29">
        <f t="shared" si="1"/>
        <v>0</v>
      </c>
      <c r="S64" s="20" t="s">
        <v>36</v>
      </c>
      <c r="T64" s="18" t="s">
        <v>143</v>
      </c>
      <c r="U64" s="20">
        <v>2</v>
      </c>
      <c r="V64" s="120">
        <v>2.7499999999999998E-3</v>
      </c>
      <c r="W64" s="69">
        <f t="shared" si="2"/>
        <v>0.1265</v>
      </c>
      <c r="X64" s="106">
        <v>46</v>
      </c>
      <c r="Y64" s="72" t="str">
        <f t="shared" si="3"/>
        <v>AR_2019_2x LCoS_LCoS glasses</v>
      </c>
      <c r="Z64" s="36" t="str">
        <f t="shared" si="4"/>
        <v>AR_2019_2x LCoS</v>
      </c>
    </row>
    <row r="65" spans="3:26">
      <c r="C65" s="17">
        <v>57</v>
      </c>
      <c r="D65" s="109" t="s">
        <v>129</v>
      </c>
      <c r="E65" s="20" t="s">
        <v>8</v>
      </c>
      <c r="F65" s="20" t="s">
        <v>179</v>
      </c>
      <c r="G65" s="21" t="s">
        <v>97</v>
      </c>
      <c r="H65" s="21" t="s">
        <v>79</v>
      </c>
      <c r="I65" s="19" t="s">
        <v>63</v>
      </c>
      <c r="J65" s="19" t="s">
        <v>36</v>
      </c>
      <c r="K65" s="21" t="s">
        <v>51</v>
      </c>
      <c r="L65" s="33" t="str">
        <f t="shared" si="0"/>
        <v>2x SiOLED</v>
      </c>
      <c r="M65" s="21" t="s">
        <v>36</v>
      </c>
      <c r="N65" s="21"/>
      <c r="O65" s="27"/>
      <c r="P65" s="20"/>
      <c r="Q65" s="20"/>
      <c r="R65" s="29">
        <f t="shared" si="1"/>
        <v>0</v>
      </c>
      <c r="S65" s="20" t="s">
        <v>36</v>
      </c>
      <c r="T65" s="18" t="s">
        <v>143</v>
      </c>
      <c r="U65" s="20">
        <v>2</v>
      </c>
      <c r="V65" s="120">
        <v>1.1000000000000001E-3</v>
      </c>
      <c r="W65" s="69">
        <f t="shared" si="2"/>
        <v>9.6800000000000011E-2</v>
      </c>
      <c r="X65" s="106">
        <v>88</v>
      </c>
      <c r="Y65" s="72" t="str">
        <f t="shared" si="3"/>
        <v>AR_2019_2x SiOLED_SiOLED glasses</v>
      </c>
      <c r="Z65" s="36" t="str">
        <f t="shared" si="4"/>
        <v>AR_2019_2x SiOLED</v>
      </c>
    </row>
    <row r="66" spans="3:26">
      <c r="C66" s="17">
        <v>58</v>
      </c>
      <c r="D66" s="109" t="s">
        <v>26</v>
      </c>
      <c r="E66" s="20" t="s">
        <v>8</v>
      </c>
      <c r="F66" s="20" t="s">
        <v>182</v>
      </c>
      <c r="G66" s="21" t="s">
        <v>106</v>
      </c>
      <c r="H66" s="21" t="s">
        <v>107</v>
      </c>
      <c r="I66" s="19" t="s">
        <v>26</v>
      </c>
      <c r="J66" s="19" t="s">
        <v>31</v>
      </c>
      <c r="K66" s="21" t="s">
        <v>15</v>
      </c>
      <c r="L66" s="33" t="str">
        <f t="shared" si="0"/>
        <v>1x LCD</v>
      </c>
      <c r="M66" s="21" t="s">
        <v>36</v>
      </c>
      <c r="N66" s="21" t="s">
        <v>143</v>
      </c>
      <c r="O66" s="27"/>
      <c r="P66" s="20"/>
      <c r="Q66" s="20"/>
      <c r="R66" s="29">
        <f t="shared" si="1"/>
        <v>0</v>
      </c>
      <c r="S66" s="20" t="s">
        <v>36</v>
      </c>
      <c r="T66" s="18">
        <v>43770</v>
      </c>
      <c r="U66" s="20">
        <v>1</v>
      </c>
      <c r="V66" s="120">
        <v>4.1250000000000002E-2</v>
      </c>
      <c r="W66" s="69">
        <f t="shared" si="2"/>
        <v>2.4750000000000001</v>
      </c>
      <c r="X66" s="106">
        <v>60</v>
      </c>
      <c r="Y66" s="72" t="str">
        <f t="shared" si="3"/>
        <v>VR_2019_1x LCD_P1 family</v>
      </c>
      <c r="Z66" s="36" t="str">
        <f t="shared" si="4"/>
        <v>VR_2019_1x LCD</v>
      </c>
    </row>
    <row r="67" spans="3:26">
      <c r="C67" s="17">
        <v>59</v>
      </c>
      <c r="D67" s="109" t="s">
        <v>26</v>
      </c>
      <c r="E67" s="20" t="s">
        <v>8</v>
      </c>
      <c r="F67" s="20" t="s">
        <v>182</v>
      </c>
      <c r="G67" s="21" t="s">
        <v>34</v>
      </c>
      <c r="H67" s="21" t="s">
        <v>35</v>
      </c>
      <c r="I67" s="19" t="s">
        <v>26</v>
      </c>
      <c r="J67" s="19" t="s">
        <v>27</v>
      </c>
      <c r="K67" s="21" t="s">
        <v>15</v>
      </c>
      <c r="L67" s="33" t="str">
        <f t="shared" si="0"/>
        <v>2x LCD</v>
      </c>
      <c r="M67" s="21" t="s">
        <v>36</v>
      </c>
      <c r="N67" s="21" t="s">
        <v>143</v>
      </c>
      <c r="O67" s="27">
        <v>2.89</v>
      </c>
      <c r="P67" s="20">
        <v>2160</v>
      </c>
      <c r="Q67" s="20">
        <v>2160</v>
      </c>
      <c r="R67" s="29">
        <f t="shared" si="1"/>
        <v>1056.990067379199</v>
      </c>
      <c r="S67" s="20">
        <v>90</v>
      </c>
      <c r="T67" s="18">
        <v>43586</v>
      </c>
      <c r="U67" s="20">
        <v>2</v>
      </c>
      <c r="V67" s="120">
        <v>5.5E-2</v>
      </c>
      <c r="W67" s="69">
        <f t="shared" si="2"/>
        <v>2.2000000000000002</v>
      </c>
      <c r="X67" s="106">
        <v>40</v>
      </c>
      <c r="Y67" s="72" t="str">
        <f t="shared" si="3"/>
        <v>VR_2019_2x LCD_Reverb</v>
      </c>
      <c r="Z67" s="36" t="str">
        <f t="shared" si="4"/>
        <v>VR_2019_2x LCD</v>
      </c>
    </row>
    <row r="68" spans="3:26">
      <c r="C68" s="17">
        <v>60</v>
      </c>
      <c r="D68" s="109" t="s">
        <v>26</v>
      </c>
      <c r="E68" s="20" t="s">
        <v>8</v>
      </c>
      <c r="F68" s="20" t="s">
        <v>182</v>
      </c>
      <c r="G68" s="21" t="s">
        <v>34</v>
      </c>
      <c r="H68" s="21" t="s">
        <v>37</v>
      </c>
      <c r="I68" s="19" t="s">
        <v>26</v>
      </c>
      <c r="J68" s="19" t="s">
        <v>27</v>
      </c>
      <c r="K68" s="21" t="s">
        <v>15</v>
      </c>
      <c r="L68" s="33" t="str">
        <f t="shared" si="0"/>
        <v>2x LCD</v>
      </c>
      <c r="M68" s="21" t="s">
        <v>36</v>
      </c>
      <c r="N68" s="21" t="s">
        <v>143</v>
      </c>
      <c r="O68" s="27">
        <v>2.89</v>
      </c>
      <c r="P68" s="20">
        <v>2160</v>
      </c>
      <c r="Q68" s="20">
        <v>2160</v>
      </c>
      <c r="R68" s="29">
        <f t="shared" si="1"/>
        <v>1056.990067379199</v>
      </c>
      <c r="S68" s="20">
        <v>90</v>
      </c>
      <c r="T68" s="18">
        <v>44136</v>
      </c>
      <c r="U68" s="20">
        <v>2</v>
      </c>
      <c r="V68" s="120">
        <v>1.0999999999999999E-2</v>
      </c>
      <c r="W68" s="69">
        <f t="shared" si="2"/>
        <v>0.43999999999999995</v>
      </c>
      <c r="X68" s="106">
        <v>40</v>
      </c>
      <c r="Y68" s="72" t="str">
        <f t="shared" si="3"/>
        <v>VR_2019_2x LCD_Reverb G2</v>
      </c>
      <c r="Z68" s="36" t="str">
        <f t="shared" si="4"/>
        <v>VR_2019_2x LCD</v>
      </c>
    </row>
    <row r="69" spans="3:26">
      <c r="C69" s="17">
        <v>61</v>
      </c>
      <c r="D69" s="109" t="s">
        <v>26</v>
      </c>
      <c r="E69" s="20" t="s">
        <v>8</v>
      </c>
      <c r="F69" s="20" t="s">
        <v>182</v>
      </c>
      <c r="G69" s="21" t="s">
        <v>41</v>
      </c>
      <c r="H69" s="21" t="s">
        <v>178</v>
      </c>
      <c r="I69" s="19" t="s">
        <v>26</v>
      </c>
      <c r="J69" s="19" t="s">
        <v>31</v>
      </c>
      <c r="K69" s="21" t="s">
        <v>15</v>
      </c>
      <c r="L69" s="33" t="str">
        <f t="shared" si="0"/>
        <v>2x LCD</v>
      </c>
      <c r="M69" s="21" t="s">
        <v>2</v>
      </c>
      <c r="N69" s="21" t="s">
        <v>143</v>
      </c>
      <c r="O69" s="27"/>
      <c r="P69" s="20"/>
      <c r="Q69" s="20"/>
      <c r="R69" s="29">
        <f t="shared" si="1"/>
        <v>0</v>
      </c>
      <c r="S69" s="20" t="s">
        <v>36</v>
      </c>
      <c r="T69" s="18">
        <v>43739</v>
      </c>
      <c r="U69" s="20">
        <v>2</v>
      </c>
      <c r="V69" s="120">
        <v>6.875E-3</v>
      </c>
      <c r="W69" s="69">
        <f t="shared" si="2"/>
        <v>0.27500000000000002</v>
      </c>
      <c r="X69" s="106">
        <v>40</v>
      </c>
      <c r="Y69" s="72" t="str">
        <f t="shared" si="3"/>
        <v>VR_2019_2x LCD_Vive LCD headsets</v>
      </c>
      <c r="Z69" s="36" t="str">
        <f t="shared" si="4"/>
        <v>VR_2019_2x LCD</v>
      </c>
    </row>
    <row r="70" spans="3:26">
      <c r="C70" s="17">
        <v>62</v>
      </c>
      <c r="D70" s="109" t="s">
        <v>26</v>
      </c>
      <c r="E70" s="20" t="s">
        <v>8</v>
      </c>
      <c r="F70" s="20" t="s">
        <v>182</v>
      </c>
      <c r="G70" s="21" t="s">
        <v>112</v>
      </c>
      <c r="H70" s="21" t="s">
        <v>32</v>
      </c>
      <c r="I70" s="19" t="s">
        <v>26</v>
      </c>
      <c r="J70" s="19" t="s">
        <v>31</v>
      </c>
      <c r="K70" s="21" t="s">
        <v>15</v>
      </c>
      <c r="L70" s="33" t="str">
        <f t="shared" si="0"/>
        <v>1x LCD</v>
      </c>
      <c r="M70" s="21" t="s">
        <v>2</v>
      </c>
      <c r="N70" s="21" t="s">
        <v>166</v>
      </c>
      <c r="O70" s="27">
        <v>5.5</v>
      </c>
      <c r="P70" s="20">
        <v>3840</v>
      </c>
      <c r="Q70" s="20">
        <v>1832</v>
      </c>
      <c r="R70" s="29">
        <f t="shared" si="1"/>
        <v>773.56797048396322</v>
      </c>
      <c r="S70" s="20">
        <v>90</v>
      </c>
      <c r="T70" s="18">
        <v>44105</v>
      </c>
      <c r="U70" s="20">
        <v>1</v>
      </c>
      <c r="V70" s="120">
        <v>1.100344</v>
      </c>
      <c r="W70" s="69">
        <f t="shared" si="2"/>
        <v>66.02064</v>
      </c>
      <c r="X70" s="106">
        <v>60</v>
      </c>
      <c r="Y70" s="72" t="str">
        <f t="shared" si="3"/>
        <v>VR_2019_1x LCD_Quest 2</v>
      </c>
      <c r="Z70" s="36" t="str">
        <f t="shared" si="4"/>
        <v>VR_2019_1x LCD</v>
      </c>
    </row>
    <row r="71" spans="3:26">
      <c r="C71" s="17">
        <v>63</v>
      </c>
      <c r="D71" s="109" t="s">
        <v>26</v>
      </c>
      <c r="E71" s="20" t="s">
        <v>8</v>
      </c>
      <c r="F71" s="20" t="s">
        <v>182</v>
      </c>
      <c r="G71" s="21" t="s">
        <v>29</v>
      </c>
      <c r="H71" s="21" t="s">
        <v>30</v>
      </c>
      <c r="I71" s="19" t="s">
        <v>26</v>
      </c>
      <c r="J71" s="19" t="s">
        <v>31</v>
      </c>
      <c r="K71" s="21" t="s">
        <v>28</v>
      </c>
      <c r="L71" s="33" t="str">
        <f t="shared" si="0"/>
        <v>2x AMOLED</v>
      </c>
      <c r="M71" s="21" t="s">
        <v>3</v>
      </c>
      <c r="N71" s="21" t="s">
        <v>143</v>
      </c>
      <c r="O71" s="27">
        <v>3.5</v>
      </c>
      <c r="P71" s="20">
        <v>1440</v>
      </c>
      <c r="Q71" s="20">
        <v>1600</v>
      </c>
      <c r="R71" s="29">
        <f t="shared" si="1"/>
        <v>615.02281358051255</v>
      </c>
      <c r="S71" s="20">
        <v>72</v>
      </c>
      <c r="T71" s="18">
        <v>43586</v>
      </c>
      <c r="U71" s="20">
        <v>2</v>
      </c>
      <c r="V71" s="120">
        <v>0.1925</v>
      </c>
      <c r="W71" s="69">
        <f t="shared" si="2"/>
        <v>4.4744079441599993</v>
      </c>
      <c r="X71" s="106">
        <v>23.243677631999997</v>
      </c>
      <c r="Y71" s="72" t="str">
        <f t="shared" si="3"/>
        <v>VR_2019_2x AMOLED_Quest</v>
      </c>
      <c r="Z71" s="36" t="str">
        <f t="shared" si="4"/>
        <v>VR_2019_2x AMOLED</v>
      </c>
    </row>
    <row r="72" spans="3:26">
      <c r="C72" s="17">
        <v>64</v>
      </c>
      <c r="D72" s="109" t="s">
        <v>26</v>
      </c>
      <c r="E72" s="20" t="s">
        <v>8</v>
      </c>
      <c r="F72" s="20" t="s">
        <v>182</v>
      </c>
      <c r="G72" s="21" t="s">
        <v>29</v>
      </c>
      <c r="H72" s="21" t="s">
        <v>33</v>
      </c>
      <c r="I72" s="19" t="s">
        <v>26</v>
      </c>
      <c r="J72" s="19" t="s">
        <v>27</v>
      </c>
      <c r="K72" s="21" t="s">
        <v>15</v>
      </c>
      <c r="L72" s="33" t="str">
        <f t="shared" si="0"/>
        <v>1x LCD</v>
      </c>
      <c r="M72" s="21" t="s">
        <v>2</v>
      </c>
      <c r="N72" s="21" t="s">
        <v>4</v>
      </c>
      <c r="O72" s="27">
        <v>5.46</v>
      </c>
      <c r="P72" s="20">
        <v>2560</v>
      </c>
      <c r="Q72" s="20">
        <v>1440</v>
      </c>
      <c r="R72" s="29">
        <f t="shared" si="1"/>
        <v>537.95046888456613</v>
      </c>
      <c r="S72" s="20">
        <v>80</v>
      </c>
      <c r="T72" s="18">
        <v>43586</v>
      </c>
      <c r="U72" s="20">
        <v>1</v>
      </c>
      <c r="V72" s="120">
        <v>8.2500000000000004E-2</v>
      </c>
      <c r="W72" s="69">
        <f t="shared" si="2"/>
        <v>4.95</v>
      </c>
      <c r="X72" s="106">
        <v>60</v>
      </c>
      <c r="Y72" s="72" t="str">
        <f t="shared" si="3"/>
        <v>VR_2019_1x LCD_Rift S</v>
      </c>
      <c r="Z72" s="36" t="str">
        <f t="shared" si="4"/>
        <v>VR_2019_1x LCD</v>
      </c>
    </row>
    <row r="73" spans="3:26">
      <c r="C73" s="17">
        <v>65</v>
      </c>
      <c r="D73" s="109" t="s">
        <v>26</v>
      </c>
      <c r="E73" s="20" t="s">
        <v>8</v>
      </c>
      <c r="F73" s="20" t="s">
        <v>182</v>
      </c>
      <c r="G73" s="21" t="s">
        <v>108</v>
      </c>
      <c r="H73" s="21" t="s">
        <v>109</v>
      </c>
      <c r="I73" s="19" t="s">
        <v>26</v>
      </c>
      <c r="J73" s="19" t="s">
        <v>27</v>
      </c>
      <c r="K73" s="21" t="s">
        <v>15</v>
      </c>
      <c r="L73" s="33" t="str">
        <f t="shared" ref="L73:L136" si="5">IF(U73=0, "", U73&amp;"x "&amp;K73)</f>
        <v>2x LCD</v>
      </c>
      <c r="M73" s="21" t="s">
        <v>145</v>
      </c>
      <c r="N73" s="21" t="s">
        <v>146</v>
      </c>
      <c r="O73" s="27"/>
      <c r="P73" s="20"/>
      <c r="Q73" s="20"/>
      <c r="R73" s="29">
        <f t="shared" ref="R73:R136" si="6">IF(O73=0, 0, SQRT(Q73^2+P73^2)/O73)</f>
        <v>0</v>
      </c>
      <c r="S73" s="20" t="s">
        <v>36</v>
      </c>
      <c r="T73" s="18" t="s">
        <v>143</v>
      </c>
      <c r="U73" s="20">
        <v>2</v>
      </c>
      <c r="V73" s="120">
        <v>8.2500000000000004E-3</v>
      </c>
      <c r="W73" s="69">
        <f t="shared" ref="W73:W136" si="7">V73*X73</f>
        <v>0.33</v>
      </c>
      <c r="X73" s="106">
        <v>40</v>
      </c>
      <c r="Y73" s="72" t="str">
        <f t="shared" ref="Y73:Y136" si="8">D73&amp;"_"&amp;E73&amp;"_"&amp;L73&amp;"_"&amp;H73</f>
        <v>VR_2019_2x LCD_Pimax VR</v>
      </c>
      <c r="Z73" s="36" t="str">
        <f t="shared" ref="Z73:Z136" si="9">D73&amp;"_"&amp;E73&amp;"_"&amp;L73</f>
        <v>VR_2019_2x LCD</v>
      </c>
    </row>
    <row r="74" spans="3:26">
      <c r="C74" s="17">
        <v>66</v>
      </c>
      <c r="D74" s="109" t="s">
        <v>26</v>
      </c>
      <c r="E74" s="20" t="s">
        <v>8</v>
      </c>
      <c r="F74" s="20" t="s">
        <v>182</v>
      </c>
      <c r="G74" s="21" t="s">
        <v>6</v>
      </c>
      <c r="H74" s="21" t="s">
        <v>25</v>
      </c>
      <c r="I74" s="19" t="s">
        <v>26</v>
      </c>
      <c r="J74" s="19" t="s">
        <v>27</v>
      </c>
      <c r="K74" s="21" t="s">
        <v>28</v>
      </c>
      <c r="L74" s="33" t="str">
        <f t="shared" si="5"/>
        <v>1x AMOLED</v>
      </c>
      <c r="M74" s="21" t="s">
        <v>3</v>
      </c>
      <c r="N74" s="21" t="s">
        <v>143</v>
      </c>
      <c r="O74" s="27">
        <v>5.7</v>
      </c>
      <c r="P74" s="20">
        <v>1920</v>
      </c>
      <c r="Q74" s="20">
        <v>1080</v>
      </c>
      <c r="R74" s="29">
        <f t="shared" si="6"/>
        <v>386.47494211970144</v>
      </c>
      <c r="S74" s="20">
        <v>120</v>
      </c>
      <c r="T74" s="18">
        <v>42644</v>
      </c>
      <c r="U74" s="20">
        <v>1</v>
      </c>
      <c r="V74" s="120">
        <v>0.2</v>
      </c>
      <c r="W74" s="69">
        <f t="shared" si="7"/>
        <v>6.6410507519999999</v>
      </c>
      <c r="X74" s="106">
        <v>33.205253759999998</v>
      </c>
      <c r="Y74" s="72" t="str">
        <f t="shared" si="8"/>
        <v>VR_2019_1x AMOLED_PlayStation VR</v>
      </c>
      <c r="Z74" s="36" t="str">
        <f t="shared" si="9"/>
        <v>VR_2019_1x AMOLED</v>
      </c>
    </row>
    <row r="75" spans="3:26">
      <c r="C75" s="17">
        <v>67</v>
      </c>
      <c r="D75" s="109" t="s">
        <v>26</v>
      </c>
      <c r="E75" s="20" t="s">
        <v>8</v>
      </c>
      <c r="F75" s="20" t="s">
        <v>182</v>
      </c>
      <c r="G75" s="21" t="s">
        <v>97</v>
      </c>
      <c r="H75" s="21" t="s">
        <v>42</v>
      </c>
      <c r="I75" s="19" t="s">
        <v>26</v>
      </c>
      <c r="J75" s="19" t="s">
        <v>36</v>
      </c>
      <c r="K75" s="21" t="s">
        <v>28</v>
      </c>
      <c r="L75" s="33" t="str">
        <f t="shared" si="5"/>
        <v>2x AMOLED</v>
      </c>
      <c r="M75" s="21" t="s">
        <v>36</v>
      </c>
      <c r="N75" s="21" t="s">
        <v>143</v>
      </c>
      <c r="O75" s="27"/>
      <c r="P75" s="20"/>
      <c r="Q75" s="20"/>
      <c r="R75" s="29">
        <f t="shared" si="6"/>
        <v>0</v>
      </c>
      <c r="S75" s="20" t="s">
        <v>36</v>
      </c>
      <c r="T75" s="18" t="s">
        <v>143</v>
      </c>
      <c r="U75" s="20">
        <v>2</v>
      </c>
      <c r="V75" s="120">
        <v>0.3075</v>
      </c>
      <c r="W75" s="69">
        <f t="shared" si="7"/>
        <v>7.1474308718399993</v>
      </c>
      <c r="X75" s="106">
        <v>23.243677631999997</v>
      </c>
      <c r="Y75" s="72" t="str">
        <f t="shared" si="8"/>
        <v>VR_2019_2x AMOLED_OLED VR headset</v>
      </c>
      <c r="Z75" s="36" t="str">
        <f t="shared" si="9"/>
        <v>VR_2019_2x AMOLED</v>
      </c>
    </row>
    <row r="76" spans="3:26">
      <c r="C76" s="17">
        <v>68</v>
      </c>
      <c r="D76" s="109" t="s">
        <v>26</v>
      </c>
      <c r="E76" s="20" t="s">
        <v>8</v>
      </c>
      <c r="F76" s="20" t="s">
        <v>182</v>
      </c>
      <c r="G76" s="21" t="s">
        <v>97</v>
      </c>
      <c r="H76" s="21" t="s">
        <v>161</v>
      </c>
      <c r="I76" s="19" t="s">
        <v>26</v>
      </c>
      <c r="J76" s="19" t="s">
        <v>36</v>
      </c>
      <c r="K76" s="21" t="s">
        <v>15</v>
      </c>
      <c r="L76" s="33" t="str">
        <f t="shared" si="5"/>
        <v>1x LCD</v>
      </c>
      <c r="M76" s="21" t="s">
        <v>36</v>
      </c>
      <c r="N76" s="21" t="s">
        <v>143</v>
      </c>
      <c r="O76" s="27"/>
      <c r="P76" s="20"/>
      <c r="Q76" s="20"/>
      <c r="R76" s="29">
        <f t="shared" si="6"/>
        <v>0</v>
      </c>
      <c r="S76" s="20" t="s">
        <v>36</v>
      </c>
      <c r="T76" s="18" t="s">
        <v>143</v>
      </c>
      <c r="U76" s="20">
        <v>1</v>
      </c>
      <c r="V76" s="120">
        <v>0.44</v>
      </c>
      <c r="W76" s="69">
        <f t="shared" si="7"/>
        <v>26.4</v>
      </c>
      <c r="X76" s="106">
        <v>60</v>
      </c>
      <c r="Y76" s="72" t="str">
        <f t="shared" si="8"/>
        <v>VR_2019_1x LCD_Single LCD VR headset</v>
      </c>
      <c r="Z76" s="36" t="str">
        <f t="shared" si="9"/>
        <v>VR_2019_1x LCD</v>
      </c>
    </row>
    <row r="77" spans="3:26">
      <c r="C77" s="17">
        <v>69</v>
      </c>
      <c r="D77" s="109" t="s">
        <v>26</v>
      </c>
      <c r="E77" s="20" t="s">
        <v>8</v>
      </c>
      <c r="F77" s="20" t="s">
        <v>182</v>
      </c>
      <c r="G77" s="21" t="s">
        <v>38</v>
      </c>
      <c r="H77" s="21" t="s">
        <v>39</v>
      </c>
      <c r="I77" s="19" t="s">
        <v>26</v>
      </c>
      <c r="J77" s="19" t="s">
        <v>27</v>
      </c>
      <c r="K77" s="21" t="s">
        <v>15</v>
      </c>
      <c r="L77" s="33" t="str">
        <f t="shared" si="5"/>
        <v>2x LCD</v>
      </c>
      <c r="M77" s="21" t="s">
        <v>40</v>
      </c>
      <c r="N77" s="21" t="s">
        <v>143</v>
      </c>
      <c r="O77" s="27">
        <v>3.5</v>
      </c>
      <c r="P77" s="20">
        <v>1440</v>
      </c>
      <c r="Q77" s="20">
        <v>1600</v>
      </c>
      <c r="R77" s="29">
        <f t="shared" si="6"/>
        <v>615.02281358051255</v>
      </c>
      <c r="S77" s="20">
        <v>144</v>
      </c>
      <c r="T77" s="18">
        <v>43586</v>
      </c>
      <c r="U77" s="20">
        <v>2</v>
      </c>
      <c r="V77" s="120">
        <v>8.2500000000000004E-2</v>
      </c>
      <c r="W77" s="69">
        <f t="shared" si="7"/>
        <v>3.3000000000000003</v>
      </c>
      <c r="X77" s="106">
        <v>40</v>
      </c>
      <c r="Y77" s="72" t="str">
        <f t="shared" si="8"/>
        <v>VR_2019_2x LCD_Index</v>
      </c>
      <c r="Z77" s="36" t="str">
        <f t="shared" si="9"/>
        <v>VR_2019_2x LCD</v>
      </c>
    </row>
    <row r="78" spans="3:26">
      <c r="C78" s="17">
        <v>70</v>
      </c>
      <c r="D78" s="109" t="s">
        <v>129</v>
      </c>
      <c r="E78" s="20" t="s">
        <v>8</v>
      </c>
      <c r="F78" s="20" t="s">
        <v>182</v>
      </c>
      <c r="G78" s="21" t="s">
        <v>73</v>
      </c>
      <c r="H78" s="21" t="s">
        <v>74</v>
      </c>
      <c r="I78" s="19" t="s">
        <v>63</v>
      </c>
      <c r="J78" s="19" t="s">
        <v>31</v>
      </c>
      <c r="K78" s="21" t="s">
        <v>51</v>
      </c>
      <c r="L78" s="33" t="str">
        <f t="shared" si="5"/>
        <v>2x SiOLED</v>
      </c>
      <c r="M78" s="21" t="s">
        <v>73</v>
      </c>
      <c r="N78" s="21"/>
      <c r="O78" s="27">
        <v>0.43</v>
      </c>
      <c r="P78" s="20">
        <v>1280</v>
      </c>
      <c r="Q78" s="20">
        <v>720</v>
      </c>
      <c r="R78" s="29">
        <f t="shared" si="6"/>
        <v>3415.3599536159668</v>
      </c>
      <c r="S78" s="20" t="s">
        <v>36</v>
      </c>
      <c r="T78" s="18">
        <v>42401</v>
      </c>
      <c r="U78" s="20">
        <v>2</v>
      </c>
      <c r="V78" s="120">
        <v>3.3000000000000002E-2</v>
      </c>
      <c r="W78" s="69">
        <f t="shared" si="7"/>
        <v>2.9039999999999999</v>
      </c>
      <c r="X78" s="106">
        <v>88</v>
      </c>
      <c r="Y78" s="72" t="str">
        <f t="shared" si="8"/>
        <v>AR_2019_2x SiOLED_Moverio</v>
      </c>
      <c r="Z78" s="36" t="str">
        <f t="shared" si="9"/>
        <v>AR_2019_2x SiOLED</v>
      </c>
    </row>
    <row r="79" spans="3:26">
      <c r="C79" s="17">
        <v>71</v>
      </c>
      <c r="D79" s="109" t="s">
        <v>129</v>
      </c>
      <c r="E79" s="20" t="s">
        <v>8</v>
      </c>
      <c r="F79" s="20" t="s">
        <v>182</v>
      </c>
      <c r="G79" s="21" t="s">
        <v>71</v>
      </c>
      <c r="H79" s="21" t="s">
        <v>130</v>
      </c>
      <c r="I79" s="19" t="s">
        <v>63</v>
      </c>
      <c r="J79" s="19" t="s">
        <v>31</v>
      </c>
      <c r="K79" s="21" t="s">
        <v>168</v>
      </c>
      <c r="L79" s="33" t="str">
        <f t="shared" si="5"/>
        <v>1x Micro LCD</v>
      </c>
      <c r="M79" s="21" t="s">
        <v>72</v>
      </c>
      <c r="N79" s="21"/>
      <c r="O79" s="27"/>
      <c r="P79" s="20">
        <v>640</v>
      </c>
      <c r="Q79" s="20">
        <v>360</v>
      </c>
      <c r="R79" s="29">
        <f t="shared" si="6"/>
        <v>0</v>
      </c>
      <c r="S79" s="20" t="s">
        <v>36</v>
      </c>
      <c r="T79" s="18">
        <v>43586</v>
      </c>
      <c r="U79" s="20">
        <v>1</v>
      </c>
      <c r="V79" s="120">
        <v>1.0999999999999999E-2</v>
      </c>
      <c r="W79" s="69">
        <f t="shared" si="7"/>
        <v>0.46199999999999997</v>
      </c>
      <c r="X79" s="106">
        <v>42</v>
      </c>
      <c r="Y79" s="72" t="str">
        <f t="shared" si="8"/>
        <v>AR_2019_1x Micro LCD_Glass</v>
      </c>
      <c r="Z79" s="36" t="str">
        <f t="shared" si="9"/>
        <v>AR_2019_1x Micro LCD</v>
      </c>
    </row>
    <row r="80" spans="3:26">
      <c r="C80" s="17">
        <v>72</v>
      </c>
      <c r="D80" s="109" t="s">
        <v>129</v>
      </c>
      <c r="E80" s="20" t="s">
        <v>8</v>
      </c>
      <c r="F80" s="20" t="s">
        <v>182</v>
      </c>
      <c r="G80" s="21" t="s">
        <v>65</v>
      </c>
      <c r="H80" s="21" t="s">
        <v>66</v>
      </c>
      <c r="I80" s="19" t="s">
        <v>63</v>
      </c>
      <c r="J80" s="19" t="s">
        <v>31</v>
      </c>
      <c r="K80" s="21" t="s">
        <v>67</v>
      </c>
      <c r="L80" s="33" t="str">
        <f t="shared" si="5"/>
        <v>2x LCoS</v>
      </c>
      <c r="M80" s="21" t="s">
        <v>36</v>
      </c>
      <c r="N80" s="21"/>
      <c r="O80" s="27"/>
      <c r="P80" s="20">
        <v>1280</v>
      </c>
      <c r="Q80" s="20">
        <v>960</v>
      </c>
      <c r="R80" s="29">
        <f t="shared" si="6"/>
        <v>0</v>
      </c>
      <c r="S80" s="20">
        <v>120</v>
      </c>
      <c r="T80" s="18">
        <v>43313</v>
      </c>
      <c r="U80" s="20">
        <v>2</v>
      </c>
      <c r="V80" s="120">
        <v>2.4750000000000002E-3</v>
      </c>
      <c r="W80" s="69">
        <f t="shared" si="7"/>
        <v>0.11385000000000001</v>
      </c>
      <c r="X80" s="106">
        <v>46</v>
      </c>
      <c r="Y80" s="72" t="str">
        <f t="shared" si="8"/>
        <v>AR_2019_2x LCoS_ML One</v>
      </c>
      <c r="Z80" s="36" t="str">
        <f t="shared" si="9"/>
        <v>AR_2019_2x LCoS</v>
      </c>
    </row>
    <row r="81" spans="3:26">
      <c r="C81" s="17">
        <v>73</v>
      </c>
      <c r="D81" s="109" t="s">
        <v>129</v>
      </c>
      <c r="E81" s="20" t="s">
        <v>8</v>
      </c>
      <c r="F81" s="20" t="s">
        <v>182</v>
      </c>
      <c r="G81" s="21" t="s">
        <v>61</v>
      </c>
      <c r="H81" s="21" t="s">
        <v>62</v>
      </c>
      <c r="I81" s="19" t="s">
        <v>63</v>
      </c>
      <c r="J81" s="19" t="s">
        <v>31</v>
      </c>
      <c r="K81" s="21" t="s">
        <v>64</v>
      </c>
      <c r="L81" s="33" t="str">
        <f t="shared" si="5"/>
        <v>2x LBS</v>
      </c>
      <c r="M81" s="21" t="s">
        <v>36</v>
      </c>
      <c r="N81" s="21"/>
      <c r="O81" s="27"/>
      <c r="P81" s="20"/>
      <c r="Q81" s="20"/>
      <c r="R81" s="29">
        <f t="shared" si="6"/>
        <v>0</v>
      </c>
      <c r="S81" s="20" t="s">
        <v>36</v>
      </c>
      <c r="T81" s="18">
        <v>43770</v>
      </c>
      <c r="U81" s="20">
        <v>2</v>
      </c>
      <c r="V81" s="120">
        <v>4.3999999999999997E-2</v>
      </c>
      <c r="W81" s="69">
        <f t="shared" si="7"/>
        <v>4.9279999999999999</v>
      </c>
      <c r="X81" s="106">
        <v>112</v>
      </c>
      <c r="Y81" s="72" t="str">
        <f t="shared" si="8"/>
        <v>AR_2019_2x LBS_HoloLens 2</v>
      </c>
      <c r="Z81" s="36" t="str">
        <f t="shared" si="9"/>
        <v>AR_2019_2x LBS</v>
      </c>
    </row>
    <row r="82" spans="3:26">
      <c r="C82" s="17">
        <v>74</v>
      </c>
      <c r="D82" s="109" t="s">
        <v>129</v>
      </c>
      <c r="E82" s="20" t="s">
        <v>8</v>
      </c>
      <c r="F82" s="20" t="s">
        <v>182</v>
      </c>
      <c r="G82" s="21" t="s">
        <v>186</v>
      </c>
      <c r="H82" s="21" t="s">
        <v>187</v>
      </c>
      <c r="I82" s="19" t="s">
        <v>63</v>
      </c>
      <c r="J82" s="19" t="s">
        <v>27</v>
      </c>
      <c r="K82" s="21" t="s">
        <v>51</v>
      </c>
      <c r="L82" s="33" t="str">
        <f t="shared" si="5"/>
        <v>2x SiOLED</v>
      </c>
      <c r="M82" s="21" t="s">
        <v>145</v>
      </c>
      <c r="N82" s="21"/>
      <c r="O82" s="27">
        <v>0.71</v>
      </c>
      <c r="P82" s="20">
        <v>1920</v>
      </c>
      <c r="Q82" s="20">
        <v>1080</v>
      </c>
      <c r="R82" s="29">
        <f t="shared" si="6"/>
        <v>3102.6861550454905</v>
      </c>
      <c r="S82" s="20">
        <v>90</v>
      </c>
      <c r="T82" s="18">
        <v>44044</v>
      </c>
      <c r="U82" s="20">
        <v>2</v>
      </c>
      <c r="V82" s="120">
        <v>2.7499999999999998E-3</v>
      </c>
      <c r="W82" s="69">
        <f t="shared" si="7"/>
        <v>0.24199999999999999</v>
      </c>
      <c r="X82" s="106">
        <v>88</v>
      </c>
      <c r="Y82" s="72" t="str">
        <f t="shared" si="8"/>
        <v>AR_2019_2x SiOLED_Light</v>
      </c>
      <c r="Z82" s="36" t="str">
        <f t="shared" si="9"/>
        <v>AR_2019_2x SiOLED</v>
      </c>
    </row>
    <row r="83" spans="3:26">
      <c r="C83" s="17">
        <v>75</v>
      </c>
      <c r="D83" s="109" t="s">
        <v>129</v>
      </c>
      <c r="E83" s="20" t="s">
        <v>8</v>
      </c>
      <c r="F83" s="20" t="s">
        <v>182</v>
      </c>
      <c r="G83" s="21" t="s">
        <v>68</v>
      </c>
      <c r="H83" s="21" t="s">
        <v>69</v>
      </c>
      <c r="I83" s="19" t="s">
        <v>63</v>
      </c>
      <c r="J83" s="19" t="s">
        <v>31</v>
      </c>
      <c r="K83" s="21" t="s">
        <v>70</v>
      </c>
      <c r="L83" s="33" t="str">
        <f t="shared" si="5"/>
        <v>1x DLP</v>
      </c>
      <c r="M83" s="21" t="s">
        <v>172</v>
      </c>
      <c r="N83" s="21"/>
      <c r="O83" s="27"/>
      <c r="P83" s="20">
        <v>853</v>
      </c>
      <c r="Q83" s="20">
        <v>480</v>
      </c>
      <c r="R83" s="29">
        <f t="shared" si="6"/>
        <v>0</v>
      </c>
      <c r="S83" s="20" t="s">
        <v>36</v>
      </c>
      <c r="T83" s="18">
        <v>43466</v>
      </c>
      <c r="U83" s="20">
        <v>1</v>
      </c>
      <c r="V83" s="120">
        <v>9.6299999999999999E-4</v>
      </c>
      <c r="W83" s="69">
        <f t="shared" si="7"/>
        <v>7.9929E-2</v>
      </c>
      <c r="X83" s="106">
        <v>83</v>
      </c>
      <c r="Y83" s="72" t="str">
        <f t="shared" si="8"/>
        <v>AR_2019_1x DLP_Blade</v>
      </c>
      <c r="Z83" s="36" t="str">
        <f t="shared" si="9"/>
        <v>AR_2019_1x DLP</v>
      </c>
    </row>
    <row r="84" spans="3:26">
      <c r="C84" s="17">
        <v>76</v>
      </c>
      <c r="D84" s="109" t="s">
        <v>129</v>
      </c>
      <c r="E84" s="20" t="s">
        <v>8</v>
      </c>
      <c r="F84" s="20" t="s">
        <v>182</v>
      </c>
      <c r="G84" s="21" t="s">
        <v>97</v>
      </c>
      <c r="H84" s="21" t="s">
        <v>75</v>
      </c>
      <c r="I84" s="19" t="s">
        <v>63</v>
      </c>
      <c r="J84" s="19" t="s">
        <v>36</v>
      </c>
      <c r="K84" s="21" t="s">
        <v>67</v>
      </c>
      <c r="L84" s="33" t="str">
        <f t="shared" si="5"/>
        <v>2x LCoS</v>
      </c>
      <c r="M84" s="21" t="s">
        <v>36</v>
      </c>
      <c r="N84" s="21"/>
      <c r="O84" s="27"/>
      <c r="P84" s="20"/>
      <c r="Q84" s="20"/>
      <c r="R84" s="29">
        <f t="shared" si="6"/>
        <v>0</v>
      </c>
      <c r="S84" s="20" t="s">
        <v>36</v>
      </c>
      <c r="T84" s="18" t="s">
        <v>143</v>
      </c>
      <c r="U84" s="20">
        <v>2</v>
      </c>
      <c r="V84" s="120">
        <v>2.7499999999999998E-3</v>
      </c>
      <c r="W84" s="69">
        <f t="shared" si="7"/>
        <v>0.1265</v>
      </c>
      <c r="X84" s="106">
        <v>46</v>
      </c>
      <c r="Y84" s="72" t="str">
        <f t="shared" si="8"/>
        <v>AR_2019_2x LCoS_LCoS glasses</v>
      </c>
      <c r="Z84" s="36" t="str">
        <f t="shared" si="9"/>
        <v>AR_2019_2x LCoS</v>
      </c>
    </row>
    <row r="85" spans="3:26">
      <c r="C85" s="17">
        <v>77</v>
      </c>
      <c r="D85" s="109" t="s">
        <v>129</v>
      </c>
      <c r="E85" s="20" t="s">
        <v>8</v>
      </c>
      <c r="F85" s="20" t="s">
        <v>182</v>
      </c>
      <c r="G85" s="21" t="s">
        <v>97</v>
      </c>
      <c r="H85" s="21" t="s">
        <v>79</v>
      </c>
      <c r="I85" s="19" t="s">
        <v>63</v>
      </c>
      <c r="J85" s="19" t="s">
        <v>36</v>
      </c>
      <c r="K85" s="21" t="s">
        <v>51</v>
      </c>
      <c r="L85" s="33" t="str">
        <f t="shared" si="5"/>
        <v>2x SiOLED</v>
      </c>
      <c r="M85" s="21" t="s">
        <v>36</v>
      </c>
      <c r="N85" s="21"/>
      <c r="O85" s="27"/>
      <c r="P85" s="20"/>
      <c r="Q85" s="20"/>
      <c r="R85" s="29">
        <f t="shared" si="6"/>
        <v>0</v>
      </c>
      <c r="S85" s="20" t="s">
        <v>36</v>
      </c>
      <c r="T85" s="18" t="s">
        <v>143</v>
      </c>
      <c r="U85" s="20">
        <v>2</v>
      </c>
      <c r="V85" s="120">
        <v>1.1000000000000001E-3</v>
      </c>
      <c r="W85" s="69">
        <f t="shared" si="7"/>
        <v>9.6800000000000011E-2</v>
      </c>
      <c r="X85" s="106">
        <v>88</v>
      </c>
      <c r="Y85" s="72" t="str">
        <f t="shared" si="8"/>
        <v>AR_2019_2x SiOLED_SiOLED glasses</v>
      </c>
      <c r="Z85" s="36" t="str">
        <f t="shared" si="9"/>
        <v>AR_2019_2x SiOLED</v>
      </c>
    </row>
    <row r="86" spans="3:26">
      <c r="C86" s="17">
        <v>78</v>
      </c>
      <c r="D86" s="109" t="s">
        <v>26</v>
      </c>
      <c r="E86" s="20" t="s">
        <v>9</v>
      </c>
      <c r="F86" s="20" t="s">
        <v>176</v>
      </c>
      <c r="G86" s="21" t="s">
        <v>106</v>
      </c>
      <c r="H86" s="21" t="s">
        <v>107</v>
      </c>
      <c r="I86" s="19" t="s">
        <v>26</v>
      </c>
      <c r="J86" s="19" t="s">
        <v>31</v>
      </c>
      <c r="K86" s="21" t="s">
        <v>15</v>
      </c>
      <c r="L86" s="33" t="str">
        <f t="shared" si="5"/>
        <v>1x LCD</v>
      </c>
      <c r="M86" s="21" t="s">
        <v>36</v>
      </c>
      <c r="N86" s="21" t="s">
        <v>143</v>
      </c>
      <c r="O86" s="27"/>
      <c r="P86" s="20"/>
      <c r="Q86" s="20"/>
      <c r="R86" s="29">
        <f t="shared" si="6"/>
        <v>0</v>
      </c>
      <c r="S86" s="20" t="s">
        <v>36</v>
      </c>
      <c r="T86" s="18">
        <v>43770</v>
      </c>
      <c r="U86" s="20">
        <v>1</v>
      </c>
      <c r="V86" s="120">
        <v>0.12375</v>
      </c>
      <c r="W86" s="69">
        <f t="shared" si="7"/>
        <v>7.2764999999999995</v>
      </c>
      <c r="X86" s="106">
        <v>58.8</v>
      </c>
      <c r="Y86" s="72" t="str">
        <f t="shared" si="8"/>
        <v>VR_2020_1x LCD_P1 family</v>
      </c>
      <c r="Z86" s="36" t="str">
        <f t="shared" si="9"/>
        <v>VR_2020_1x LCD</v>
      </c>
    </row>
    <row r="87" spans="3:26">
      <c r="C87" s="17">
        <v>79</v>
      </c>
      <c r="D87" s="109" t="s">
        <v>26</v>
      </c>
      <c r="E87" s="20" t="s">
        <v>9</v>
      </c>
      <c r="F87" s="20" t="s">
        <v>176</v>
      </c>
      <c r="G87" s="21" t="s">
        <v>34</v>
      </c>
      <c r="H87" s="21" t="s">
        <v>35</v>
      </c>
      <c r="I87" s="19" t="s">
        <v>26</v>
      </c>
      <c r="J87" s="19" t="s">
        <v>27</v>
      </c>
      <c r="K87" s="21" t="s">
        <v>15</v>
      </c>
      <c r="L87" s="33" t="str">
        <f t="shared" si="5"/>
        <v>2x LCD</v>
      </c>
      <c r="M87" s="21" t="s">
        <v>36</v>
      </c>
      <c r="N87" s="21" t="s">
        <v>143</v>
      </c>
      <c r="O87" s="27">
        <v>2.89</v>
      </c>
      <c r="P87" s="20">
        <v>2160</v>
      </c>
      <c r="Q87" s="20">
        <v>2160</v>
      </c>
      <c r="R87" s="29">
        <f t="shared" si="6"/>
        <v>1056.990067379199</v>
      </c>
      <c r="S87" s="20">
        <v>90</v>
      </c>
      <c r="T87" s="18">
        <v>43586</v>
      </c>
      <c r="U87" s="20">
        <v>2</v>
      </c>
      <c r="V87" s="120">
        <v>2.75E-2</v>
      </c>
      <c r="W87" s="69">
        <f t="shared" si="7"/>
        <v>1.0780000000000001</v>
      </c>
      <c r="X87" s="106">
        <v>39.200000000000003</v>
      </c>
      <c r="Y87" s="72" t="str">
        <f t="shared" si="8"/>
        <v>VR_2020_2x LCD_Reverb</v>
      </c>
      <c r="Z87" s="36" t="str">
        <f t="shared" si="9"/>
        <v>VR_2020_2x LCD</v>
      </c>
    </row>
    <row r="88" spans="3:26">
      <c r="C88" s="17">
        <v>80</v>
      </c>
      <c r="D88" s="109" t="s">
        <v>26</v>
      </c>
      <c r="E88" s="20" t="s">
        <v>9</v>
      </c>
      <c r="F88" s="20" t="s">
        <v>176</v>
      </c>
      <c r="G88" s="21" t="s">
        <v>34</v>
      </c>
      <c r="H88" s="21" t="s">
        <v>37</v>
      </c>
      <c r="I88" s="19" t="s">
        <v>26</v>
      </c>
      <c r="J88" s="19" t="s">
        <v>27</v>
      </c>
      <c r="K88" s="21" t="s">
        <v>15</v>
      </c>
      <c r="L88" s="33" t="str">
        <f t="shared" si="5"/>
        <v>2x LCD</v>
      </c>
      <c r="M88" s="21" t="s">
        <v>36</v>
      </c>
      <c r="N88" s="21" t="s">
        <v>143</v>
      </c>
      <c r="O88" s="27">
        <v>2.89</v>
      </c>
      <c r="P88" s="20">
        <v>2160</v>
      </c>
      <c r="Q88" s="20">
        <v>2160</v>
      </c>
      <c r="R88" s="29">
        <f t="shared" si="6"/>
        <v>1056.990067379199</v>
      </c>
      <c r="S88" s="20">
        <v>90</v>
      </c>
      <c r="T88" s="18">
        <v>44136</v>
      </c>
      <c r="U88" s="20">
        <v>2</v>
      </c>
      <c r="V88" s="120">
        <v>1.375E-2</v>
      </c>
      <c r="W88" s="69">
        <f t="shared" si="7"/>
        <v>0.53900000000000003</v>
      </c>
      <c r="X88" s="106">
        <v>39.200000000000003</v>
      </c>
      <c r="Y88" s="72" t="str">
        <f t="shared" si="8"/>
        <v>VR_2020_2x LCD_Reverb G2</v>
      </c>
      <c r="Z88" s="36" t="str">
        <f t="shared" si="9"/>
        <v>VR_2020_2x LCD</v>
      </c>
    </row>
    <row r="89" spans="3:26">
      <c r="C89" s="17">
        <v>81</v>
      </c>
      <c r="D89" s="109" t="s">
        <v>26</v>
      </c>
      <c r="E89" s="20" t="s">
        <v>9</v>
      </c>
      <c r="F89" s="20" t="s">
        <v>176</v>
      </c>
      <c r="G89" s="21" t="s">
        <v>41</v>
      </c>
      <c r="H89" s="21" t="s">
        <v>178</v>
      </c>
      <c r="I89" s="19" t="s">
        <v>26</v>
      </c>
      <c r="J89" s="19" t="s">
        <v>31</v>
      </c>
      <c r="K89" s="21" t="s">
        <v>15</v>
      </c>
      <c r="L89" s="33" t="str">
        <f t="shared" si="5"/>
        <v>2x LCD</v>
      </c>
      <c r="M89" s="21" t="s">
        <v>2</v>
      </c>
      <c r="N89" s="21" t="s">
        <v>143</v>
      </c>
      <c r="O89" s="27"/>
      <c r="P89" s="20"/>
      <c r="Q89" s="20"/>
      <c r="R89" s="29">
        <f t="shared" si="6"/>
        <v>0</v>
      </c>
      <c r="S89" s="20" t="s">
        <v>36</v>
      </c>
      <c r="T89" s="18">
        <v>43739</v>
      </c>
      <c r="U89" s="20">
        <v>2</v>
      </c>
      <c r="V89" s="120">
        <v>1.0999999999999999E-2</v>
      </c>
      <c r="W89" s="69">
        <f t="shared" si="7"/>
        <v>0.43120000000000003</v>
      </c>
      <c r="X89" s="106">
        <v>39.200000000000003</v>
      </c>
      <c r="Y89" s="72" t="str">
        <f t="shared" si="8"/>
        <v>VR_2020_2x LCD_Vive LCD headsets</v>
      </c>
      <c r="Z89" s="36" t="str">
        <f t="shared" si="9"/>
        <v>VR_2020_2x LCD</v>
      </c>
    </row>
    <row r="90" spans="3:26">
      <c r="C90" s="17">
        <v>82</v>
      </c>
      <c r="D90" s="109" t="s">
        <v>26</v>
      </c>
      <c r="E90" s="20" t="s">
        <v>9</v>
      </c>
      <c r="F90" s="20" t="s">
        <v>176</v>
      </c>
      <c r="G90" s="21" t="s">
        <v>112</v>
      </c>
      <c r="H90" s="21" t="s">
        <v>32</v>
      </c>
      <c r="I90" s="19" t="s">
        <v>26</v>
      </c>
      <c r="J90" s="19" t="s">
        <v>31</v>
      </c>
      <c r="K90" s="21" t="s">
        <v>15</v>
      </c>
      <c r="L90" s="33" t="str">
        <f t="shared" si="5"/>
        <v>1x LCD</v>
      </c>
      <c r="M90" s="21" t="s">
        <v>2</v>
      </c>
      <c r="N90" s="21" t="s">
        <v>166</v>
      </c>
      <c r="O90" s="27">
        <v>5.5</v>
      </c>
      <c r="P90" s="20">
        <v>3840</v>
      </c>
      <c r="Q90" s="20">
        <v>1832</v>
      </c>
      <c r="R90" s="29">
        <f t="shared" si="6"/>
        <v>773.56797048396322</v>
      </c>
      <c r="S90" s="20">
        <v>90</v>
      </c>
      <c r="T90" s="18">
        <v>44105</v>
      </c>
      <c r="U90" s="20">
        <v>1</v>
      </c>
      <c r="V90" s="120">
        <v>1.5125</v>
      </c>
      <c r="W90" s="69">
        <f t="shared" si="7"/>
        <v>88.934999999999988</v>
      </c>
      <c r="X90" s="106">
        <v>58.8</v>
      </c>
      <c r="Y90" s="72" t="str">
        <f t="shared" si="8"/>
        <v>VR_2020_1x LCD_Quest 2</v>
      </c>
      <c r="Z90" s="36" t="str">
        <f t="shared" si="9"/>
        <v>VR_2020_1x LCD</v>
      </c>
    </row>
    <row r="91" spans="3:26">
      <c r="C91" s="17">
        <v>83</v>
      </c>
      <c r="D91" s="109" t="s">
        <v>26</v>
      </c>
      <c r="E91" s="20" t="s">
        <v>9</v>
      </c>
      <c r="F91" s="20" t="s">
        <v>176</v>
      </c>
      <c r="G91" s="21" t="s">
        <v>29</v>
      </c>
      <c r="H91" s="21" t="s">
        <v>30</v>
      </c>
      <c r="I91" s="19" t="s">
        <v>26</v>
      </c>
      <c r="J91" s="19" t="s">
        <v>31</v>
      </c>
      <c r="K91" s="21" t="s">
        <v>28</v>
      </c>
      <c r="L91" s="33" t="str">
        <f t="shared" si="5"/>
        <v>2x AMOLED</v>
      </c>
      <c r="M91" s="21" t="s">
        <v>3</v>
      </c>
      <c r="N91" s="21" t="s">
        <v>143</v>
      </c>
      <c r="O91" s="27">
        <v>3.5</v>
      </c>
      <c r="P91" s="20">
        <v>1440</v>
      </c>
      <c r="Q91" s="20">
        <v>1600</v>
      </c>
      <c r="R91" s="29">
        <f t="shared" si="6"/>
        <v>615.02281358051255</v>
      </c>
      <c r="S91" s="20">
        <v>72</v>
      </c>
      <c r="T91" s="18">
        <v>43586</v>
      </c>
      <c r="U91" s="20">
        <v>2</v>
      </c>
      <c r="V91" s="120">
        <v>8.2500000000000004E-2</v>
      </c>
      <c r="W91" s="69">
        <f t="shared" si="7"/>
        <v>1.8792513365471999</v>
      </c>
      <c r="X91" s="106">
        <v>22.778804079359997</v>
      </c>
      <c r="Y91" s="72" t="str">
        <f t="shared" si="8"/>
        <v>VR_2020_2x AMOLED_Quest</v>
      </c>
      <c r="Z91" s="36" t="str">
        <f t="shared" si="9"/>
        <v>VR_2020_2x AMOLED</v>
      </c>
    </row>
    <row r="92" spans="3:26">
      <c r="C92" s="17">
        <v>84</v>
      </c>
      <c r="D92" s="109" t="s">
        <v>26</v>
      </c>
      <c r="E92" s="20" t="s">
        <v>9</v>
      </c>
      <c r="F92" s="20" t="s">
        <v>176</v>
      </c>
      <c r="G92" s="21" t="s">
        <v>29</v>
      </c>
      <c r="H92" s="21" t="s">
        <v>33</v>
      </c>
      <c r="I92" s="19" t="s">
        <v>26</v>
      </c>
      <c r="J92" s="19" t="s">
        <v>27</v>
      </c>
      <c r="K92" s="21" t="s">
        <v>15</v>
      </c>
      <c r="L92" s="33" t="str">
        <f t="shared" si="5"/>
        <v>1x LCD</v>
      </c>
      <c r="M92" s="21" t="s">
        <v>2</v>
      </c>
      <c r="N92" s="21" t="s">
        <v>4</v>
      </c>
      <c r="O92" s="27">
        <v>5.46</v>
      </c>
      <c r="P92" s="20">
        <v>2560</v>
      </c>
      <c r="Q92" s="20">
        <v>1440</v>
      </c>
      <c r="R92" s="29">
        <f t="shared" si="6"/>
        <v>537.95046888456613</v>
      </c>
      <c r="S92" s="20">
        <v>80</v>
      </c>
      <c r="T92" s="18">
        <v>43586</v>
      </c>
      <c r="U92" s="20">
        <v>1</v>
      </c>
      <c r="V92" s="120">
        <v>3.4375000000000003E-2</v>
      </c>
      <c r="W92" s="69">
        <f t="shared" si="7"/>
        <v>2.0212500000000002</v>
      </c>
      <c r="X92" s="106">
        <v>58.8</v>
      </c>
      <c r="Y92" s="72" t="str">
        <f t="shared" si="8"/>
        <v>VR_2020_1x LCD_Rift S</v>
      </c>
      <c r="Z92" s="36" t="str">
        <f t="shared" si="9"/>
        <v>VR_2020_1x LCD</v>
      </c>
    </row>
    <row r="93" spans="3:26">
      <c r="C93" s="17">
        <v>85</v>
      </c>
      <c r="D93" s="109" t="s">
        <v>26</v>
      </c>
      <c r="E93" s="20" t="s">
        <v>9</v>
      </c>
      <c r="F93" s="20" t="s">
        <v>176</v>
      </c>
      <c r="G93" s="21" t="s">
        <v>110</v>
      </c>
      <c r="H93" s="21" t="s">
        <v>162</v>
      </c>
      <c r="I93" s="19" t="s">
        <v>26</v>
      </c>
      <c r="J93" s="19" t="s">
        <v>31</v>
      </c>
      <c r="K93" s="21" t="s">
        <v>15</v>
      </c>
      <c r="L93" s="33" t="str">
        <f t="shared" si="5"/>
        <v>1x LCD</v>
      </c>
      <c r="M93" s="21" t="s">
        <v>2</v>
      </c>
      <c r="N93" s="21" t="s">
        <v>146</v>
      </c>
      <c r="O93" s="27">
        <v>5.5</v>
      </c>
      <c r="P93" s="20">
        <v>3840</v>
      </c>
      <c r="Q93" s="20">
        <v>1832</v>
      </c>
      <c r="R93" s="29">
        <f t="shared" si="6"/>
        <v>773.56797048396322</v>
      </c>
      <c r="S93" s="20">
        <v>90</v>
      </c>
      <c r="T93" s="18">
        <v>44317</v>
      </c>
      <c r="U93" s="20">
        <v>1</v>
      </c>
      <c r="V93" s="120">
        <v>1.7874999999999999E-2</v>
      </c>
      <c r="W93" s="69">
        <f t="shared" si="7"/>
        <v>1.0510499999999998</v>
      </c>
      <c r="X93" s="106">
        <v>58.8</v>
      </c>
      <c r="Y93" s="72" t="str">
        <f t="shared" si="8"/>
        <v>VR_2020_1x LCD_Neo 3 / G3</v>
      </c>
      <c r="Z93" s="36" t="str">
        <f t="shared" si="9"/>
        <v>VR_2020_1x LCD</v>
      </c>
    </row>
    <row r="94" spans="3:26">
      <c r="C94" s="17">
        <v>86</v>
      </c>
      <c r="D94" s="109" t="s">
        <v>26</v>
      </c>
      <c r="E94" s="20" t="s">
        <v>9</v>
      </c>
      <c r="F94" s="20" t="s">
        <v>176</v>
      </c>
      <c r="G94" s="21" t="s">
        <v>108</v>
      </c>
      <c r="H94" s="21" t="s">
        <v>109</v>
      </c>
      <c r="I94" s="19" t="s">
        <v>26</v>
      </c>
      <c r="J94" s="19" t="s">
        <v>27</v>
      </c>
      <c r="K94" s="21" t="s">
        <v>15</v>
      </c>
      <c r="L94" s="33" t="str">
        <f t="shared" si="5"/>
        <v>2x LCD</v>
      </c>
      <c r="M94" s="21" t="s">
        <v>145</v>
      </c>
      <c r="N94" s="21" t="s">
        <v>146</v>
      </c>
      <c r="O94" s="27"/>
      <c r="P94" s="20"/>
      <c r="Q94" s="20"/>
      <c r="R94" s="29">
        <f t="shared" si="6"/>
        <v>0</v>
      </c>
      <c r="S94" s="20" t="s">
        <v>36</v>
      </c>
      <c r="T94" s="18" t="s">
        <v>143</v>
      </c>
      <c r="U94" s="20">
        <v>2</v>
      </c>
      <c r="V94" s="120">
        <v>2.4750000000000001E-2</v>
      </c>
      <c r="W94" s="69">
        <f t="shared" si="7"/>
        <v>0.97020000000000006</v>
      </c>
      <c r="X94" s="106">
        <v>39.200000000000003</v>
      </c>
      <c r="Y94" s="72" t="str">
        <f t="shared" si="8"/>
        <v>VR_2020_2x LCD_Pimax VR</v>
      </c>
      <c r="Z94" s="36" t="str">
        <f t="shared" si="9"/>
        <v>VR_2020_2x LCD</v>
      </c>
    </row>
    <row r="95" spans="3:26">
      <c r="C95" s="17">
        <v>87</v>
      </c>
      <c r="D95" s="109" t="s">
        <v>26</v>
      </c>
      <c r="E95" s="20" t="s">
        <v>9</v>
      </c>
      <c r="F95" s="20" t="s">
        <v>176</v>
      </c>
      <c r="G95" s="21" t="s">
        <v>6</v>
      </c>
      <c r="H95" s="21" t="s">
        <v>25</v>
      </c>
      <c r="I95" s="19" t="s">
        <v>26</v>
      </c>
      <c r="J95" s="19" t="s">
        <v>27</v>
      </c>
      <c r="K95" s="21" t="s">
        <v>28</v>
      </c>
      <c r="L95" s="33" t="str">
        <f t="shared" si="5"/>
        <v>1x AMOLED</v>
      </c>
      <c r="M95" s="21" t="s">
        <v>3</v>
      </c>
      <c r="N95" s="21" t="s">
        <v>143</v>
      </c>
      <c r="O95" s="27">
        <v>5.7</v>
      </c>
      <c r="P95" s="20">
        <v>1920</v>
      </c>
      <c r="Q95" s="20">
        <v>1080</v>
      </c>
      <c r="R95" s="29">
        <f t="shared" si="6"/>
        <v>386.47494211970144</v>
      </c>
      <c r="S95" s="20">
        <v>120</v>
      </c>
      <c r="T95" s="18">
        <v>42644</v>
      </c>
      <c r="U95" s="20">
        <v>1</v>
      </c>
      <c r="V95" s="120">
        <v>0.1</v>
      </c>
      <c r="W95" s="69">
        <f t="shared" si="7"/>
        <v>3.2541148684800003</v>
      </c>
      <c r="X95" s="106">
        <v>32.5411486848</v>
      </c>
      <c r="Y95" s="72" t="str">
        <f t="shared" si="8"/>
        <v>VR_2020_1x AMOLED_PlayStation VR</v>
      </c>
      <c r="Z95" s="36" t="str">
        <f t="shared" si="9"/>
        <v>VR_2020_1x AMOLED</v>
      </c>
    </row>
    <row r="96" spans="3:26">
      <c r="C96" s="17">
        <v>88</v>
      </c>
      <c r="D96" s="109" t="s">
        <v>26</v>
      </c>
      <c r="E96" s="20" t="s">
        <v>9</v>
      </c>
      <c r="F96" s="20" t="s">
        <v>176</v>
      </c>
      <c r="G96" s="21" t="s">
        <v>97</v>
      </c>
      <c r="H96" s="21" t="s">
        <v>111</v>
      </c>
      <c r="I96" s="19" t="s">
        <v>26</v>
      </c>
      <c r="J96" s="19" t="s">
        <v>36</v>
      </c>
      <c r="K96" s="21" t="s">
        <v>15</v>
      </c>
      <c r="L96" s="33" t="str">
        <f t="shared" si="5"/>
        <v>2x LCD</v>
      </c>
      <c r="M96" s="21" t="s">
        <v>36</v>
      </c>
      <c r="N96" s="21" t="s">
        <v>143</v>
      </c>
      <c r="O96" s="27"/>
      <c r="P96" s="20"/>
      <c r="Q96" s="20"/>
      <c r="R96" s="29">
        <f t="shared" si="6"/>
        <v>0</v>
      </c>
      <c r="S96" s="20" t="s">
        <v>36</v>
      </c>
      <c r="T96" s="18" t="s">
        <v>143</v>
      </c>
      <c r="U96" s="20">
        <v>2</v>
      </c>
      <c r="V96" s="120">
        <v>1.375E-2</v>
      </c>
      <c r="W96" s="69">
        <f t="shared" si="7"/>
        <v>0.53900000000000003</v>
      </c>
      <c r="X96" s="106">
        <v>39.200000000000003</v>
      </c>
      <c r="Y96" s="72" t="str">
        <f t="shared" si="8"/>
        <v>VR_2020_2x LCD_Dual LCD VR headset</v>
      </c>
      <c r="Z96" s="36" t="str">
        <f t="shared" si="9"/>
        <v>VR_2020_2x LCD</v>
      </c>
    </row>
    <row r="97" spans="3:26">
      <c r="C97" s="17">
        <v>89</v>
      </c>
      <c r="D97" s="109" t="s">
        <v>26</v>
      </c>
      <c r="E97" s="20" t="s">
        <v>9</v>
      </c>
      <c r="F97" s="20" t="s">
        <v>176</v>
      </c>
      <c r="G97" s="21" t="s">
        <v>97</v>
      </c>
      <c r="H97" s="21" t="s">
        <v>42</v>
      </c>
      <c r="I97" s="19" t="s">
        <v>26</v>
      </c>
      <c r="J97" s="19" t="s">
        <v>36</v>
      </c>
      <c r="K97" s="21" t="s">
        <v>28</v>
      </c>
      <c r="L97" s="33" t="str">
        <f t="shared" si="5"/>
        <v>2x AMOLED</v>
      </c>
      <c r="M97" s="21" t="s">
        <v>36</v>
      </c>
      <c r="N97" s="21" t="s">
        <v>143</v>
      </c>
      <c r="O97" s="27"/>
      <c r="P97" s="20"/>
      <c r="Q97" s="20"/>
      <c r="R97" s="29">
        <f t="shared" si="6"/>
        <v>0</v>
      </c>
      <c r="S97" s="20" t="s">
        <v>36</v>
      </c>
      <c r="T97" s="18" t="s">
        <v>143</v>
      </c>
      <c r="U97" s="20">
        <v>2</v>
      </c>
      <c r="V97" s="120">
        <v>0.41749999999999998</v>
      </c>
      <c r="W97" s="69">
        <f t="shared" si="7"/>
        <v>9.5101507031327976</v>
      </c>
      <c r="X97" s="106">
        <v>22.778804079359997</v>
      </c>
      <c r="Y97" s="72" t="str">
        <f t="shared" si="8"/>
        <v>VR_2020_2x AMOLED_OLED VR headset</v>
      </c>
      <c r="Z97" s="36" t="str">
        <f t="shared" si="9"/>
        <v>VR_2020_2x AMOLED</v>
      </c>
    </row>
    <row r="98" spans="3:26">
      <c r="C98" s="17">
        <v>90</v>
      </c>
      <c r="D98" s="109" t="s">
        <v>26</v>
      </c>
      <c r="E98" s="20" t="s">
        <v>9</v>
      </c>
      <c r="F98" s="20" t="s">
        <v>176</v>
      </c>
      <c r="G98" s="21" t="s">
        <v>97</v>
      </c>
      <c r="H98" s="21" t="s">
        <v>161</v>
      </c>
      <c r="I98" s="19" t="s">
        <v>26</v>
      </c>
      <c r="J98" s="19" t="s">
        <v>36</v>
      </c>
      <c r="K98" s="21" t="s">
        <v>15</v>
      </c>
      <c r="L98" s="33" t="str">
        <f t="shared" si="5"/>
        <v>1x LCD</v>
      </c>
      <c r="M98" s="21" t="s">
        <v>36</v>
      </c>
      <c r="N98" s="21" t="s">
        <v>143</v>
      </c>
      <c r="O98" s="27"/>
      <c r="P98" s="20"/>
      <c r="Q98" s="20"/>
      <c r="R98" s="29">
        <f t="shared" si="6"/>
        <v>0</v>
      </c>
      <c r="S98" s="20" t="s">
        <v>36</v>
      </c>
      <c r="T98" s="18" t="s">
        <v>143</v>
      </c>
      <c r="U98" s="20">
        <v>1</v>
      </c>
      <c r="V98" s="120">
        <v>8.2583000000000004E-2</v>
      </c>
      <c r="W98" s="69">
        <f t="shared" si="7"/>
        <v>4.8558804000000002</v>
      </c>
      <c r="X98" s="106">
        <v>58.8</v>
      </c>
      <c r="Y98" s="72" t="str">
        <f t="shared" si="8"/>
        <v>VR_2020_1x LCD_Single LCD VR headset</v>
      </c>
      <c r="Z98" s="36" t="str">
        <f t="shared" si="9"/>
        <v>VR_2020_1x LCD</v>
      </c>
    </row>
    <row r="99" spans="3:26">
      <c r="C99" s="17">
        <v>91</v>
      </c>
      <c r="D99" s="109" t="s">
        <v>26</v>
      </c>
      <c r="E99" s="20" t="s">
        <v>9</v>
      </c>
      <c r="F99" s="20" t="s">
        <v>176</v>
      </c>
      <c r="G99" s="21" t="s">
        <v>38</v>
      </c>
      <c r="H99" s="21" t="s">
        <v>39</v>
      </c>
      <c r="I99" s="19" t="s">
        <v>26</v>
      </c>
      <c r="J99" s="19" t="s">
        <v>27</v>
      </c>
      <c r="K99" s="21" t="s">
        <v>15</v>
      </c>
      <c r="L99" s="33" t="str">
        <f t="shared" si="5"/>
        <v>2x LCD</v>
      </c>
      <c r="M99" s="21" t="s">
        <v>40</v>
      </c>
      <c r="N99" s="21" t="s">
        <v>143</v>
      </c>
      <c r="O99" s="27">
        <v>3.5</v>
      </c>
      <c r="P99" s="20">
        <v>1440</v>
      </c>
      <c r="Q99" s="20">
        <v>1600</v>
      </c>
      <c r="R99" s="29">
        <f t="shared" si="6"/>
        <v>615.02281358051255</v>
      </c>
      <c r="S99" s="20">
        <v>144</v>
      </c>
      <c r="T99" s="18">
        <v>43586</v>
      </c>
      <c r="U99" s="20">
        <v>2</v>
      </c>
      <c r="V99" s="120">
        <v>6.0499999999999998E-2</v>
      </c>
      <c r="W99" s="69">
        <f t="shared" si="7"/>
        <v>2.3715999999999999</v>
      </c>
      <c r="X99" s="106">
        <v>39.200000000000003</v>
      </c>
      <c r="Y99" s="72" t="str">
        <f t="shared" si="8"/>
        <v>VR_2020_2x LCD_Index</v>
      </c>
      <c r="Z99" s="36" t="str">
        <f t="shared" si="9"/>
        <v>VR_2020_2x LCD</v>
      </c>
    </row>
    <row r="100" spans="3:26">
      <c r="C100" s="17">
        <v>92</v>
      </c>
      <c r="D100" s="109" t="s">
        <v>129</v>
      </c>
      <c r="E100" s="20" t="s">
        <v>9</v>
      </c>
      <c r="F100" s="20" t="s">
        <v>176</v>
      </c>
      <c r="G100" s="21" t="s">
        <v>73</v>
      </c>
      <c r="H100" s="21" t="s">
        <v>74</v>
      </c>
      <c r="I100" s="19" t="s">
        <v>63</v>
      </c>
      <c r="J100" s="19" t="s">
        <v>31</v>
      </c>
      <c r="K100" s="21" t="s">
        <v>51</v>
      </c>
      <c r="L100" s="33" t="str">
        <f t="shared" si="5"/>
        <v>2x SiOLED</v>
      </c>
      <c r="M100" s="21" t="s">
        <v>73</v>
      </c>
      <c r="N100" s="21"/>
      <c r="O100" s="27">
        <v>0.43</v>
      </c>
      <c r="P100" s="20">
        <v>1280</v>
      </c>
      <c r="Q100" s="20">
        <v>720</v>
      </c>
      <c r="R100" s="29">
        <f t="shared" si="6"/>
        <v>3415.3599536159668</v>
      </c>
      <c r="S100" s="20" t="s">
        <v>36</v>
      </c>
      <c r="T100" s="18">
        <v>42401</v>
      </c>
      <c r="U100" s="20">
        <v>2</v>
      </c>
      <c r="V100" s="120">
        <v>3.5749999999999997E-2</v>
      </c>
      <c r="W100" s="69">
        <f t="shared" si="7"/>
        <v>3.0201599999999993</v>
      </c>
      <c r="X100" s="106">
        <v>84.47999999999999</v>
      </c>
      <c r="Y100" s="72" t="str">
        <f t="shared" si="8"/>
        <v>AR_2020_2x SiOLED_Moverio</v>
      </c>
      <c r="Z100" s="36" t="str">
        <f t="shared" si="9"/>
        <v>AR_2020_2x SiOLED</v>
      </c>
    </row>
    <row r="101" spans="3:26">
      <c r="C101" s="17">
        <v>93</v>
      </c>
      <c r="D101" s="109" t="s">
        <v>129</v>
      </c>
      <c r="E101" s="20" t="s">
        <v>9</v>
      </c>
      <c r="F101" s="20" t="s">
        <v>176</v>
      </c>
      <c r="G101" s="21" t="s">
        <v>71</v>
      </c>
      <c r="H101" s="21" t="s">
        <v>130</v>
      </c>
      <c r="I101" s="19" t="s">
        <v>63</v>
      </c>
      <c r="J101" s="19" t="s">
        <v>31</v>
      </c>
      <c r="K101" s="21" t="s">
        <v>168</v>
      </c>
      <c r="L101" s="33" t="str">
        <f t="shared" si="5"/>
        <v>1x Micro LCD</v>
      </c>
      <c r="M101" s="21" t="s">
        <v>72</v>
      </c>
      <c r="N101" s="21"/>
      <c r="O101" s="27"/>
      <c r="P101" s="20">
        <v>640</v>
      </c>
      <c r="Q101" s="20">
        <v>360</v>
      </c>
      <c r="R101" s="29">
        <f t="shared" si="6"/>
        <v>0</v>
      </c>
      <c r="S101" s="20" t="s">
        <v>36</v>
      </c>
      <c r="T101" s="18">
        <v>43586</v>
      </c>
      <c r="U101" s="20">
        <v>1</v>
      </c>
      <c r="V101" s="120">
        <v>8.2500000000000004E-3</v>
      </c>
      <c r="W101" s="69">
        <f t="shared" si="7"/>
        <v>0.34303499999999998</v>
      </c>
      <c r="X101" s="106">
        <v>41.58</v>
      </c>
      <c r="Y101" s="72" t="str">
        <f t="shared" si="8"/>
        <v>AR_2020_1x Micro LCD_Glass</v>
      </c>
      <c r="Z101" s="36" t="str">
        <f t="shared" si="9"/>
        <v>AR_2020_1x Micro LCD</v>
      </c>
    </row>
    <row r="102" spans="3:26">
      <c r="C102" s="17">
        <v>94</v>
      </c>
      <c r="D102" s="109" t="s">
        <v>129</v>
      </c>
      <c r="E102" s="20" t="s">
        <v>9</v>
      </c>
      <c r="F102" s="20" t="s">
        <v>176</v>
      </c>
      <c r="G102" s="21" t="s">
        <v>77</v>
      </c>
      <c r="H102" s="21" t="s">
        <v>78</v>
      </c>
      <c r="I102" s="19" t="s">
        <v>63</v>
      </c>
      <c r="J102" s="19" t="s">
        <v>27</v>
      </c>
      <c r="K102" s="21" t="s">
        <v>51</v>
      </c>
      <c r="L102" s="33" t="str">
        <f t="shared" si="5"/>
        <v>2x SiOLED</v>
      </c>
      <c r="M102" s="21" t="s">
        <v>6</v>
      </c>
      <c r="N102" s="21"/>
      <c r="O102" s="27">
        <v>0.71</v>
      </c>
      <c r="P102" s="20">
        <v>1920</v>
      </c>
      <c r="Q102" s="20">
        <v>1080</v>
      </c>
      <c r="R102" s="29">
        <f t="shared" si="6"/>
        <v>3102.6861550454905</v>
      </c>
      <c r="S102" s="20" t="s">
        <v>36</v>
      </c>
      <c r="T102" s="18">
        <v>44348</v>
      </c>
      <c r="U102" s="20">
        <v>2</v>
      </c>
      <c r="V102" s="120">
        <v>8.2500000000000004E-3</v>
      </c>
      <c r="W102" s="69">
        <f t="shared" si="7"/>
        <v>0.69695999999999991</v>
      </c>
      <c r="X102" s="106">
        <v>84.47999999999999</v>
      </c>
      <c r="Y102" s="72" t="str">
        <f t="shared" si="8"/>
        <v>AR_2020_2x SiOLED_ThinkReality A3</v>
      </c>
      <c r="Z102" s="36" t="str">
        <f t="shared" si="9"/>
        <v>AR_2020_2x SiOLED</v>
      </c>
    </row>
    <row r="103" spans="3:26">
      <c r="C103" s="17">
        <v>95</v>
      </c>
      <c r="D103" s="109" t="s">
        <v>129</v>
      </c>
      <c r="E103" s="20" t="s">
        <v>9</v>
      </c>
      <c r="F103" s="20" t="s">
        <v>176</v>
      </c>
      <c r="G103" s="21" t="s">
        <v>65</v>
      </c>
      <c r="H103" s="21" t="s">
        <v>66</v>
      </c>
      <c r="I103" s="19" t="s">
        <v>63</v>
      </c>
      <c r="J103" s="19" t="s">
        <v>31</v>
      </c>
      <c r="K103" s="21" t="s">
        <v>67</v>
      </c>
      <c r="L103" s="33" t="str">
        <f t="shared" si="5"/>
        <v>2x LCoS</v>
      </c>
      <c r="M103" s="21" t="s">
        <v>36</v>
      </c>
      <c r="N103" s="21"/>
      <c r="O103" s="27"/>
      <c r="P103" s="20">
        <v>1280</v>
      </c>
      <c r="Q103" s="20">
        <v>960</v>
      </c>
      <c r="R103" s="29">
        <f t="shared" si="6"/>
        <v>0</v>
      </c>
      <c r="S103" s="20">
        <v>120</v>
      </c>
      <c r="T103" s="18">
        <v>43313</v>
      </c>
      <c r="U103" s="20">
        <v>2</v>
      </c>
      <c r="V103" s="120">
        <v>8.25E-4</v>
      </c>
      <c r="W103" s="69">
        <f t="shared" si="7"/>
        <v>3.75705E-2</v>
      </c>
      <c r="X103" s="106">
        <v>45.54</v>
      </c>
      <c r="Y103" s="72" t="str">
        <f t="shared" si="8"/>
        <v>AR_2020_2x LCoS_ML One</v>
      </c>
      <c r="Z103" s="36" t="str">
        <f t="shared" si="9"/>
        <v>AR_2020_2x LCoS</v>
      </c>
    </row>
    <row r="104" spans="3:26">
      <c r="C104" s="17">
        <v>96</v>
      </c>
      <c r="D104" s="109" t="s">
        <v>129</v>
      </c>
      <c r="E104" s="20" t="s">
        <v>9</v>
      </c>
      <c r="F104" s="20" t="s">
        <v>176</v>
      </c>
      <c r="G104" s="21" t="s">
        <v>61</v>
      </c>
      <c r="H104" s="21" t="s">
        <v>62</v>
      </c>
      <c r="I104" s="19" t="s">
        <v>63</v>
      </c>
      <c r="J104" s="19" t="s">
        <v>31</v>
      </c>
      <c r="K104" s="21" t="s">
        <v>64</v>
      </c>
      <c r="L104" s="33" t="str">
        <f t="shared" si="5"/>
        <v>2x LBS</v>
      </c>
      <c r="M104" s="21" t="s">
        <v>36</v>
      </c>
      <c r="N104" s="21"/>
      <c r="O104" s="27"/>
      <c r="P104" s="20"/>
      <c r="Q104" s="20"/>
      <c r="R104" s="29">
        <f t="shared" si="6"/>
        <v>0</v>
      </c>
      <c r="S104" s="20" t="s">
        <v>36</v>
      </c>
      <c r="T104" s="18">
        <v>43770</v>
      </c>
      <c r="U104" s="20">
        <v>2</v>
      </c>
      <c r="V104" s="120">
        <v>6.8750000000000006E-2</v>
      </c>
      <c r="W104" s="69">
        <f t="shared" si="7"/>
        <v>7.4690000000000003</v>
      </c>
      <c r="X104" s="106">
        <v>108.64</v>
      </c>
      <c r="Y104" s="72" t="str">
        <f t="shared" si="8"/>
        <v>AR_2020_2x LBS_HoloLens 2</v>
      </c>
      <c r="Z104" s="36" t="str">
        <f t="shared" si="9"/>
        <v>AR_2020_2x LBS</v>
      </c>
    </row>
    <row r="105" spans="3:26">
      <c r="C105" s="17">
        <v>97</v>
      </c>
      <c r="D105" s="109" t="s">
        <v>129</v>
      </c>
      <c r="E105" s="20" t="s">
        <v>9</v>
      </c>
      <c r="F105" s="20" t="s">
        <v>176</v>
      </c>
      <c r="G105" s="21" t="s">
        <v>186</v>
      </c>
      <c r="H105" s="21" t="s">
        <v>187</v>
      </c>
      <c r="I105" s="19" t="s">
        <v>63</v>
      </c>
      <c r="J105" s="19" t="s">
        <v>27</v>
      </c>
      <c r="K105" s="21" t="s">
        <v>51</v>
      </c>
      <c r="L105" s="33" t="str">
        <f t="shared" si="5"/>
        <v>2x SiOLED</v>
      </c>
      <c r="M105" s="21" t="s">
        <v>145</v>
      </c>
      <c r="N105" s="21"/>
      <c r="O105" s="27">
        <v>0.71</v>
      </c>
      <c r="P105" s="20">
        <v>1920</v>
      </c>
      <c r="Q105" s="20">
        <v>1080</v>
      </c>
      <c r="R105" s="29">
        <f t="shared" si="6"/>
        <v>3102.6861550454905</v>
      </c>
      <c r="S105" s="20">
        <v>90</v>
      </c>
      <c r="T105" s="18">
        <v>44044</v>
      </c>
      <c r="U105" s="20">
        <v>2</v>
      </c>
      <c r="V105" s="120">
        <v>1.6500000000000001E-2</v>
      </c>
      <c r="W105" s="69">
        <f t="shared" si="7"/>
        <v>1.3939199999999998</v>
      </c>
      <c r="X105" s="106">
        <v>84.47999999999999</v>
      </c>
      <c r="Y105" s="72" t="str">
        <f t="shared" si="8"/>
        <v>AR_2020_2x SiOLED_Light</v>
      </c>
      <c r="Z105" s="36" t="str">
        <f t="shared" si="9"/>
        <v>AR_2020_2x SiOLED</v>
      </c>
    </row>
    <row r="106" spans="3:26">
      <c r="C106" s="17">
        <v>98</v>
      </c>
      <c r="D106" s="109" t="s">
        <v>129</v>
      </c>
      <c r="E106" s="20" t="s">
        <v>9</v>
      </c>
      <c r="F106" s="20" t="s">
        <v>176</v>
      </c>
      <c r="G106" s="21" t="s">
        <v>68</v>
      </c>
      <c r="H106" s="21" t="s">
        <v>69</v>
      </c>
      <c r="I106" s="19" t="s">
        <v>63</v>
      </c>
      <c r="J106" s="19" t="s">
        <v>31</v>
      </c>
      <c r="K106" s="21" t="s">
        <v>70</v>
      </c>
      <c r="L106" s="33" t="str">
        <f t="shared" si="5"/>
        <v>1x DLP</v>
      </c>
      <c r="M106" s="21" t="s">
        <v>172</v>
      </c>
      <c r="N106" s="21"/>
      <c r="O106" s="27"/>
      <c r="P106" s="20">
        <v>853</v>
      </c>
      <c r="Q106" s="20">
        <v>480</v>
      </c>
      <c r="R106" s="29">
        <f t="shared" si="6"/>
        <v>0</v>
      </c>
      <c r="S106" s="20" t="s">
        <v>36</v>
      </c>
      <c r="T106" s="18">
        <v>43466</v>
      </c>
      <c r="U106" s="20">
        <v>1</v>
      </c>
      <c r="V106" s="120">
        <v>9.6299999999999999E-4</v>
      </c>
      <c r="W106" s="69">
        <f t="shared" si="7"/>
        <v>7.9129710000000006E-2</v>
      </c>
      <c r="X106" s="106">
        <v>82.17</v>
      </c>
      <c r="Y106" s="72" t="str">
        <f t="shared" si="8"/>
        <v>AR_2020_1x DLP_Blade</v>
      </c>
      <c r="Z106" s="36" t="str">
        <f t="shared" si="9"/>
        <v>AR_2020_1x DLP</v>
      </c>
    </row>
    <row r="107" spans="3:26">
      <c r="C107" s="17">
        <v>99</v>
      </c>
      <c r="D107" s="109" t="s">
        <v>129</v>
      </c>
      <c r="E107" s="20" t="s">
        <v>9</v>
      </c>
      <c r="F107" s="20" t="s">
        <v>176</v>
      </c>
      <c r="G107" s="21" t="s">
        <v>97</v>
      </c>
      <c r="H107" s="21" t="s">
        <v>76</v>
      </c>
      <c r="I107" s="19" t="s">
        <v>63</v>
      </c>
      <c r="J107" s="19" t="s">
        <v>36</v>
      </c>
      <c r="K107" s="21" t="s">
        <v>70</v>
      </c>
      <c r="L107" s="33" t="str">
        <f t="shared" si="5"/>
        <v>1x DLP</v>
      </c>
      <c r="M107" s="21" t="s">
        <v>36</v>
      </c>
      <c r="N107" s="21"/>
      <c r="O107" s="27"/>
      <c r="P107" s="20"/>
      <c r="Q107" s="20"/>
      <c r="R107" s="29">
        <f t="shared" si="6"/>
        <v>0</v>
      </c>
      <c r="S107" s="20" t="s">
        <v>36</v>
      </c>
      <c r="T107" s="18" t="s">
        <v>143</v>
      </c>
      <c r="U107" s="20">
        <v>1</v>
      </c>
      <c r="V107" s="120">
        <v>1.3800000000000002E-4</v>
      </c>
      <c r="W107" s="69">
        <f t="shared" si="7"/>
        <v>1.1339460000000003E-2</v>
      </c>
      <c r="X107" s="106">
        <v>82.17</v>
      </c>
      <c r="Y107" s="72" t="str">
        <f t="shared" si="8"/>
        <v>AR_2020_1x DLP_DLP glasses</v>
      </c>
      <c r="Z107" s="36" t="str">
        <f t="shared" si="9"/>
        <v>AR_2020_1x DLP</v>
      </c>
    </row>
    <row r="108" spans="3:26">
      <c r="C108" s="17">
        <v>100</v>
      </c>
      <c r="D108" s="109" t="s">
        <v>129</v>
      </c>
      <c r="E108" s="20" t="s">
        <v>9</v>
      </c>
      <c r="F108" s="20" t="s">
        <v>176</v>
      </c>
      <c r="G108" s="21" t="s">
        <v>97</v>
      </c>
      <c r="H108" s="21" t="s">
        <v>75</v>
      </c>
      <c r="I108" s="19" t="s">
        <v>63</v>
      </c>
      <c r="J108" s="19" t="s">
        <v>36</v>
      </c>
      <c r="K108" s="21" t="s">
        <v>67</v>
      </c>
      <c r="L108" s="33" t="str">
        <f t="shared" si="5"/>
        <v>2x LCoS</v>
      </c>
      <c r="M108" s="21" t="s">
        <v>36</v>
      </c>
      <c r="N108" s="21"/>
      <c r="O108" s="27"/>
      <c r="P108" s="20"/>
      <c r="Q108" s="20"/>
      <c r="R108" s="29">
        <f t="shared" si="6"/>
        <v>0</v>
      </c>
      <c r="S108" s="20" t="s">
        <v>36</v>
      </c>
      <c r="T108" s="18" t="s">
        <v>143</v>
      </c>
      <c r="U108" s="20">
        <v>2</v>
      </c>
      <c r="V108" s="120">
        <v>2.7499999999999998E-3</v>
      </c>
      <c r="W108" s="69">
        <f t="shared" si="7"/>
        <v>0.12523499999999999</v>
      </c>
      <c r="X108" s="106">
        <v>45.54</v>
      </c>
      <c r="Y108" s="72" t="str">
        <f t="shared" si="8"/>
        <v>AR_2020_2x LCoS_LCoS glasses</v>
      </c>
      <c r="Z108" s="36" t="str">
        <f t="shared" si="9"/>
        <v>AR_2020_2x LCoS</v>
      </c>
    </row>
    <row r="109" spans="3:26">
      <c r="C109" s="17">
        <v>101</v>
      </c>
      <c r="D109" s="109" t="s">
        <v>129</v>
      </c>
      <c r="E109" s="20" t="s">
        <v>9</v>
      </c>
      <c r="F109" s="20" t="s">
        <v>176</v>
      </c>
      <c r="G109" s="21" t="s">
        <v>97</v>
      </c>
      <c r="H109" s="21" t="s">
        <v>79</v>
      </c>
      <c r="I109" s="19" t="s">
        <v>63</v>
      </c>
      <c r="J109" s="19" t="s">
        <v>36</v>
      </c>
      <c r="K109" s="21" t="s">
        <v>51</v>
      </c>
      <c r="L109" s="33" t="str">
        <f t="shared" si="5"/>
        <v>2x SiOLED</v>
      </c>
      <c r="M109" s="21" t="s">
        <v>36</v>
      </c>
      <c r="N109" s="21"/>
      <c r="O109" s="27"/>
      <c r="P109" s="20"/>
      <c r="Q109" s="20"/>
      <c r="R109" s="29">
        <f t="shared" si="6"/>
        <v>0</v>
      </c>
      <c r="S109" s="20" t="s">
        <v>36</v>
      </c>
      <c r="T109" s="18" t="s">
        <v>143</v>
      </c>
      <c r="U109" s="20">
        <v>2</v>
      </c>
      <c r="V109" s="120">
        <v>1.65E-3</v>
      </c>
      <c r="W109" s="69">
        <f t="shared" si="7"/>
        <v>0.13939199999999999</v>
      </c>
      <c r="X109" s="106">
        <v>84.47999999999999</v>
      </c>
      <c r="Y109" s="72" t="str">
        <f t="shared" si="8"/>
        <v>AR_2020_2x SiOLED_SiOLED glasses</v>
      </c>
      <c r="Z109" s="36" t="str">
        <f t="shared" si="9"/>
        <v>AR_2020_2x SiOLED</v>
      </c>
    </row>
    <row r="110" spans="3:26">
      <c r="C110" s="17">
        <v>102</v>
      </c>
      <c r="D110" s="109" t="s">
        <v>26</v>
      </c>
      <c r="E110" s="20" t="s">
        <v>9</v>
      </c>
      <c r="F110" s="20" t="s">
        <v>177</v>
      </c>
      <c r="G110" s="21" t="s">
        <v>106</v>
      </c>
      <c r="H110" s="21" t="s">
        <v>107</v>
      </c>
      <c r="I110" s="19" t="s">
        <v>26</v>
      </c>
      <c r="J110" s="19" t="s">
        <v>31</v>
      </c>
      <c r="K110" s="21" t="s">
        <v>15</v>
      </c>
      <c r="L110" s="33" t="str">
        <f t="shared" si="5"/>
        <v>1x LCD</v>
      </c>
      <c r="M110" s="21" t="s">
        <v>36</v>
      </c>
      <c r="N110" s="21" t="s">
        <v>143</v>
      </c>
      <c r="O110" s="27"/>
      <c r="P110" s="20"/>
      <c r="Q110" s="20"/>
      <c r="R110" s="29">
        <f t="shared" si="6"/>
        <v>0</v>
      </c>
      <c r="S110" s="20" t="s">
        <v>36</v>
      </c>
      <c r="T110" s="18">
        <v>43770</v>
      </c>
      <c r="U110" s="20">
        <v>1</v>
      </c>
      <c r="V110" s="120">
        <v>0.12375</v>
      </c>
      <c r="W110" s="69">
        <f t="shared" si="7"/>
        <v>7.2764999999999995</v>
      </c>
      <c r="X110" s="106">
        <v>58.8</v>
      </c>
      <c r="Y110" s="72" t="str">
        <f t="shared" si="8"/>
        <v>VR_2020_1x LCD_P1 family</v>
      </c>
      <c r="Z110" s="36" t="str">
        <f t="shared" si="9"/>
        <v>VR_2020_1x LCD</v>
      </c>
    </row>
    <row r="111" spans="3:26">
      <c r="C111" s="17">
        <v>103</v>
      </c>
      <c r="D111" s="109" t="s">
        <v>26</v>
      </c>
      <c r="E111" s="20" t="s">
        <v>9</v>
      </c>
      <c r="F111" s="20" t="s">
        <v>177</v>
      </c>
      <c r="G111" s="21" t="s">
        <v>34</v>
      </c>
      <c r="H111" s="21" t="s">
        <v>35</v>
      </c>
      <c r="I111" s="19" t="s">
        <v>26</v>
      </c>
      <c r="J111" s="19" t="s">
        <v>27</v>
      </c>
      <c r="K111" s="21" t="s">
        <v>15</v>
      </c>
      <c r="L111" s="33" t="str">
        <f t="shared" si="5"/>
        <v>2x LCD</v>
      </c>
      <c r="M111" s="21" t="s">
        <v>36</v>
      </c>
      <c r="N111" s="21" t="s">
        <v>143</v>
      </c>
      <c r="O111" s="27">
        <v>2.89</v>
      </c>
      <c r="P111" s="20">
        <v>2160</v>
      </c>
      <c r="Q111" s="20">
        <v>2160</v>
      </c>
      <c r="R111" s="29">
        <f t="shared" si="6"/>
        <v>1056.990067379199</v>
      </c>
      <c r="S111" s="20">
        <v>90</v>
      </c>
      <c r="T111" s="18">
        <v>43586</v>
      </c>
      <c r="U111" s="20">
        <v>2</v>
      </c>
      <c r="V111" s="120">
        <v>2.75E-2</v>
      </c>
      <c r="W111" s="69">
        <f t="shared" si="7"/>
        <v>1.0780000000000001</v>
      </c>
      <c r="X111" s="106">
        <v>39.200000000000003</v>
      </c>
      <c r="Y111" s="72" t="str">
        <f t="shared" si="8"/>
        <v>VR_2020_2x LCD_Reverb</v>
      </c>
      <c r="Z111" s="36" t="str">
        <f t="shared" si="9"/>
        <v>VR_2020_2x LCD</v>
      </c>
    </row>
    <row r="112" spans="3:26">
      <c r="C112" s="17">
        <v>104</v>
      </c>
      <c r="D112" s="109" t="s">
        <v>26</v>
      </c>
      <c r="E112" s="20" t="s">
        <v>9</v>
      </c>
      <c r="F112" s="20" t="s">
        <v>177</v>
      </c>
      <c r="G112" s="21" t="s">
        <v>34</v>
      </c>
      <c r="H112" s="21" t="s">
        <v>37</v>
      </c>
      <c r="I112" s="19" t="s">
        <v>26</v>
      </c>
      <c r="J112" s="19" t="s">
        <v>27</v>
      </c>
      <c r="K112" s="21" t="s">
        <v>15</v>
      </c>
      <c r="L112" s="33" t="str">
        <f t="shared" si="5"/>
        <v>2x LCD</v>
      </c>
      <c r="M112" s="21" t="s">
        <v>36</v>
      </c>
      <c r="N112" s="21" t="s">
        <v>143</v>
      </c>
      <c r="O112" s="27">
        <v>2.89</v>
      </c>
      <c r="P112" s="20">
        <v>2160</v>
      </c>
      <c r="Q112" s="20">
        <v>2160</v>
      </c>
      <c r="R112" s="29">
        <f t="shared" si="6"/>
        <v>1056.990067379199</v>
      </c>
      <c r="S112" s="20">
        <v>90</v>
      </c>
      <c r="T112" s="18">
        <v>44136</v>
      </c>
      <c r="U112" s="20">
        <v>2</v>
      </c>
      <c r="V112" s="120">
        <v>1.375E-2</v>
      </c>
      <c r="W112" s="69">
        <f t="shared" si="7"/>
        <v>0.53900000000000003</v>
      </c>
      <c r="X112" s="106">
        <v>39.200000000000003</v>
      </c>
      <c r="Y112" s="72" t="str">
        <f t="shared" si="8"/>
        <v>VR_2020_2x LCD_Reverb G2</v>
      </c>
      <c r="Z112" s="36" t="str">
        <f t="shared" si="9"/>
        <v>VR_2020_2x LCD</v>
      </c>
    </row>
    <row r="113" spans="3:26">
      <c r="C113" s="17">
        <v>105</v>
      </c>
      <c r="D113" s="109" t="s">
        <v>26</v>
      </c>
      <c r="E113" s="20" t="s">
        <v>9</v>
      </c>
      <c r="F113" s="20" t="s">
        <v>177</v>
      </c>
      <c r="G113" s="21" t="s">
        <v>41</v>
      </c>
      <c r="H113" s="21" t="s">
        <v>178</v>
      </c>
      <c r="I113" s="19" t="s">
        <v>26</v>
      </c>
      <c r="J113" s="19" t="s">
        <v>31</v>
      </c>
      <c r="K113" s="21" t="s">
        <v>15</v>
      </c>
      <c r="L113" s="33" t="str">
        <f t="shared" si="5"/>
        <v>2x LCD</v>
      </c>
      <c r="M113" s="21" t="s">
        <v>2</v>
      </c>
      <c r="N113" s="21" t="s">
        <v>143</v>
      </c>
      <c r="O113" s="27"/>
      <c r="P113" s="20"/>
      <c r="Q113" s="20"/>
      <c r="R113" s="29">
        <f t="shared" si="6"/>
        <v>0</v>
      </c>
      <c r="S113" s="20" t="s">
        <v>36</v>
      </c>
      <c r="T113" s="18">
        <v>43739</v>
      </c>
      <c r="U113" s="20">
        <v>2</v>
      </c>
      <c r="V113" s="120">
        <v>1.0999999999999999E-2</v>
      </c>
      <c r="W113" s="69">
        <f t="shared" si="7"/>
        <v>0.43120000000000003</v>
      </c>
      <c r="X113" s="106">
        <v>39.200000000000003</v>
      </c>
      <c r="Y113" s="72" t="str">
        <f t="shared" si="8"/>
        <v>VR_2020_2x LCD_Vive LCD headsets</v>
      </c>
      <c r="Z113" s="36" t="str">
        <f t="shared" si="9"/>
        <v>VR_2020_2x LCD</v>
      </c>
    </row>
    <row r="114" spans="3:26">
      <c r="C114" s="17">
        <v>106</v>
      </c>
      <c r="D114" s="109" t="s">
        <v>26</v>
      </c>
      <c r="E114" s="20" t="s">
        <v>9</v>
      </c>
      <c r="F114" s="20" t="s">
        <v>177</v>
      </c>
      <c r="G114" s="21" t="s">
        <v>112</v>
      </c>
      <c r="H114" s="21" t="s">
        <v>32</v>
      </c>
      <c r="I114" s="19" t="s">
        <v>26</v>
      </c>
      <c r="J114" s="19" t="s">
        <v>31</v>
      </c>
      <c r="K114" s="21" t="s">
        <v>15</v>
      </c>
      <c r="L114" s="33" t="str">
        <f t="shared" si="5"/>
        <v>1x LCD</v>
      </c>
      <c r="M114" s="21" t="s">
        <v>2</v>
      </c>
      <c r="N114" s="21" t="s">
        <v>166</v>
      </c>
      <c r="O114" s="27">
        <v>5.5</v>
      </c>
      <c r="P114" s="20">
        <v>3840</v>
      </c>
      <c r="Q114" s="20">
        <v>1832</v>
      </c>
      <c r="R114" s="29">
        <f t="shared" si="6"/>
        <v>773.56797048396322</v>
      </c>
      <c r="S114" s="20">
        <v>90</v>
      </c>
      <c r="T114" s="18">
        <v>44105</v>
      </c>
      <c r="U114" s="20">
        <v>1</v>
      </c>
      <c r="V114" s="120">
        <v>1.5125</v>
      </c>
      <c r="W114" s="69">
        <f t="shared" si="7"/>
        <v>88.934999999999988</v>
      </c>
      <c r="X114" s="106">
        <v>58.8</v>
      </c>
      <c r="Y114" s="72" t="str">
        <f t="shared" si="8"/>
        <v>VR_2020_1x LCD_Quest 2</v>
      </c>
      <c r="Z114" s="36" t="str">
        <f t="shared" si="9"/>
        <v>VR_2020_1x LCD</v>
      </c>
    </row>
    <row r="115" spans="3:26">
      <c r="C115" s="17">
        <v>107</v>
      </c>
      <c r="D115" s="109" t="s">
        <v>26</v>
      </c>
      <c r="E115" s="20" t="s">
        <v>9</v>
      </c>
      <c r="F115" s="20" t="s">
        <v>177</v>
      </c>
      <c r="G115" s="21" t="s">
        <v>29</v>
      </c>
      <c r="H115" s="21" t="s">
        <v>30</v>
      </c>
      <c r="I115" s="19" t="s">
        <v>26</v>
      </c>
      <c r="J115" s="19" t="s">
        <v>31</v>
      </c>
      <c r="K115" s="21" t="s">
        <v>28</v>
      </c>
      <c r="L115" s="33" t="str">
        <f t="shared" si="5"/>
        <v>2x AMOLED</v>
      </c>
      <c r="M115" s="21" t="s">
        <v>3</v>
      </c>
      <c r="N115" s="21" t="s">
        <v>143</v>
      </c>
      <c r="O115" s="27">
        <v>3.5</v>
      </c>
      <c r="P115" s="20">
        <v>1440</v>
      </c>
      <c r="Q115" s="20">
        <v>1600</v>
      </c>
      <c r="R115" s="29">
        <f t="shared" si="6"/>
        <v>615.02281358051255</v>
      </c>
      <c r="S115" s="20">
        <v>72</v>
      </c>
      <c r="T115" s="18">
        <v>43586</v>
      </c>
      <c r="U115" s="20">
        <v>2</v>
      </c>
      <c r="V115" s="120">
        <v>8.2500000000000004E-2</v>
      </c>
      <c r="W115" s="69">
        <f t="shared" si="7"/>
        <v>1.8416663098162558</v>
      </c>
      <c r="X115" s="106">
        <v>22.323227997772797</v>
      </c>
      <c r="Y115" s="72" t="str">
        <f t="shared" si="8"/>
        <v>VR_2020_2x AMOLED_Quest</v>
      </c>
      <c r="Z115" s="36" t="str">
        <f t="shared" si="9"/>
        <v>VR_2020_2x AMOLED</v>
      </c>
    </row>
    <row r="116" spans="3:26">
      <c r="C116" s="17">
        <v>108</v>
      </c>
      <c r="D116" s="109" t="s">
        <v>26</v>
      </c>
      <c r="E116" s="20" t="s">
        <v>9</v>
      </c>
      <c r="F116" s="20" t="s">
        <v>177</v>
      </c>
      <c r="G116" s="21" t="s">
        <v>29</v>
      </c>
      <c r="H116" s="21" t="s">
        <v>33</v>
      </c>
      <c r="I116" s="19" t="s">
        <v>26</v>
      </c>
      <c r="J116" s="19" t="s">
        <v>27</v>
      </c>
      <c r="K116" s="21" t="s">
        <v>15</v>
      </c>
      <c r="L116" s="33" t="str">
        <f t="shared" si="5"/>
        <v>1x LCD</v>
      </c>
      <c r="M116" s="21" t="s">
        <v>2</v>
      </c>
      <c r="N116" s="21" t="s">
        <v>4</v>
      </c>
      <c r="O116" s="27">
        <v>5.46</v>
      </c>
      <c r="P116" s="20">
        <v>2560</v>
      </c>
      <c r="Q116" s="20">
        <v>1440</v>
      </c>
      <c r="R116" s="29">
        <f t="shared" si="6"/>
        <v>537.95046888456613</v>
      </c>
      <c r="S116" s="20">
        <v>80</v>
      </c>
      <c r="T116" s="18">
        <v>43586</v>
      </c>
      <c r="U116" s="20">
        <v>1</v>
      </c>
      <c r="V116" s="120">
        <v>3.4375000000000003E-2</v>
      </c>
      <c r="W116" s="69">
        <f t="shared" si="7"/>
        <v>2.0212500000000002</v>
      </c>
      <c r="X116" s="106">
        <v>58.8</v>
      </c>
      <c r="Y116" s="72" t="str">
        <f t="shared" si="8"/>
        <v>VR_2020_1x LCD_Rift S</v>
      </c>
      <c r="Z116" s="36" t="str">
        <f t="shared" si="9"/>
        <v>VR_2020_1x LCD</v>
      </c>
    </row>
    <row r="117" spans="3:26">
      <c r="C117" s="17">
        <v>109</v>
      </c>
      <c r="D117" s="109" t="s">
        <v>26</v>
      </c>
      <c r="E117" s="20" t="s">
        <v>9</v>
      </c>
      <c r="F117" s="20" t="s">
        <v>177</v>
      </c>
      <c r="G117" s="21" t="s">
        <v>110</v>
      </c>
      <c r="H117" s="21" t="s">
        <v>162</v>
      </c>
      <c r="I117" s="19" t="s">
        <v>26</v>
      </c>
      <c r="J117" s="19" t="s">
        <v>31</v>
      </c>
      <c r="K117" s="21" t="s">
        <v>15</v>
      </c>
      <c r="L117" s="33" t="str">
        <f t="shared" si="5"/>
        <v>1x LCD</v>
      </c>
      <c r="M117" s="21" t="s">
        <v>2</v>
      </c>
      <c r="N117" s="21" t="s">
        <v>146</v>
      </c>
      <c r="O117" s="27">
        <v>5.5</v>
      </c>
      <c r="P117" s="20">
        <v>3840</v>
      </c>
      <c r="Q117" s="20">
        <v>1832</v>
      </c>
      <c r="R117" s="29">
        <f t="shared" si="6"/>
        <v>773.56797048396322</v>
      </c>
      <c r="S117" s="20">
        <v>90</v>
      </c>
      <c r="T117" s="18">
        <v>44317</v>
      </c>
      <c r="U117" s="20">
        <v>1</v>
      </c>
      <c r="V117" s="120">
        <v>1.7874999999999999E-2</v>
      </c>
      <c r="W117" s="69">
        <f t="shared" si="7"/>
        <v>1.0510499999999998</v>
      </c>
      <c r="X117" s="106">
        <v>58.8</v>
      </c>
      <c r="Y117" s="72" t="str">
        <f t="shared" si="8"/>
        <v>VR_2020_1x LCD_Neo 3 / G3</v>
      </c>
      <c r="Z117" s="36" t="str">
        <f t="shared" si="9"/>
        <v>VR_2020_1x LCD</v>
      </c>
    </row>
    <row r="118" spans="3:26">
      <c r="C118" s="17">
        <v>110</v>
      </c>
      <c r="D118" s="109" t="s">
        <v>26</v>
      </c>
      <c r="E118" s="20" t="s">
        <v>9</v>
      </c>
      <c r="F118" s="20" t="s">
        <v>177</v>
      </c>
      <c r="G118" s="21" t="s">
        <v>108</v>
      </c>
      <c r="H118" s="21" t="s">
        <v>109</v>
      </c>
      <c r="I118" s="19" t="s">
        <v>26</v>
      </c>
      <c r="J118" s="19" t="s">
        <v>27</v>
      </c>
      <c r="K118" s="21" t="s">
        <v>15</v>
      </c>
      <c r="L118" s="33" t="str">
        <f t="shared" si="5"/>
        <v>2x LCD</v>
      </c>
      <c r="M118" s="21" t="s">
        <v>145</v>
      </c>
      <c r="N118" s="21" t="s">
        <v>146</v>
      </c>
      <c r="O118" s="27"/>
      <c r="P118" s="20"/>
      <c r="Q118" s="20"/>
      <c r="R118" s="29">
        <f t="shared" si="6"/>
        <v>0</v>
      </c>
      <c r="S118" s="20" t="s">
        <v>36</v>
      </c>
      <c r="T118" s="18" t="s">
        <v>143</v>
      </c>
      <c r="U118" s="20">
        <v>2</v>
      </c>
      <c r="V118" s="120">
        <v>2.4750000000000001E-2</v>
      </c>
      <c r="W118" s="69">
        <f t="shared" si="7"/>
        <v>0.97020000000000006</v>
      </c>
      <c r="X118" s="106">
        <v>39.200000000000003</v>
      </c>
      <c r="Y118" s="72" t="str">
        <f t="shared" si="8"/>
        <v>VR_2020_2x LCD_Pimax VR</v>
      </c>
      <c r="Z118" s="36" t="str">
        <f t="shared" si="9"/>
        <v>VR_2020_2x LCD</v>
      </c>
    </row>
    <row r="119" spans="3:26">
      <c r="C119" s="17">
        <v>111</v>
      </c>
      <c r="D119" s="109" t="s">
        <v>26</v>
      </c>
      <c r="E119" s="20" t="s">
        <v>9</v>
      </c>
      <c r="F119" s="20" t="s">
        <v>177</v>
      </c>
      <c r="G119" s="21" t="s">
        <v>6</v>
      </c>
      <c r="H119" s="21" t="s">
        <v>25</v>
      </c>
      <c r="I119" s="19" t="s">
        <v>26</v>
      </c>
      <c r="J119" s="19" t="s">
        <v>27</v>
      </c>
      <c r="K119" s="21" t="s">
        <v>28</v>
      </c>
      <c r="L119" s="33" t="str">
        <f t="shared" si="5"/>
        <v>1x AMOLED</v>
      </c>
      <c r="M119" s="21" t="s">
        <v>3</v>
      </c>
      <c r="N119" s="21" t="s">
        <v>143</v>
      </c>
      <c r="O119" s="27">
        <v>5.7</v>
      </c>
      <c r="P119" s="20">
        <v>1920</v>
      </c>
      <c r="Q119" s="20">
        <v>1080</v>
      </c>
      <c r="R119" s="29">
        <f t="shared" si="6"/>
        <v>386.47494211970144</v>
      </c>
      <c r="S119" s="20">
        <v>120</v>
      </c>
      <c r="T119" s="18">
        <v>42644</v>
      </c>
      <c r="U119" s="20">
        <v>1</v>
      </c>
      <c r="V119" s="120">
        <v>0.1</v>
      </c>
      <c r="W119" s="69">
        <f t="shared" si="7"/>
        <v>3.1890325711103999</v>
      </c>
      <c r="X119" s="106">
        <v>31.890325711103998</v>
      </c>
      <c r="Y119" s="72" t="str">
        <f t="shared" si="8"/>
        <v>VR_2020_1x AMOLED_PlayStation VR</v>
      </c>
      <c r="Z119" s="36" t="str">
        <f t="shared" si="9"/>
        <v>VR_2020_1x AMOLED</v>
      </c>
    </row>
    <row r="120" spans="3:26">
      <c r="C120" s="17">
        <v>112</v>
      </c>
      <c r="D120" s="109" t="s">
        <v>26</v>
      </c>
      <c r="E120" s="20" t="s">
        <v>9</v>
      </c>
      <c r="F120" s="20" t="s">
        <v>177</v>
      </c>
      <c r="G120" s="21" t="s">
        <v>97</v>
      </c>
      <c r="H120" s="21" t="s">
        <v>111</v>
      </c>
      <c r="I120" s="19" t="s">
        <v>26</v>
      </c>
      <c r="J120" s="19" t="s">
        <v>36</v>
      </c>
      <c r="K120" s="21" t="s">
        <v>15</v>
      </c>
      <c r="L120" s="33" t="str">
        <f t="shared" si="5"/>
        <v>2x LCD</v>
      </c>
      <c r="M120" s="21" t="s">
        <v>36</v>
      </c>
      <c r="N120" s="21" t="s">
        <v>143</v>
      </c>
      <c r="O120" s="27"/>
      <c r="P120" s="20"/>
      <c r="Q120" s="20"/>
      <c r="R120" s="29">
        <f t="shared" si="6"/>
        <v>0</v>
      </c>
      <c r="S120" s="20" t="s">
        <v>36</v>
      </c>
      <c r="T120" s="18" t="s">
        <v>143</v>
      </c>
      <c r="U120" s="20">
        <v>2</v>
      </c>
      <c r="V120" s="120">
        <v>1.375E-2</v>
      </c>
      <c r="W120" s="69">
        <f t="shared" si="7"/>
        <v>0.53900000000000003</v>
      </c>
      <c r="X120" s="106">
        <v>39.200000000000003</v>
      </c>
      <c r="Y120" s="72" t="str">
        <f t="shared" si="8"/>
        <v>VR_2020_2x LCD_Dual LCD VR headset</v>
      </c>
      <c r="Z120" s="36" t="str">
        <f t="shared" si="9"/>
        <v>VR_2020_2x LCD</v>
      </c>
    </row>
    <row r="121" spans="3:26">
      <c r="C121" s="17">
        <v>113</v>
      </c>
      <c r="D121" s="109" t="s">
        <v>26</v>
      </c>
      <c r="E121" s="20" t="s">
        <v>9</v>
      </c>
      <c r="F121" s="20" t="s">
        <v>177</v>
      </c>
      <c r="G121" s="21" t="s">
        <v>97</v>
      </c>
      <c r="H121" s="21" t="s">
        <v>42</v>
      </c>
      <c r="I121" s="19" t="s">
        <v>26</v>
      </c>
      <c r="J121" s="19" t="s">
        <v>36</v>
      </c>
      <c r="K121" s="21" t="s">
        <v>28</v>
      </c>
      <c r="L121" s="33" t="str">
        <f t="shared" si="5"/>
        <v>2x AMOLED</v>
      </c>
      <c r="M121" s="21" t="s">
        <v>36</v>
      </c>
      <c r="N121" s="21" t="s">
        <v>143</v>
      </c>
      <c r="O121" s="27"/>
      <c r="P121" s="20"/>
      <c r="Q121" s="20"/>
      <c r="R121" s="29">
        <f t="shared" si="6"/>
        <v>0</v>
      </c>
      <c r="S121" s="20" t="s">
        <v>36</v>
      </c>
      <c r="T121" s="18" t="s">
        <v>143</v>
      </c>
      <c r="U121" s="20">
        <v>2</v>
      </c>
      <c r="V121" s="120">
        <v>0.41749999999999998</v>
      </c>
      <c r="W121" s="69">
        <f t="shared" si="7"/>
        <v>9.3199476890701423</v>
      </c>
      <c r="X121" s="106">
        <v>22.323227997772797</v>
      </c>
      <c r="Y121" s="72" t="str">
        <f t="shared" si="8"/>
        <v>VR_2020_2x AMOLED_OLED VR headset</v>
      </c>
      <c r="Z121" s="36" t="str">
        <f t="shared" si="9"/>
        <v>VR_2020_2x AMOLED</v>
      </c>
    </row>
    <row r="122" spans="3:26">
      <c r="C122" s="17">
        <v>114</v>
      </c>
      <c r="D122" s="109" t="s">
        <v>26</v>
      </c>
      <c r="E122" s="20" t="s">
        <v>9</v>
      </c>
      <c r="F122" s="20" t="s">
        <v>177</v>
      </c>
      <c r="G122" s="21" t="s">
        <v>97</v>
      </c>
      <c r="H122" s="21" t="s">
        <v>161</v>
      </c>
      <c r="I122" s="19" t="s">
        <v>26</v>
      </c>
      <c r="J122" s="19" t="s">
        <v>36</v>
      </c>
      <c r="K122" s="21" t="s">
        <v>15</v>
      </c>
      <c r="L122" s="33" t="str">
        <f t="shared" si="5"/>
        <v>1x LCD</v>
      </c>
      <c r="M122" s="21" t="s">
        <v>36</v>
      </c>
      <c r="N122" s="21" t="s">
        <v>143</v>
      </c>
      <c r="O122" s="27"/>
      <c r="P122" s="20"/>
      <c r="Q122" s="20"/>
      <c r="R122" s="29">
        <f t="shared" si="6"/>
        <v>0</v>
      </c>
      <c r="S122" s="20" t="s">
        <v>36</v>
      </c>
      <c r="T122" s="18" t="s">
        <v>143</v>
      </c>
      <c r="U122" s="20">
        <v>1</v>
      </c>
      <c r="V122" s="120">
        <v>8.2583000000000004E-2</v>
      </c>
      <c r="W122" s="69">
        <f t="shared" si="7"/>
        <v>4.8558804000000002</v>
      </c>
      <c r="X122" s="106">
        <v>58.8</v>
      </c>
      <c r="Y122" s="72" t="str">
        <f t="shared" si="8"/>
        <v>VR_2020_1x LCD_Single LCD VR headset</v>
      </c>
      <c r="Z122" s="36" t="str">
        <f t="shared" si="9"/>
        <v>VR_2020_1x LCD</v>
      </c>
    </row>
    <row r="123" spans="3:26">
      <c r="C123" s="17">
        <v>115</v>
      </c>
      <c r="D123" s="109" t="s">
        <v>26</v>
      </c>
      <c r="E123" s="20" t="s">
        <v>9</v>
      </c>
      <c r="F123" s="20" t="s">
        <v>177</v>
      </c>
      <c r="G123" s="21" t="s">
        <v>38</v>
      </c>
      <c r="H123" s="21" t="s">
        <v>39</v>
      </c>
      <c r="I123" s="19" t="s">
        <v>26</v>
      </c>
      <c r="J123" s="19" t="s">
        <v>27</v>
      </c>
      <c r="K123" s="21" t="s">
        <v>15</v>
      </c>
      <c r="L123" s="33" t="str">
        <f t="shared" si="5"/>
        <v>2x LCD</v>
      </c>
      <c r="M123" s="21" t="s">
        <v>40</v>
      </c>
      <c r="N123" s="21" t="s">
        <v>143</v>
      </c>
      <c r="O123" s="27">
        <v>3.5</v>
      </c>
      <c r="P123" s="20">
        <v>1440</v>
      </c>
      <c r="Q123" s="20">
        <v>1600</v>
      </c>
      <c r="R123" s="29">
        <f t="shared" si="6"/>
        <v>615.02281358051255</v>
      </c>
      <c r="S123" s="20">
        <v>144</v>
      </c>
      <c r="T123" s="18">
        <v>43586</v>
      </c>
      <c r="U123" s="20">
        <v>2</v>
      </c>
      <c r="V123" s="120">
        <v>6.0499999999999998E-2</v>
      </c>
      <c r="W123" s="69">
        <f t="shared" si="7"/>
        <v>2.3715999999999999</v>
      </c>
      <c r="X123" s="106">
        <v>39.200000000000003</v>
      </c>
      <c r="Y123" s="72" t="str">
        <f t="shared" si="8"/>
        <v>VR_2020_2x LCD_Index</v>
      </c>
      <c r="Z123" s="36" t="str">
        <f t="shared" si="9"/>
        <v>VR_2020_2x LCD</v>
      </c>
    </row>
    <row r="124" spans="3:26">
      <c r="C124" s="17">
        <v>116</v>
      </c>
      <c r="D124" s="109" t="s">
        <v>129</v>
      </c>
      <c r="E124" s="20" t="s">
        <v>9</v>
      </c>
      <c r="F124" s="20" t="s">
        <v>177</v>
      </c>
      <c r="G124" s="21" t="s">
        <v>73</v>
      </c>
      <c r="H124" s="21" t="s">
        <v>74</v>
      </c>
      <c r="I124" s="19" t="s">
        <v>63</v>
      </c>
      <c r="J124" s="19" t="s">
        <v>31</v>
      </c>
      <c r="K124" s="21" t="s">
        <v>51</v>
      </c>
      <c r="L124" s="33" t="str">
        <f t="shared" si="5"/>
        <v>2x SiOLED</v>
      </c>
      <c r="M124" s="21" t="s">
        <v>73</v>
      </c>
      <c r="N124" s="21"/>
      <c r="O124" s="27">
        <v>0.43</v>
      </c>
      <c r="P124" s="20">
        <v>1280</v>
      </c>
      <c r="Q124" s="20">
        <v>720</v>
      </c>
      <c r="R124" s="29">
        <f t="shared" si="6"/>
        <v>3415.3599536159668</v>
      </c>
      <c r="S124" s="20" t="s">
        <v>36</v>
      </c>
      <c r="T124" s="18">
        <v>42401</v>
      </c>
      <c r="U124" s="20">
        <v>2</v>
      </c>
      <c r="V124" s="120">
        <v>3.5749999999999997E-2</v>
      </c>
      <c r="W124" s="69">
        <f t="shared" si="7"/>
        <v>3.0201599999999993</v>
      </c>
      <c r="X124" s="106">
        <v>84.47999999999999</v>
      </c>
      <c r="Y124" s="72" t="str">
        <f t="shared" si="8"/>
        <v>AR_2020_2x SiOLED_Moverio</v>
      </c>
      <c r="Z124" s="36" t="str">
        <f t="shared" si="9"/>
        <v>AR_2020_2x SiOLED</v>
      </c>
    </row>
    <row r="125" spans="3:26">
      <c r="C125" s="17">
        <v>117</v>
      </c>
      <c r="D125" s="109" t="s">
        <v>129</v>
      </c>
      <c r="E125" s="20" t="s">
        <v>9</v>
      </c>
      <c r="F125" s="20" t="s">
        <v>177</v>
      </c>
      <c r="G125" s="21" t="s">
        <v>71</v>
      </c>
      <c r="H125" s="21" t="s">
        <v>130</v>
      </c>
      <c r="I125" s="19" t="s">
        <v>63</v>
      </c>
      <c r="J125" s="19" t="s">
        <v>31</v>
      </c>
      <c r="K125" s="21" t="s">
        <v>168</v>
      </c>
      <c r="L125" s="33" t="str">
        <f t="shared" si="5"/>
        <v>1x Micro LCD</v>
      </c>
      <c r="M125" s="21" t="s">
        <v>72</v>
      </c>
      <c r="N125" s="21"/>
      <c r="O125" s="27"/>
      <c r="P125" s="20">
        <v>640</v>
      </c>
      <c r="Q125" s="20">
        <v>360</v>
      </c>
      <c r="R125" s="29">
        <f t="shared" si="6"/>
        <v>0</v>
      </c>
      <c r="S125" s="20" t="s">
        <v>36</v>
      </c>
      <c r="T125" s="18">
        <v>43586</v>
      </c>
      <c r="U125" s="20">
        <v>1</v>
      </c>
      <c r="V125" s="120">
        <v>8.2500000000000004E-3</v>
      </c>
      <c r="W125" s="69">
        <f t="shared" si="7"/>
        <v>0.34303499999999998</v>
      </c>
      <c r="X125" s="106">
        <v>41.58</v>
      </c>
      <c r="Y125" s="72" t="str">
        <f t="shared" si="8"/>
        <v>AR_2020_1x Micro LCD_Glass</v>
      </c>
      <c r="Z125" s="36" t="str">
        <f t="shared" si="9"/>
        <v>AR_2020_1x Micro LCD</v>
      </c>
    </row>
    <row r="126" spans="3:26">
      <c r="C126" s="17">
        <v>118</v>
      </c>
      <c r="D126" s="109" t="s">
        <v>129</v>
      </c>
      <c r="E126" s="20" t="s">
        <v>9</v>
      </c>
      <c r="F126" s="20" t="s">
        <v>177</v>
      </c>
      <c r="G126" s="21" t="s">
        <v>77</v>
      </c>
      <c r="H126" s="21" t="s">
        <v>78</v>
      </c>
      <c r="I126" s="19" t="s">
        <v>63</v>
      </c>
      <c r="J126" s="19" t="s">
        <v>27</v>
      </c>
      <c r="K126" s="21" t="s">
        <v>51</v>
      </c>
      <c r="L126" s="33" t="str">
        <f t="shared" si="5"/>
        <v>2x SiOLED</v>
      </c>
      <c r="M126" s="21" t="s">
        <v>6</v>
      </c>
      <c r="N126" s="21"/>
      <c r="O126" s="27">
        <v>0.71</v>
      </c>
      <c r="P126" s="20">
        <v>1920</v>
      </c>
      <c r="Q126" s="20">
        <v>1080</v>
      </c>
      <c r="R126" s="29">
        <f t="shared" si="6"/>
        <v>3102.6861550454905</v>
      </c>
      <c r="S126" s="20" t="s">
        <v>36</v>
      </c>
      <c r="T126" s="18">
        <v>44348</v>
      </c>
      <c r="U126" s="20">
        <v>2</v>
      </c>
      <c r="V126" s="120">
        <v>8.2500000000000004E-3</v>
      </c>
      <c r="W126" s="69">
        <f t="shared" si="7"/>
        <v>0.69695999999999991</v>
      </c>
      <c r="X126" s="106">
        <v>84.47999999999999</v>
      </c>
      <c r="Y126" s="72" t="str">
        <f t="shared" si="8"/>
        <v>AR_2020_2x SiOLED_ThinkReality A3</v>
      </c>
      <c r="Z126" s="36" t="str">
        <f t="shared" si="9"/>
        <v>AR_2020_2x SiOLED</v>
      </c>
    </row>
    <row r="127" spans="3:26">
      <c r="C127" s="17">
        <v>119</v>
      </c>
      <c r="D127" s="109" t="s">
        <v>129</v>
      </c>
      <c r="E127" s="20" t="s">
        <v>9</v>
      </c>
      <c r="F127" s="20" t="s">
        <v>177</v>
      </c>
      <c r="G127" s="21" t="s">
        <v>65</v>
      </c>
      <c r="H127" s="21" t="s">
        <v>66</v>
      </c>
      <c r="I127" s="19" t="s">
        <v>63</v>
      </c>
      <c r="J127" s="19" t="s">
        <v>31</v>
      </c>
      <c r="K127" s="21" t="s">
        <v>67</v>
      </c>
      <c r="L127" s="33" t="str">
        <f t="shared" si="5"/>
        <v>2x LCoS</v>
      </c>
      <c r="M127" s="21" t="s">
        <v>36</v>
      </c>
      <c r="N127" s="21"/>
      <c r="O127" s="27"/>
      <c r="P127" s="20">
        <v>1280</v>
      </c>
      <c r="Q127" s="20">
        <v>960</v>
      </c>
      <c r="R127" s="29">
        <f t="shared" si="6"/>
        <v>0</v>
      </c>
      <c r="S127" s="20">
        <v>120</v>
      </c>
      <c r="T127" s="18">
        <v>43313</v>
      </c>
      <c r="U127" s="20">
        <v>2</v>
      </c>
      <c r="V127" s="120">
        <v>8.25E-4</v>
      </c>
      <c r="W127" s="69">
        <f t="shared" si="7"/>
        <v>3.75705E-2</v>
      </c>
      <c r="X127" s="106">
        <v>45.54</v>
      </c>
      <c r="Y127" s="72" t="str">
        <f t="shared" si="8"/>
        <v>AR_2020_2x LCoS_ML One</v>
      </c>
      <c r="Z127" s="36" t="str">
        <f t="shared" si="9"/>
        <v>AR_2020_2x LCoS</v>
      </c>
    </row>
    <row r="128" spans="3:26">
      <c r="C128" s="17">
        <v>120</v>
      </c>
      <c r="D128" s="109" t="s">
        <v>129</v>
      </c>
      <c r="E128" s="20" t="s">
        <v>9</v>
      </c>
      <c r="F128" s="20" t="s">
        <v>177</v>
      </c>
      <c r="G128" s="21" t="s">
        <v>61</v>
      </c>
      <c r="H128" s="21" t="s">
        <v>62</v>
      </c>
      <c r="I128" s="19" t="s">
        <v>63</v>
      </c>
      <c r="J128" s="19" t="s">
        <v>31</v>
      </c>
      <c r="K128" s="21" t="s">
        <v>64</v>
      </c>
      <c r="L128" s="33" t="str">
        <f t="shared" si="5"/>
        <v>2x LBS</v>
      </c>
      <c r="M128" s="21" t="s">
        <v>36</v>
      </c>
      <c r="N128" s="21"/>
      <c r="O128" s="27"/>
      <c r="P128" s="20"/>
      <c r="Q128" s="20"/>
      <c r="R128" s="29">
        <f t="shared" si="6"/>
        <v>0</v>
      </c>
      <c r="S128" s="20" t="s">
        <v>36</v>
      </c>
      <c r="T128" s="18">
        <v>43770</v>
      </c>
      <c r="U128" s="20">
        <v>2</v>
      </c>
      <c r="V128" s="120">
        <v>6.8750000000000006E-2</v>
      </c>
      <c r="W128" s="69">
        <f t="shared" si="7"/>
        <v>7.4690000000000003</v>
      </c>
      <c r="X128" s="106">
        <v>108.64</v>
      </c>
      <c r="Y128" s="72" t="str">
        <f t="shared" si="8"/>
        <v>AR_2020_2x LBS_HoloLens 2</v>
      </c>
      <c r="Z128" s="36" t="str">
        <f t="shared" si="9"/>
        <v>AR_2020_2x LBS</v>
      </c>
    </row>
    <row r="129" spans="3:26">
      <c r="C129" s="17">
        <v>121</v>
      </c>
      <c r="D129" s="109" t="s">
        <v>129</v>
      </c>
      <c r="E129" s="20" t="s">
        <v>9</v>
      </c>
      <c r="F129" s="20" t="s">
        <v>177</v>
      </c>
      <c r="G129" s="21" t="s">
        <v>186</v>
      </c>
      <c r="H129" s="21" t="s">
        <v>187</v>
      </c>
      <c r="I129" s="19" t="s">
        <v>63</v>
      </c>
      <c r="J129" s="19" t="s">
        <v>27</v>
      </c>
      <c r="K129" s="21" t="s">
        <v>51</v>
      </c>
      <c r="L129" s="33" t="str">
        <f t="shared" si="5"/>
        <v>2x SiOLED</v>
      </c>
      <c r="M129" s="21" t="s">
        <v>145</v>
      </c>
      <c r="N129" s="21"/>
      <c r="O129" s="27">
        <v>0.71</v>
      </c>
      <c r="P129" s="20">
        <v>1920</v>
      </c>
      <c r="Q129" s="20">
        <v>1080</v>
      </c>
      <c r="R129" s="29">
        <f t="shared" si="6"/>
        <v>3102.6861550454905</v>
      </c>
      <c r="S129" s="20">
        <v>90</v>
      </c>
      <c r="T129" s="18">
        <v>44044</v>
      </c>
      <c r="U129" s="20">
        <v>2</v>
      </c>
      <c r="V129" s="120">
        <v>1.6500000000000001E-2</v>
      </c>
      <c r="W129" s="69">
        <f t="shared" si="7"/>
        <v>1.3939199999999998</v>
      </c>
      <c r="X129" s="106">
        <v>84.47999999999999</v>
      </c>
      <c r="Y129" s="72" t="str">
        <f t="shared" si="8"/>
        <v>AR_2020_2x SiOLED_Light</v>
      </c>
      <c r="Z129" s="36" t="str">
        <f t="shared" si="9"/>
        <v>AR_2020_2x SiOLED</v>
      </c>
    </row>
    <row r="130" spans="3:26">
      <c r="C130" s="17">
        <v>122</v>
      </c>
      <c r="D130" s="109" t="s">
        <v>129</v>
      </c>
      <c r="E130" s="20" t="s">
        <v>9</v>
      </c>
      <c r="F130" s="20" t="s">
        <v>177</v>
      </c>
      <c r="G130" s="21" t="s">
        <v>68</v>
      </c>
      <c r="H130" s="21" t="s">
        <v>69</v>
      </c>
      <c r="I130" s="19" t="s">
        <v>63</v>
      </c>
      <c r="J130" s="19" t="s">
        <v>31</v>
      </c>
      <c r="K130" s="21" t="s">
        <v>70</v>
      </c>
      <c r="L130" s="33" t="str">
        <f t="shared" si="5"/>
        <v>1x DLP</v>
      </c>
      <c r="M130" s="21" t="s">
        <v>172</v>
      </c>
      <c r="N130" s="21"/>
      <c r="O130" s="27"/>
      <c r="P130" s="20">
        <v>853</v>
      </c>
      <c r="Q130" s="20">
        <v>480</v>
      </c>
      <c r="R130" s="29">
        <f t="shared" si="6"/>
        <v>0</v>
      </c>
      <c r="S130" s="20" t="s">
        <v>36</v>
      </c>
      <c r="T130" s="18">
        <v>43466</v>
      </c>
      <c r="U130" s="20">
        <v>1</v>
      </c>
      <c r="V130" s="120">
        <v>9.6299999999999999E-4</v>
      </c>
      <c r="W130" s="69">
        <f t="shared" si="7"/>
        <v>7.9129710000000006E-2</v>
      </c>
      <c r="X130" s="106">
        <v>82.17</v>
      </c>
      <c r="Y130" s="72" t="str">
        <f t="shared" si="8"/>
        <v>AR_2020_1x DLP_Blade</v>
      </c>
      <c r="Z130" s="36" t="str">
        <f t="shared" si="9"/>
        <v>AR_2020_1x DLP</v>
      </c>
    </row>
    <row r="131" spans="3:26">
      <c r="C131" s="17">
        <v>123</v>
      </c>
      <c r="D131" s="109" t="s">
        <v>129</v>
      </c>
      <c r="E131" s="20" t="s">
        <v>9</v>
      </c>
      <c r="F131" s="20" t="s">
        <v>177</v>
      </c>
      <c r="G131" s="21" t="s">
        <v>97</v>
      </c>
      <c r="H131" s="21" t="s">
        <v>76</v>
      </c>
      <c r="I131" s="19" t="s">
        <v>63</v>
      </c>
      <c r="J131" s="19" t="s">
        <v>36</v>
      </c>
      <c r="K131" s="21" t="s">
        <v>70</v>
      </c>
      <c r="L131" s="33" t="str">
        <f t="shared" si="5"/>
        <v>1x DLP</v>
      </c>
      <c r="M131" s="21" t="s">
        <v>36</v>
      </c>
      <c r="N131" s="21"/>
      <c r="O131" s="27"/>
      <c r="P131" s="20"/>
      <c r="Q131" s="20"/>
      <c r="R131" s="29">
        <f t="shared" si="6"/>
        <v>0</v>
      </c>
      <c r="S131" s="20" t="s">
        <v>36</v>
      </c>
      <c r="T131" s="18" t="s">
        <v>143</v>
      </c>
      <c r="U131" s="20">
        <v>1</v>
      </c>
      <c r="V131" s="120">
        <v>1.3800000000000002E-4</v>
      </c>
      <c r="W131" s="69">
        <f t="shared" si="7"/>
        <v>1.1339460000000003E-2</v>
      </c>
      <c r="X131" s="106">
        <v>82.17</v>
      </c>
      <c r="Y131" s="72" t="str">
        <f t="shared" si="8"/>
        <v>AR_2020_1x DLP_DLP glasses</v>
      </c>
      <c r="Z131" s="36" t="str">
        <f t="shared" si="9"/>
        <v>AR_2020_1x DLP</v>
      </c>
    </row>
    <row r="132" spans="3:26">
      <c r="C132" s="17">
        <v>124</v>
      </c>
      <c r="D132" s="109" t="s">
        <v>129</v>
      </c>
      <c r="E132" s="20" t="s">
        <v>9</v>
      </c>
      <c r="F132" s="20" t="s">
        <v>177</v>
      </c>
      <c r="G132" s="21" t="s">
        <v>97</v>
      </c>
      <c r="H132" s="21" t="s">
        <v>75</v>
      </c>
      <c r="I132" s="19" t="s">
        <v>63</v>
      </c>
      <c r="J132" s="19" t="s">
        <v>36</v>
      </c>
      <c r="K132" s="21" t="s">
        <v>67</v>
      </c>
      <c r="L132" s="33" t="str">
        <f t="shared" si="5"/>
        <v>2x LCoS</v>
      </c>
      <c r="M132" s="21" t="s">
        <v>36</v>
      </c>
      <c r="N132" s="21"/>
      <c r="O132" s="27"/>
      <c r="P132" s="20"/>
      <c r="Q132" s="20"/>
      <c r="R132" s="29">
        <f t="shared" si="6"/>
        <v>0</v>
      </c>
      <c r="S132" s="20" t="s">
        <v>36</v>
      </c>
      <c r="T132" s="18" t="s">
        <v>143</v>
      </c>
      <c r="U132" s="20">
        <v>2</v>
      </c>
      <c r="V132" s="120">
        <v>2.7499999999999998E-3</v>
      </c>
      <c r="W132" s="69">
        <f t="shared" si="7"/>
        <v>0.12523499999999999</v>
      </c>
      <c r="X132" s="106">
        <v>45.54</v>
      </c>
      <c r="Y132" s="72" t="str">
        <f t="shared" si="8"/>
        <v>AR_2020_2x LCoS_LCoS glasses</v>
      </c>
      <c r="Z132" s="36" t="str">
        <f t="shared" si="9"/>
        <v>AR_2020_2x LCoS</v>
      </c>
    </row>
    <row r="133" spans="3:26">
      <c r="C133" s="17">
        <v>125</v>
      </c>
      <c r="D133" s="109" t="s">
        <v>129</v>
      </c>
      <c r="E133" s="20" t="s">
        <v>9</v>
      </c>
      <c r="F133" s="20" t="s">
        <v>177</v>
      </c>
      <c r="G133" s="21" t="s">
        <v>97</v>
      </c>
      <c r="H133" s="21" t="s">
        <v>79</v>
      </c>
      <c r="I133" s="19" t="s">
        <v>63</v>
      </c>
      <c r="J133" s="19" t="s">
        <v>36</v>
      </c>
      <c r="K133" s="21" t="s">
        <v>51</v>
      </c>
      <c r="L133" s="33" t="str">
        <f t="shared" si="5"/>
        <v>2x SiOLED</v>
      </c>
      <c r="M133" s="21" t="s">
        <v>36</v>
      </c>
      <c r="N133" s="21"/>
      <c r="O133" s="27"/>
      <c r="P133" s="20"/>
      <c r="Q133" s="20"/>
      <c r="R133" s="29">
        <f t="shared" si="6"/>
        <v>0</v>
      </c>
      <c r="S133" s="20" t="s">
        <v>36</v>
      </c>
      <c r="T133" s="18" t="s">
        <v>143</v>
      </c>
      <c r="U133" s="20">
        <v>2</v>
      </c>
      <c r="V133" s="120">
        <v>1.65E-3</v>
      </c>
      <c r="W133" s="69">
        <f t="shared" si="7"/>
        <v>0.13939199999999999</v>
      </c>
      <c r="X133" s="106">
        <v>84.47999999999999</v>
      </c>
      <c r="Y133" s="72" t="str">
        <f t="shared" si="8"/>
        <v>AR_2020_2x SiOLED_SiOLED glasses</v>
      </c>
      <c r="Z133" s="36" t="str">
        <f t="shared" si="9"/>
        <v>AR_2020_2x SiOLED</v>
      </c>
    </row>
    <row r="134" spans="3:26">
      <c r="C134" s="17">
        <v>126</v>
      </c>
      <c r="D134" s="109" t="s">
        <v>26</v>
      </c>
      <c r="E134" s="20" t="s">
        <v>9</v>
      </c>
      <c r="F134" s="20" t="s">
        <v>179</v>
      </c>
      <c r="G134" s="21" t="s">
        <v>106</v>
      </c>
      <c r="H134" s="21" t="s">
        <v>107</v>
      </c>
      <c r="I134" s="19" t="s">
        <v>26</v>
      </c>
      <c r="J134" s="19" t="s">
        <v>31</v>
      </c>
      <c r="K134" s="21" t="s">
        <v>15</v>
      </c>
      <c r="L134" s="33" t="str">
        <f t="shared" si="5"/>
        <v>1x LCD</v>
      </c>
      <c r="M134" s="21" t="s">
        <v>36</v>
      </c>
      <c r="N134" s="21" t="s">
        <v>143</v>
      </c>
      <c r="O134" s="27"/>
      <c r="P134" s="20"/>
      <c r="Q134" s="20"/>
      <c r="R134" s="29">
        <f t="shared" si="6"/>
        <v>0</v>
      </c>
      <c r="S134" s="20" t="s">
        <v>36</v>
      </c>
      <c r="T134" s="18">
        <v>43770</v>
      </c>
      <c r="U134" s="20">
        <v>1</v>
      </c>
      <c r="V134" s="120">
        <v>0.12375</v>
      </c>
      <c r="W134" s="69">
        <f t="shared" si="7"/>
        <v>7.2764999999999995</v>
      </c>
      <c r="X134" s="106">
        <v>58.8</v>
      </c>
      <c r="Y134" s="72" t="str">
        <f t="shared" si="8"/>
        <v>VR_2020_1x LCD_P1 family</v>
      </c>
      <c r="Z134" s="36" t="str">
        <f t="shared" si="9"/>
        <v>VR_2020_1x LCD</v>
      </c>
    </row>
    <row r="135" spans="3:26">
      <c r="C135" s="17">
        <v>127</v>
      </c>
      <c r="D135" s="109" t="s">
        <v>26</v>
      </c>
      <c r="E135" s="20" t="s">
        <v>9</v>
      </c>
      <c r="F135" s="20" t="s">
        <v>179</v>
      </c>
      <c r="G135" s="21" t="s">
        <v>34</v>
      </c>
      <c r="H135" s="21" t="s">
        <v>35</v>
      </c>
      <c r="I135" s="19" t="s">
        <v>26</v>
      </c>
      <c r="J135" s="19" t="s">
        <v>27</v>
      </c>
      <c r="K135" s="21" t="s">
        <v>15</v>
      </c>
      <c r="L135" s="33" t="str">
        <f t="shared" si="5"/>
        <v>2x LCD</v>
      </c>
      <c r="M135" s="21" t="s">
        <v>36</v>
      </c>
      <c r="N135" s="21" t="s">
        <v>143</v>
      </c>
      <c r="O135" s="27">
        <v>2.89</v>
      </c>
      <c r="P135" s="20">
        <v>2160</v>
      </c>
      <c r="Q135" s="20">
        <v>2160</v>
      </c>
      <c r="R135" s="29">
        <f t="shared" si="6"/>
        <v>1056.990067379199</v>
      </c>
      <c r="S135" s="20">
        <v>90</v>
      </c>
      <c r="T135" s="18">
        <v>43586</v>
      </c>
      <c r="U135" s="20">
        <v>2</v>
      </c>
      <c r="V135" s="120">
        <v>2.75E-2</v>
      </c>
      <c r="W135" s="69">
        <f t="shared" si="7"/>
        <v>1.0780000000000001</v>
      </c>
      <c r="X135" s="106">
        <v>39.200000000000003</v>
      </c>
      <c r="Y135" s="72" t="str">
        <f t="shared" si="8"/>
        <v>VR_2020_2x LCD_Reverb</v>
      </c>
      <c r="Z135" s="36" t="str">
        <f t="shared" si="9"/>
        <v>VR_2020_2x LCD</v>
      </c>
    </row>
    <row r="136" spans="3:26">
      <c r="C136" s="17">
        <v>128</v>
      </c>
      <c r="D136" s="109" t="s">
        <v>26</v>
      </c>
      <c r="E136" s="20" t="s">
        <v>9</v>
      </c>
      <c r="F136" s="20" t="s">
        <v>179</v>
      </c>
      <c r="G136" s="21" t="s">
        <v>34</v>
      </c>
      <c r="H136" s="21" t="s">
        <v>37</v>
      </c>
      <c r="I136" s="19" t="s">
        <v>26</v>
      </c>
      <c r="J136" s="19" t="s">
        <v>27</v>
      </c>
      <c r="K136" s="21" t="s">
        <v>15</v>
      </c>
      <c r="L136" s="33" t="str">
        <f t="shared" si="5"/>
        <v>2x LCD</v>
      </c>
      <c r="M136" s="21" t="s">
        <v>36</v>
      </c>
      <c r="N136" s="21" t="s">
        <v>143</v>
      </c>
      <c r="O136" s="27">
        <v>2.89</v>
      </c>
      <c r="P136" s="20">
        <v>2160</v>
      </c>
      <c r="Q136" s="20">
        <v>2160</v>
      </c>
      <c r="R136" s="29">
        <f t="shared" si="6"/>
        <v>1056.990067379199</v>
      </c>
      <c r="S136" s="20">
        <v>90</v>
      </c>
      <c r="T136" s="18">
        <v>44136</v>
      </c>
      <c r="U136" s="20">
        <v>2</v>
      </c>
      <c r="V136" s="120">
        <v>1.375E-2</v>
      </c>
      <c r="W136" s="69">
        <f t="shared" si="7"/>
        <v>0.53900000000000003</v>
      </c>
      <c r="X136" s="106">
        <v>39.200000000000003</v>
      </c>
      <c r="Y136" s="72" t="str">
        <f t="shared" si="8"/>
        <v>VR_2020_2x LCD_Reverb G2</v>
      </c>
      <c r="Z136" s="36" t="str">
        <f t="shared" si="9"/>
        <v>VR_2020_2x LCD</v>
      </c>
    </row>
    <row r="137" spans="3:26">
      <c r="C137" s="17">
        <v>129</v>
      </c>
      <c r="D137" s="109" t="s">
        <v>26</v>
      </c>
      <c r="E137" s="20" t="s">
        <v>9</v>
      </c>
      <c r="F137" s="20" t="s">
        <v>179</v>
      </c>
      <c r="G137" s="21" t="s">
        <v>41</v>
      </c>
      <c r="H137" s="21" t="s">
        <v>178</v>
      </c>
      <c r="I137" s="19" t="s">
        <v>26</v>
      </c>
      <c r="J137" s="19" t="s">
        <v>31</v>
      </c>
      <c r="K137" s="21" t="s">
        <v>15</v>
      </c>
      <c r="L137" s="33" t="str">
        <f t="shared" ref="L137:L200" si="10">IF(U137=0, "", U137&amp;"x "&amp;K137)</f>
        <v>2x LCD</v>
      </c>
      <c r="M137" s="21" t="s">
        <v>2</v>
      </c>
      <c r="N137" s="21" t="s">
        <v>143</v>
      </c>
      <c r="O137" s="27"/>
      <c r="P137" s="20"/>
      <c r="Q137" s="20"/>
      <c r="R137" s="29">
        <f t="shared" ref="R137:R200" si="11">IF(O137=0, 0, SQRT(Q137^2+P137^2)/O137)</f>
        <v>0</v>
      </c>
      <c r="S137" s="20" t="s">
        <v>36</v>
      </c>
      <c r="T137" s="18">
        <v>43739</v>
      </c>
      <c r="U137" s="20">
        <v>2</v>
      </c>
      <c r="V137" s="120">
        <v>1.0999999999999999E-2</v>
      </c>
      <c r="W137" s="69">
        <f t="shared" ref="W137:W200" si="12">V137*X137</f>
        <v>0.43120000000000003</v>
      </c>
      <c r="X137" s="106">
        <v>39.200000000000003</v>
      </c>
      <c r="Y137" s="72" t="str">
        <f t="shared" ref="Y137:Y200" si="13">D137&amp;"_"&amp;E137&amp;"_"&amp;L137&amp;"_"&amp;H137</f>
        <v>VR_2020_2x LCD_Vive LCD headsets</v>
      </c>
      <c r="Z137" s="36" t="str">
        <f t="shared" ref="Z137:Z200" si="14">D137&amp;"_"&amp;E137&amp;"_"&amp;L137</f>
        <v>VR_2020_2x LCD</v>
      </c>
    </row>
    <row r="138" spans="3:26">
      <c r="C138" s="17">
        <v>130</v>
      </c>
      <c r="D138" s="109" t="s">
        <v>26</v>
      </c>
      <c r="E138" s="20" t="s">
        <v>9</v>
      </c>
      <c r="F138" s="20" t="s">
        <v>179</v>
      </c>
      <c r="G138" s="21" t="s">
        <v>112</v>
      </c>
      <c r="H138" s="21" t="s">
        <v>32</v>
      </c>
      <c r="I138" s="19" t="s">
        <v>26</v>
      </c>
      <c r="J138" s="19" t="s">
        <v>31</v>
      </c>
      <c r="K138" s="21" t="s">
        <v>15</v>
      </c>
      <c r="L138" s="33" t="str">
        <f t="shared" si="10"/>
        <v>1x LCD</v>
      </c>
      <c r="M138" s="21" t="s">
        <v>2</v>
      </c>
      <c r="N138" s="21" t="s">
        <v>166</v>
      </c>
      <c r="O138" s="27">
        <v>5.5</v>
      </c>
      <c r="P138" s="20">
        <v>3840</v>
      </c>
      <c r="Q138" s="20">
        <v>1832</v>
      </c>
      <c r="R138" s="29">
        <f t="shared" si="11"/>
        <v>773.56797048396322</v>
      </c>
      <c r="S138" s="20">
        <v>90</v>
      </c>
      <c r="T138" s="18">
        <v>44105</v>
      </c>
      <c r="U138" s="20">
        <v>1</v>
      </c>
      <c r="V138" s="120">
        <v>1.5125</v>
      </c>
      <c r="W138" s="69">
        <f t="shared" si="12"/>
        <v>88.934999999999988</v>
      </c>
      <c r="X138" s="106">
        <v>58.8</v>
      </c>
      <c r="Y138" s="72" t="str">
        <f t="shared" si="13"/>
        <v>VR_2020_1x LCD_Quest 2</v>
      </c>
      <c r="Z138" s="36" t="str">
        <f t="shared" si="14"/>
        <v>VR_2020_1x LCD</v>
      </c>
    </row>
    <row r="139" spans="3:26">
      <c r="C139" s="17">
        <v>131</v>
      </c>
      <c r="D139" s="109" t="s">
        <v>26</v>
      </c>
      <c r="E139" s="20" t="s">
        <v>9</v>
      </c>
      <c r="F139" s="20" t="s">
        <v>179</v>
      </c>
      <c r="G139" s="21" t="s">
        <v>29</v>
      </c>
      <c r="H139" s="21" t="s">
        <v>30</v>
      </c>
      <c r="I139" s="19" t="s">
        <v>26</v>
      </c>
      <c r="J139" s="19" t="s">
        <v>31</v>
      </c>
      <c r="K139" s="21" t="s">
        <v>28</v>
      </c>
      <c r="L139" s="33" t="str">
        <f t="shared" si="10"/>
        <v>2x AMOLED</v>
      </c>
      <c r="M139" s="21" t="s">
        <v>3</v>
      </c>
      <c r="N139" s="21" t="s">
        <v>143</v>
      </c>
      <c r="O139" s="27">
        <v>3.5</v>
      </c>
      <c r="P139" s="20">
        <v>1440</v>
      </c>
      <c r="Q139" s="20">
        <v>1600</v>
      </c>
      <c r="R139" s="29">
        <f t="shared" si="11"/>
        <v>615.02281358051255</v>
      </c>
      <c r="S139" s="20">
        <v>72</v>
      </c>
      <c r="T139" s="18">
        <v>43586</v>
      </c>
      <c r="U139" s="20">
        <v>2</v>
      </c>
      <c r="V139" s="120">
        <v>8.2500000000000004E-2</v>
      </c>
      <c r="W139" s="69">
        <f t="shared" si="12"/>
        <v>1.8048329836199308</v>
      </c>
      <c r="X139" s="106">
        <v>21.876763437817342</v>
      </c>
      <c r="Y139" s="72" t="str">
        <f t="shared" si="13"/>
        <v>VR_2020_2x AMOLED_Quest</v>
      </c>
      <c r="Z139" s="36" t="str">
        <f t="shared" si="14"/>
        <v>VR_2020_2x AMOLED</v>
      </c>
    </row>
    <row r="140" spans="3:26">
      <c r="C140" s="17">
        <v>132</v>
      </c>
      <c r="D140" s="109" t="s">
        <v>26</v>
      </c>
      <c r="E140" s="20" t="s">
        <v>9</v>
      </c>
      <c r="F140" s="20" t="s">
        <v>179</v>
      </c>
      <c r="G140" s="21" t="s">
        <v>29</v>
      </c>
      <c r="H140" s="21" t="s">
        <v>33</v>
      </c>
      <c r="I140" s="19" t="s">
        <v>26</v>
      </c>
      <c r="J140" s="19" t="s">
        <v>27</v>
      </c>
      <c r="K140" s="21" t="s">
        <v>15</v>
      </c>
      <c r="L140" s="33" t="str">
        <f t="shared" si="10"/>
        <v>1x LCD</v>
      </c>
      <c r="M140" s="21" t="s">
        <v>2</v>
      </c>
      <c r="N140" s="21" t="s">
        <v>4</v>
      </c>
      <c r="O140" s="27">
        <v>5.46</v>
      </c>
      <c r="P140" s="20">
        <v>2560</v>
      </c>
      <c r="Q140" s="20">
        <v>1440</v>
      </c>
      <c r="R140" s="29">
        <f t="shared" si="11"/>
        <v>537.95046888456613</v>
      </c>
      <c r="S140" s="20">
        <v>80</v>
      </c>
      <c r="T140" s="18">
        <v>43586</v>
      </c>
      <c r="U140" s="20">
        <v>1</v>
      </c>
      <c r="V140" s="120">
        <v>3.4375000000000003E-2</v>
      </c>
      <c r="W140" s="69">
        <f t="shared" si="12"/>
        <v>2.0212500000000002</v>
      </c>
      <c r="X140" s="106">
        <v>58.8</v>
      </c>
      <c r="Y140" s="72" t="str">
        <f t="shared" si="13"/>
        <v>VR_2020_1x LCD_Rift S</v>
      </c>
      <c r="Z140" s="36" t="str">
        <f t="shared" si="14"/>
        <v>VR_2020_1x LCD</v>
      </c>
    </row>
    <row r="141" spans="3:26">
      <c r="C141" s="17">
        <v>133</v>
      </c>
      <c r="D141" s="109" t="s">
        <v>26</v>
      </c>
      <c r="E141" s="20" t="s">
        <v>9</v>
      </c>
      <c r="F141" s="20" t="s">
        <v>179</v>
      </c>
      <c r="G141" s="21" t="s">
        <v>110</v>
      </c>
      <c r="H141" s="21" t="s">
        <v>162</v>
      </c>
      <c r="I141" s="19" t="s">
        <v>26</v>
      </c>
      <c r="J141" s="19" t="s">
        <v>31</v>
      </c>
      <c r="K141" s="21" t="s">
        <v>15</v>
      </c>
      <c r="L141" s="33" t="str">
        <f t="shared" si="10"/>
        <v>1x LCD</v>
      </c>
      <c r="M141" s="21" t="s">
        <v>2</v>
      </c>
      <c r="N141" s="21" t="s">
        <v>146</v>
      </c>
      <c r="O141" s="27">
        <v>5.5</v>
      </c>
      <c r="P141" s="20">
        <v>3840</v>
      </c>
      <c r="Q141" s="20">
        <v>1832</v>
      </c>
      <c r="R141" s="29">
        <f t="shared" si="11"/>
        <v>773.56797048396322</v>
      </c>
      <c r="S141" s="20">
        <v>90</v>
      </c>
      <c r="T141" s="18">
        <v>44317</v>
      </c>
      <c r="U141" s="20">
        <v>1</v>
      </c>
      <c r="V141" s="120">
        <v>1.7874999999999999E-2</v>
      </c>
      <c r="W141" s="69">
        <f t="shared" si="12"/>
        <v>1.0510499999999998</v>
      </c>
      <c r="X141" s="106">
        <v>58.8</v>
      </c>
      <c r="Y141" s="72" t="str">
        <f t="shared" si="13"/>
        <v>VR_2020_1x LCD_Neo 3 / G3</v>
      </c>
      <c r="Z141" s="36" t="str">
        <f t="shared" si="14"/>
        <v>VR_2020_1x LCD</v>
      </c>
    </row>
    <row r="142" spans="3:26">
      <c r="C142" s="17">
        <v>134</v>
      </c>
      <c r="D142" s="109" t="s">
        <v>26</v>
      </c>
      <c r="E142" s="20" t="s">
        <v>9</v>
      </c>
      <c r="F142" s="20" t="s">
        <v>179</v>
      </c>
      <c r="G142" s="21" t="s">
        <v>108</v>
      </c>
      <c r="H142" s="21" t="s">
        <v>109</v>
      </c>
      <c r="I142" s="19" t="s">
        <v>26</v>
      </c>
      <c r="J142" s="19" t="s">
        <v>27</v>
      </c>
      <c r="K142" s="21" t="s">
        <v>15</v>
      </c>
      <c r="L142" s="33" t="str">
        <f t="shared" si="10"/>
        <v>2x LCD</v>
      </c>
      <c r="M142" s="21" t="s">
        <v>145</v>
      </c>
      <c r="N142" s="21" t="s">
        <v>146</v>
      </c>
      <c r="O142" s="27"/>
      <c r="P142" s="20"/>
      <c r="Q142" s="20"/>
      <c r="R142" s="29">
        <f t="shared" si="11"/>
        <v>0</v>
      </c>
      <c r="S142" s="20" t="s">
        <v>36</v>
      </c>
      <c r="T142" s="18" t="s">
        <v>143</v>
      </c>
      <c r="U142" s="20">
        <v>2</v>
      </c>
      <c r="V142" s="120">
        <v>2.4750000000000001E-2</v>
      </c>
      <c r="W142" s="69">
        <f t="shared" si="12"/>
        <v>0.97020000000000006</v>
      </c>
      <c r="X142" s="106">
        <v>39.200000000000003</v>
      </c>
      <c r="Y142" s="72" t="str">
        <f t="shared" si="13"/>
        <v>VR_2020_2x LCD_Pimax VR</v>
      </c>
      <c r="Z142" s="36" t="str">
        <f t="shared" si="14"/>
        <v>VR_2020_2x LCD</v>
      </c>
    </row>
    <row r="143" spans="3:26">
      <c r="C143" s="17">
        <v>135</v>
      </c>
      <c r="D143" s="109" t="s">
        <v>26</v>
      </c>
      <c r="E143" s="20" t="s">
        <v>9</v>
      </c>
      <c r="F143" s="20" t="s">
        <v>179</v>
      </c>
      <c r="G143" s="21" t="s">
        <v>6</v>
      </c>
      <c r="H143" s="21" t="s">
        <v>25</v>
      </c>
      <c r="I143" s="19" t="s">
        <v>26</v>
      </c>
      <c r="J143" s="19" t="s">
        <v>27</v>
      </c>
      <c r="K143" s="21" t="s">
        <v>28</v>
      </c>
      <c r="L143" s="33" t="str">
        <f t="shared" si="10"/>
        <v>1x AMOLED</v>
      </c>
      <c r="M143" s="21" t="s">
        <v>3</v>
      </c>
      <c r="N143" s="21" t="s">
        <v>143</v>
      </c>
      <c r="O143" s="27">
        <v>5.7</v>
      </c>
      <c r="P143" s="20">
        <v>1920</v>
      </c>
      <c r="Q143" s="20">
        <v>1080</v>
      </c>
      <c r="R143" s="29">
        <f t="shared" si="11"/>
        <v>386.47494211970144</v>
      </c>
      <c r="S143" s="20">
        <v>120</v>
      </c>
      <c r="T143" s="18">
        <v>42644</v>
      </c>
      <c r="U143" s="20">
        <v>1</v>
      </c>
      <c r="V143" s="120">
        <v>0.1</v>
      </c>
      <c r="W143" s="69">
        <f t="shared" si="12"/>
        <v>3.1252519196881918</v>
      </c>
      <c r="X143" s="106">
        <v>31.252519196881916</v>
      </c>
      <c r="Y143" s="72" t="str">
        <f t="shared" si="13"/>
        <v>VR_2020_1x AMOLED_PlayStation VR</v>
      </c>
      <c r="Z143" s="36" t="str">
        <f t="shared" si="14"/>
        <v>VR_2020_1x AMOLED</v>
      </c>
    </row>
    <row r="144" spans="3:26">
      <c r="C144" s="17">
        <v>136</v>
      </c>
      <c r="D144" s="109" t="s">
        <v>26</v>
      </c>
      <c r="E144" s="20" t="s">
        <v>9</v>
      </c>
      <c r="F144" s="20" t="s">
        <v>179</v>
      </c>
      <c r="G144" s="21" t="s">
        <v>97</v>
      </c>
      <c r="H144" s="21" t="s">
        <v>111</v>
      </c>
      <c r="I144" s="19" t="s">
        <v>26</v>
      </c>
      <c r="J144" s="19" t="s">
        <v>36</v>
      </c>
      <c r="K144" s="21" t="s">
        <v>15</v>
      </c>
      <c r="L144" s="33" t="str">
        <f t="shared" si="10"/>
        <v>2x LCD</v>
      </c>
      <c r="M144" s="21" t="s">
        <v>36</v>
      </c>
      <c r="N144" s="21" t="s">
        <v>143</v>
      </c>
      <c r="O144" s="27"/>
      <c r="P144" s="20"/>
      <c r="Q144" s="20"/>
      <c r="R144" s="29">
        <f t="shared" si="11"/>
        <v>0</v>
      </c>
      <c r="S144" s="20" t="s">
        <v>36</v>
      </c>
      <c r="T144" s="18" t="s">
        <v>143</v>
      </c>
      <c r="U144" s="20">
        <v>2</v>
      </c>
      <c r="V144" s="120">
        <v>1.375E-2</v>
      </c>
      <c r="W144" s="69">
        <f t="shared" si="12"/>
        <v>0.53900000000000003</v>
      </c>
      <c r="X144" s="106">
        <v>39.200000000000003</v>
      </c>
      <c r="Y144" s="72" t="str">
        <f t="shared" si="13"/>
        <v>VR_2020_2x LCD_Dual LCD VR headset</v>
      </c>
      <c r="Z144" s="36" t="str">
        <f t="shared" si="14"/>
        <v>VR_2020_2x LCD</v>
      </c>
    </row>
    <row r="145" spans="3:26">
      <c r="C145" s="17">
        <v>137</v>
      </c>
      <c r="D145" s="109" t="s">
        <v>26</v>
      </c>
      <c r="E145" s="20" t="s">
        <v>9</v>
      </c>
      <c r="F145" s="20" t="s">
        <v>179</v>
      </c>
      <c r="G145" s="21" t="s">
        <v>97</v>
      </c>
      <c r="H145" s="21" t="s">
        <v>42</v>
      </c>
      <c r="I145" s="19" t="s">
        <v>26</v>
      </c>
      <c r="J145" s="19" t="s">
        <v>36</v>
      </c>
      <c r="K145" s="21" t="s">
        <v>28</v>
      </c>
      <c r="L145" s="33" t="str">
        <f t="shared" si="10"/>
        <v>2x AMOLED</v>
      </c>
      <c r="M145" s="21" t="s">
        <v>36</v>
      </c>
      <c r="N145" s="21" t="s">
        <v>143</v>
      </c>
      <c r="O145" s="27"/>
      <c r="P145" s="20"/>
      <c r="Q145" s="20"/>
      <c r="R145" s="29">
        <f t="shared" si="11"/>
        <v>0</v>
      </c>
      <c r="S145" s="20" t="s">
        <v>36</v>
      </c>
      <c r="T145" s="18" t="s">
        <v>143</v>
      </c>
      <c r="U145" s="20">
        <v>2</v>
      </c>
      <c r="V145" s="120">
        <v>0.2175</v>
      </c>
      <c r="W145" s="69">
        <f t="shared" si="12"/>
        <v>4.7581960477252716</v>
      </c>
      <c r="X145" s="106">
        <v>21.876763437817342</v>
      </c>
      <c r="Y145" s="72" t="str">
        <f t="shared" si="13"/>
        <v>VR_2020_2x AMOLED_OLED VR headset</v>
      </c>
      <c r="Z145" s="36" t="str">
        <f t="shared" si="14"/>
        <v>VR_2020_2x AMOLED</v>
      </c>
    </row>
    <row r="146" spans="3:26">
      <c r="C146" s="17">
        <v>138</v>
      </c>
      <c r="D146" s="109" t="s">
        <v>26</v>
      </c>
      <c r="E146" s="20" t="s">
        <v>9</v>
      </c>
      <c r="F146" s="20" t="s">
        <v>179</v>
      </c>
      <c r="G146" s="21" t="s">
        <v>97</v>
      </c>
      <c r="H146" s="21" t="s">
        <v>161</v>
      </c>
      <c r="I146" s="19" t="s">
        <v>26</v>
      </c>
      <c r="J146" s="19" t="s">
        <v>36</v>
      </c>
      <c r="K146" s="21" t="s">
        <v>15</v>
      </c>
      <c r="L146" s="33" t="str">
        <f t="shared" si="10"/>
        <v>1x LCD</v>
      </c>
      <c r="M146" s="21" t="s">
        <v>36</v>
      </c>
      <c r="N146" s="21" t="s">
        <v>143</v>
      </c>
      <c r="O146" s="27"/>
      <c r="P146" s="20"/>
      <c r="Q146" s="20"/>
      <c r="R146" s="29">
        <f t="shared" si="11"/>
        <v>0</v>
      </c>
      <c r="S146" s="20" t="s">
        <v>36</v>
      </c>
      <c r="T146" s="18" t="s">
        <v>143</v>
      </c>
      <c r="U146" s="20">
        <v>1</v>
      </c>
      <c r="V146" s="120">
        <v>8.2583000000000004E-2</v>
      </c>
      <c r="W146" s="69">
        <f t="shared" si="12"/>
        <v>4.8558804000000002</v>
      </c>
      <c r="X146" s="106">
        <v>58.8</v>
      </c>
      <c r="Y146" s="72" t="str">
        <f t="shared" si="13"/>
        <v>VR_2020_1x LCD_Single LCD VR headset</v>
      </c>
      <c r="Z146" s="36" t="str">
        <f t="shared" si="14"/>
        <v>VR_2020_1x LCD</v>
      </c>
    </row>
    <row r="147" spans="3:26">
      <c r="C147" s="17">
        <v>139</v>
      </c>
      <c r="D147" s="109" t="s">
        <v>26</v>
      </c>
      <c r="E147" s="20" t="s">
        <v>9</v>
      </c>
      <c r="F147" s="20" t="s">
        <v>179</v>
      </c>
      <c r="G147" s="21" t="s">
        <v>38</v>
      </c>
      <c r="H147" s="21" t="s">
        <v>39</v>
      </c>
      <c r="I147" s="19" t="s">
        <v>26</v>
      </c>
      <c r="J147" s="19" t="s">
        <v>27</v>
      </c>
      <c r="K147" s="21" t="s">
        <v>15</v>
      </c>
      <c r="L147" s="33" t="str">
        <f t="shared" si="10"/>
        <v>2x LCD</v>
      </c>
      <c r="M147" s="21" t="s">
        <v>40</v>
      </c>
      <c r="N147" s="21" t="s">
        <v>143</v>
      </c>
      <c r="O147" s="27">
        <v>3.5</v>
      </c>
      <c r="P147" s="20">
        <v>1440</v>
      </c>
      <c r="Q147" s="20">
        <v>1600</v>
      </c>
      <c r="R147" s="29">
        <f t="shared" si="11"/>
        <v>615.02281358051255</v>
      </c>
      <c r="S147" s="20">
        <v>144</v>
      </c>
      <c r="T147" s="18">
        <v>43586</v>
      </c>
      <c r="U147" s="20">
        <v>2</v>
      </c>
      <c r="V147" s="120">
        <v>6.0499999999999998E-2</v>
      </c>
      <c r="W147" s="69">
        <f t="shared" si="12"/>
        <v>2.3715999999999999</v>
      </c>
      <c r="X147" s="106">
        <v>39.200000000000003</v>
      </c>
      <c r="Y147" s="72" t="str">
        <f t="shared" si="13"/>
        <v>VR_2020_2x LCD_Index</v>
      </c>
      <c r="Z147" s="36" t="str">
        <f t="shared" si="14"/>
        <v>VR_2020_2x LCD</v>
      </c>
    </row>
    <row r="148" spans="3:26">
      <c r="C148" s="17">
        <v>140</v>
      </c>
      <c r="D148" s="109" t="s">
        <v>129</v>
      </c>
      <c r="E148" s="20" t="s">
        <v>9</v>
      </c>
      <c r="F148" s="20" t="s">
        <v>179</v>
      </c>
      <c r="G148" s="21" t="s">
        <v>73</v>
      </c>
      <c r="H148" s="21" t="s">
        <v>74</v>
      </c>
      <c r="I148" s="19" t="s">
        <v>63</v>
      </c>
      <c r="J148" s="19" t="s">
        <v>31</v>
      </c>
      <c r="K148" s="21" t="s">
        <v>51</v>
      </c>
      <c r="L148" s="33" t="str">
        <f t="shared" si="10"/>
        <v>2x SiOLED</v>
      </c>
      <c r="M148" s="21" t="s">
        <v>73</v>
      </c>
      <c r="N148" s="21"/>
      <c r="O148" s="27">
        <v>0.43</v>
      </c>
      <c r="P148" s="20">
        <v>1280</v>
      </c>
      <c r="Q148" s="20">
        <v>720</v>
      </c>
      <c r="R148" s="29">
        <f t="shared" si="11"/>
        <v>3415.3599536159668</v>
      </c>
      <c r="S148" s="20" t="s">
        <v>36</v>
      </c>
      <c r="T148" s="18">
        <v>42401</v>
      </c>
      <c r="U148" s="20">
        <v>2</v>
      </c>
      <c r="V148" s="120">
        <v>3.5749999999999997E-2</v>
      </c>
      <c r="W148" s="69">
        <f t="shared" si="12"/>
        <v>3.0201599999999993</v>
      </c>
      <c r="X148" s="106">
        <v>84.47999999999999</v>
      </c>
      <c r="Y148" s="72" t="str">
        <f t="shared" si="13"/>
        <v>AR_2020_2x SiOLED_Moverio</v>
      </c>
      <c r="Z148" s="36" t="str">
        <f t="shared" si="14"/>
        <v>AR_2020_2x SiOLED</v>
      </c>
    </row>
    <row r="149" spans="3:26">
      <c r="C149" s="17">
        <v>141</v>
      </c>
      <c r="D149" s="109" t="s">
        <v>129</v>
      </c>
      <c r="E149" s="20" t="s">
        <v>9</v>
      </c>
      <c r="F149" s="20" t="s">
        <v>179</v>
      </c>
      <c r="G149" s="21" t="s">
        <v>71</v>
      </c>
      <c r="H149" s="21" t="s">
        <v>130</v>
      </c>
      <c r="I149" s="19" t="s">
        <v>63</v>
      </c>
      <c r="J149" s="19" t="s">
        <v>31</v>
      </c>
      <c r="K149" s="21" t="s">
        <v>168</v>
      </c>
      <c r="L149" s="33" t="str">
        <f t="shared" si="10"/>
        <v>1x Micro LCD</v>
      </c>
      <c r="M149" s="21" t="s">
        <v>72</v>
      </c>
      <c r="N149" s="21"/>
      <c r="O149" s="27"/>
      <c r="P149" s="20">
        <v>640</v>
      </c>
      <c r="Q149" s="20">
        <v>360</v>
      </c>
      <c r="R149" s="29">
        <f t="shared" si="11"/>
        <v>0</v>
      </c>
      <c r="S149" s="20" t="s">
        <v>36</v>
      </c>
      <c r="T149" s="18">
        <v>43586</v>
      </c>
      <c r="U149" s="20">
        <v>1</v>
      </c>
      <c r="V149" s="120">
        <v>8.2500000000000004E-3</v>
      </c>
      <c r="W149" s="69">
        <f t="shared" si="12"/>
        <v>0.34303499999999998</v>
      </c>
      <c r="X149" s="106">
        <v>41.58</v>
      </c>
      <c r="Y149" s="72" t="str">
        <f t="shared" si="13"/>
        <v>AR_2020_1x Micro LCD_Glass</v>
      </c>
      <c r="Z149" s="36" t="str">
        <f t="shared" si="14"/>
        <v>AR_2020_1x Micro LCD</v>
      </c>
    </row>
    <row r="150" spans="3:26">
      <c r="C150" s="17">
        <v>142</v>
      </c>
      <c r="D150" s="109" t="s">
        <v>129</v>
      </c>
      <c r="E150" s="20" t="s">
        <v>9</v>
      </c>
      <c r="F150" s="20" t="s">
        <v>179</v>
      </c>
      <c r="G150" s="21" t="s">
        <v>77</v>
      </c>
      <c r="H150" s="21" t="s">
        <v>78</v>
      </c>
      <c r="I150" s="19" t="s">
        <v>63</v>
      </c>
      <c r="J150" s="19" t="s">
        <v>27</v>
      </c>
      <c r="K150" s="21" t="s">
        <v>51</v>
      </c>
      <c r="L150" s="33" t="str">
        <f t="shared" si="10"/>
        <v>2x SiOLED</v>
      </c>
      <c r="M150" s="21" t="s">
        <v>6</v>
      </c>
      <c r="N150" s="21"/>
      <c r="O150" s="27">
        <v>0.71</v>
      </c>
      <c r="P150" s="20">
        <v>1920</v>
      </c>
      <c r="Q150" s="20">
        <v>1080</v>
      </c>
      <c r="R150" s="29">
        <f t="shared" si="11"/>
        <v>3102.6861550454905</v>
      </c>
      <c r="S150" s="20" t="s">
        <v>36</v>
      </c>
      <c r="T150" s="18">
        <v>44348</v>
      </c>
      <c r="U150" s="20">
        <v>2</v>
      </c>
      <c r="V150" s="120">
        <v>8.2500000000000004E-3</v>
      </c>
      <c r="W150" s="69">
        <f t="shared" si="12"/>
        <v>0.69695999999999991</v>
      </c>
      <c r="X150" s="106">
        <v>84.47999999999999</v>
      </c>
      <c r="Y150" s="72" t="str">
        <f t="shared" si="13"/>
        <v>AR_2020_2x SiOLED_ThinkReality A3</v>
      </c>
      <c r="Z150" s="36" t="str">
        <f t="shared" si="14"/>
        <v>AR_2020_2x SiOLED</v>
      </c>
    </row>
    <row r="151" spans="3:26">
      <c r="C151" s="17">
        <v>143</v>
      </c>
      <c r="D151" s="109" t="s">
        <v>129</v>
      </c>
      <c r="E151" s="20" t="s">
        <v>9</v>
      </c>
      <c r="F151" s="20" t="s">
        <v>179</v>
      </c>
      <c r="G151" s="21" t="s">
        <v>65</v>
      </c>
      <c r="H151" s="21" t="s">
        <v>66</v>
      </c>
      <c r="I151" s="19" t="s">
        <v>63</v>
      </c>
      <c r="J151" s="19" t="s">
        <v>31</v>
      </c>
      <c r="K151" s="21" t="s">
        <v>67</v>
      </c>
      <c r="L151" s="33" t="str">
        <f t="shared" si="10"/>
        <v>2x LCoS</v>
      </c>
      <c r="M151" s="21" t="s">
        <v>36</v>
      </c>
      <c r="N151" s="21"/>
      <c r="O151" s="27"/>
      <c r="P151" s="20">
        <v>1280</v>
      </c>
      <c r="Q151" s="20">
        <v>960</v>
      </c>
      <c r="R151" s="29">
        <f t="shared" si="11"/>
        <v>0</v>
      </c>
      <c r="S151" s="20">
        <v>120</v>
      </c>
      <c r="T151" s="18">
        <v>43313</v>
      </c>
      <c r="U151" s="20">
        <v>2</v>
      </c>
      <c r="V151" s="120">
        <v>8.25E-4</v>
      </c>
      <c r="W151" s="69">
        <f t="shared" si="12"/>
        <v>3.75705E-2</v>
      </c>
      <c r="X151" s="106">
        <v>45.54</v>
      </c>
      <c r="Y151" s="72" t="str">
        <f t="shared" si="13"/>
        <v>AR_2020_2x LCoS_ML One</v>
      </c>
      <c r="Z151" s="36" t="str">
        <f t="shared" si="14"/>
        <v>AR_2020_2x LCoS</v>
      </c>
    </row>
    <row r="152" spans="3:26">
      <c r="C152" s="17">
        <v>144</v>
      </c>
      <c r="D152" s="109" t="s">
        <v>129</v>
      </c>
      <c r="E152" s="20" t="s">
        <v>9</v>
      </c>
      <c r="F152" s="20" t="s">
        <v>179</v>
      </c>
      <c r="G152" s="21" t="s">
        <v>61</v>
      </c>
      <c r="H152" s="21" t="s">
        <v>62</v>
      </c>
      <c r="I152" s="19" t="s">
        <v>63</v>
      </c>
      <c r="J152" s="19" t="s">
        <v>31</v>
      </c>
      <c r="K152" s="21" t="s">
        <v>64</v>
      </c>
      <c r="L152" s="33" t="str">
        <f t="shared" si="10"/>
        <v>2x LBS</v>
      </c>
      <c r="M152" s="21" t="s">
        <v>36</v>
      </c>
      <c r="N152" s="21"/>
      <c r="O152" s="27"/>
      <c r="P152" s="20"/>
      <c r="Q152" s="20"/>
      <c r="R152" s="29">
        <f t="shared" si="11"/>
        <v>0</v>
      </c>
      <c r="S152" s="20" t="s">
        <v>36</v>
      </c>
      <c r="T152" s="18">
        <v>43770</v>
      </c>
      <c r="U152" s="20">
        <v>2</v>
      </c>
      <c r="V152" s="120">
        <v>6.8750000000000006E-2</v>
      </c>
      <c r="W152" s="69">
        <f t="shared" si="12"/>
        <v>7.4690000000000003</v>
      </c>
      <c r="X152" s="106">
        <v>108.64</v>
      </c>
      <c r="Y152" s="72" t="str">
        <f t="shared" si="13"/>
        <v>AR_2020_2x LBS_HoloLens 2</v>
      </c>
      <c r="Z152" s="36" t="str">
        <f t="shared" si="14"/>
        <v>AR_2020_2x LBS</v>
      </c>
    </row>
    <row r="153" spans="3:26">
      <c r="C153" s="17">
        <v>145</v>
      </c>
      <c r="D153" s="109" t="s">
        <v>129</v>
      </c>
      <c r="E153" s="20" t="s">
        <v>9</v>
      </c>
      <c r="F153" s="20" t="s">
        <v>179</v>
      </c>
      <c r="G153" s="21" t="s">
        <v>186</v>
      </c>
      <c r="H153" s="21" t="s">
        <v>187</v>
      </c>
      <c r="I153" s="19" t="s">
        <v>63</v>
      </c>
      <c r="J153" s="19" t="s">
        <v>27</v>
      </c>
      <c r="K153" s="21" t="s">
        <v>51</v>
      </c>
      <c r="L153" s="33" t="str">
        <f t="shared" si="10"/>
        <v>2x SiOLED</v>
      </c>
      <c r="M153" s="21" t="s">
        <v>145</v>
      </c>
      <c r="N153" s="21"/>
      <c r="O153" s="27">
        <v>0.71</v>
      </c>
      <c r="P153" s="20">
        <v>1920</v>
      </c>
      <c r="Q153" s="20">
        <v>1080</v>
      </c>
      <c r="R153" s="29">
        <f t="shared" si="11"/>
        <v>3102.6861550454905</v>
      </c>
      <c r="S153" s="20">
        <v>90</v>
      </c>
      <c r="T153" s="18">
        <v>44044</v>
      </c>
      <c r="U153" s="20">
        <v>2</v>
      </c>
      <c r="V153" s="120">
        <v>1.6500000000000001E-2</v>
      </c>
      <c r="W153" s="69">
        <f t="shared" si="12"/>
        <v>1.3939199999999998</v>
      </c>
      <c r="X153" s="106">
        <v>84.47999999999999</v>
      </c>
      <c r="Y153" s="72" t="str">
        <f t="shared" si="13"/>
        <v>AR_2020_2x SiOLED_Light</v>
      </c>
      <c r="Z153" s="36" t="str">
        <f t="shared" si="14"/>
        <v>AR_2020_2x SiOLED</v>
      </c>
    </row>
    <row r="154" spans="3:26">
      <c r="C154" s="17">
        <v>146</v>
      </c>
      <c r="D154" s="109" t="s">
        <v>129</v>
      </c>
      <c r="E154" s="20" t="s">
        <v>9</v>
      </c>
      <c r="F154" s="20" t="s">
        <v>179</v>
      </c>
      <c r="G154" s="21" t="s">
        <v>68</v>
      </c>
      <c r="H154" s="21" t="s">
        <v>69</v>
      </c>
      <c r="I154" s="19" t="s">
        <v>63</v>
      </c>
      <c r="J154" s="19" t="s">
        <v>31</v>
      </c>
      <c r="K154" s="21" t="s">
        <v>70</v>
      </c>
      <c r="L154" s="33" t="str">
        <f t="shared" si="10"/>
        <v>1x DLP</v>
      </c>
      <c r="M154" s="21" t="s">
        <v>172</v>
      </c>
      <c r="N154" s="21"/>
      <c r="O154" s="27"/>
      <c r="P154" s="20">
        <v>853</v>
      </c>
      <c r="Q154" s="20">
        <v>480</v>
      </c>
      <c r="R154" s="29">
        <f t="shared" si="11"/>
        <v>0</v>
      </c>
      <c r="S154" s="20" t="s">
        <v>36</v>
      </c>
      <c r="T154" s="18">
        <v>43466</v>
      </c>
      <c r="U154" s="20">
        <v>1</v>
      </c>
      <c r="V154" s="120">
        <v>9.6299999999999999E-4</v>
      </c>
      <c r="W154" s="69">
        <f t="shared" si="12"/>
        <v>7.9129710000000006E-2</v>
      </c>
      <c r="X154" s="106">
        <v>82.17</v>
      </c>
      <c r="Y154" s="72" t="str">
        <f t="shared" si="13"/>
        <v>AR_2020_1x DLP_Blade</v>
      </c>
      <c r="Z154" s="36" t="str">
        <f t="shared" si="14"/>
        <v>AR_2020_1x DLP</v>
      </c>
    </row>
    <row r="155" spans="3:26">
      <c r="C155" s="17">
        <v>147</v>
      </c>
      <c r="D155" s="109" t="s">
        <v>129</v>
      </c>
      <c r="E155" s="20" t="s">
        <v>9</v>
      </c>
      <c r="F155" s="20" t="s">
        <v>179</v>
      </c>
      <c r="G155" s="21" t="s">
        <v>97</v>
      </c>
      <c r="H155" s="21" t="s">
        <v>76</v>
      </c>
      <c r="I155" s="19" t="s">
        <v>63</v>
      </c>
      <c r="J155" s="19" t="s">
        <v>36</v>
      </c>
      <c r="K155" s="21" t="s">
        <v>70</v>
      </c>
      <c r="L155" s="33" t="str">
        <f t="shared" si="10"/>
        <v>1x DLP</v>
      </c>
      <c r="M155" s="21" t="s">
        <v>36</v>
      </c>
      <c r="N155" s="21"/>
      <c r="O155" s="27"/>
      <c r="P155" s="20"/>
      <c r="Q155" s="20"/>
      <c r="R155" s="29">
        <f t="shared" si="11"/>
        <v>0</v>
      </c>
      <c r="S155" s="20" t="s">
        <v>36</v>
      </c>
      <c r="T155" s="18" t="s">
        <v>143</v>
      </c>
      <c r="U155" s="20">
        <v>1</v>
      </c>
      <c r="V155" s="120">
        <v>1.3800000000000002E-4</v>
      </c>
      <c r="W155" s="69">
        <f t="shared" si="12"/>
        <v>1.1339460000000003E-2</v>
      </c>
      <c r="X155" s="106">
        <v>82.17</v>
      </c>
      <c r="Y155" s="72" t="str">
        <f t="shared" si="13"/>
        <v>AR_2020_1x DLP_DLP glasses</v>
      </c>
      <c r="Z155" s="36" t="str">
        <f t="shared" si="14"/>
        <v>AR_2020_1x DLP</v>
      </c>
    </row>
    <row r="156" spans="3:26">
      <c r="C156" s="17">
        <v>148</v>
      </c>
      <c r="D156" s="109" t="s">
        <v>129</v>
      </c>
      <c r="E156" s="20" t="s">
        <v>9</v>
      </c>
      <c r="F156" s="20" t="s">
        <v>179</v>
      </c>
      <c r="G156" s="21" t="s">
        <v>97</v>
      </c>
      <c r="H156" s="21" t="s">
        <v>75</v>
      </c>
      <c r="I156" s="19" t="s">
        <v>63</v>
      </c>
      <c r="J156" s="19" t="s">
        <v>36</v>
      </c>
      <c r="K156" s="21" t="s">
        <v>67</v>
      </c>
      <c r="L156" s="33" t="str">
        <f t="shared" si="10"/>
        <v>2x LCoS</v>
      </c>
      <c r="M156" s="21" t="s">
        <v>36</v>
      </c>
      <c r="N156" s="21"/>
      <c r="O156" s="27"/>
      <c r="P156" s="20"/>
      <c r="Q156" s="20"/>
      <c r="R156" s="29">
        <f t="shared" si="11"/>
        <v>0</v>
      </c>
      <c r="S156" s="20" t="s">
        <v>36</v>
      </c>
      <c r="T156" s="18" t="s">
        <v>143</v>
      </c>
      <c r="U156" s="20">
        <v>2</v>
      </c>
      <c r="V156" s="120">
        <v>2.7499999999999998E-3</v>
      </c>
      <c r="W156" s="69">
        <f t="shared" si="12"/>
        <v>0.12523499999999999</v>
      </c>
      <c r="X156" s="106">
        <v>45.54</v>
      </c>
      <c r="Y156" s="72" t="str">
        <f t="shared" si="13"/>
        <v>AR_2020_2x LCoS_LCoS glasses</v>
      </c>
      <c r="Z156" s="36" t="str">
        <f t="shared" si="14"/>
        <v>AR_2020_2x LCoS</v>
      </c>
    </row>
    <row r="157" spans="3:26">
      <c r="C157" s="17">
        <v>149</v>
      </c>
      <c r="D157" s="109" t="s">
        <v>129</v>
      </c>
      <c r="E157" s="20" t="s">
        <v>9</v>
      </c>
      <c r="F157" s="20" t="s">
        <v>179</v>
      </c>
      <c r="G157" s="21" t="s">
        <v>97</v>
      </c>
      <c r="H157" s="21" t="s">
        <v>79</v>
      </c>
      <c r="I157" s="19" t="s">
        <v>63</v>
      </c>
      <c r="J157" s="19" t="s">
        <v>36</v>
      </c>
      <c r="K157" s="21" t="s">
        <v>51</v>
      </c>
      <c r="L157" s="33" t="str">
        <f t="shared" si="10"/>
        <v>2x SiOLED</v>
      </c>
      <c r="M157" s="21" t="s">
        <v>36</v>
      </c>
      <c r="N157" s="21"/>
      <c r="O157" s="27"/>
      <c r="P157" s="20"/>
      <c r="Q157" s="20"/>
      <c r="R157" s="29">
        <f t="shared" si="11"/>
        <v>0</v>
      </c>
      <c r="S157" s="20" t="s">
        <v>36</v>
      </c>
      <c r="T157" s="18" t="s">
        <v>143</v>
      </c>
      <c r="U157" s="20">
        <v>2</v>
      </c>
      <c r="V157" s="120">
        <v>1.65E-3</v>
      </c>
      <c r="W157" s="69">
        <f t="shared" si="12"/>
        <v>0.13939199999999999</v>
      </c>
      <c r="X157" s="106">
        <v>84.47999999999999</v>
      </c>
      <c r="Y157" s="72" t="str">
        <f t="shared" si="13"/>
        <v>AR_2020_2x SiOLED_SiOLED glasses</v>
      </c>
      <c r="Z157" s="36" t="str">
        <f t="shared" si="14"/>
        <v>AR_2020_2x SiOLED</v>
      </c>
    </row>
    <row r="158" spans="3:26">
      <c r="C158" s="17">
        <v>150</v>
      </c>
      <c r="D158" s="109" t="s">
        <v>26</v>
      </c>
      <c r="E158" s="20" t="s">
        <v>9</v>
      </c>
      <c r="F158" s="20" t="s">
        <v>182</v>
      </c>
      <c r="G158" s="21" t="s">
        <v>106</v>
      </c>
      <c r="H158" s="21" t="s">
        <v>107</v>
      </c>
      <c r="I158" s="19" t="s">
        <v>26</v>
      </c>
      <c r="J158" s="19" t="s">
        <v>31</v>
      </c>
      <c r="K158" s="21" t="s">
        <v>15</v>
      </c>
      <c r="L158" s="33" t="str">
        <f t="shared" si="10"/>
        <v>1x LCD</v>
      </c>
      <c r="M158" s="21" t="s">
        <v>36</v>
      </c>
      <c r="N158" s="21" t="s">
        <v>143</v>
      </c>
      <c r="O158" s="27"/>
      <c r="P158" s="20"/>
      <c r="Q158" s="20"/>
      <c r="R158" s="29">
        <f t="shared" si="11"/>
        <v>0</v>
      </c>
      <c r="S158" s="20" t="s">
        <v>36</v>
      </c>
      <c r="T158" s="18">
        <v>43770</v>
      </c>
      <c r="U158" s="20">
        <v>1</v>
      </c>
      <c r="V158" s="120">
        <v>0.12375</v>
      </c>
      <c r="W158" s="69">
        <f t="shared" si="12"/>
        <v>7.2764999999999995</v>
      </c>
      <c r="X158" s="106">
        <v>58.8</v>
      </c>
      <c r="Y158" s="72" t="str">
        <f t="shared" si="13"/>
        <v>VR_2020_1x LCD_P1 family</v>
      </c>
      <c r="Z158" s="36" t="str">
        <f t="shared" si="14"/>
        <v>VR_2020_1x LCD</v>
      </c>
    </row>
    <row r="159" spans="3:26">
      <c r="C159" s="17">
        <v>151</v>
      </c>
      <c r="D159" s="109" t="s">
        <v>26</v>
      </c>
      <c r="E159" s="20" t="s">
        <v>9</v>
      </c>
      <c r="F159" s="20" t="s">
        <v>182</v>
      </c>
      <c r="G159" s="21" t="s">
        <v>34</v>
      </c>
      <c r="H159" s="21" t="s">
        <v>35</v>
      </c>
      <c r="I159" s="19" t="s">
        <v>26</v>
      </c>
      <c r="J159" s="19" t="s">
        <v>27</v>
      </c>
      <c r="K159" s="21" t="s">
        <v>15</v>
      </c>
      <c r="L159" s="33" t="str">
        <f t="shared" si="10"/>
        <v>2x LCD</v>
      </c>
      <c r="M159" s="21" t="s">
        <v>36</v>
      </c>
      <c r="N159" s="21" t="s">
        <v>143</v>
      </c>
      <c r="O159" s="27">
        <v>2.89</v>
      </c>
      <c r="P159" s="20">
        <v>2160</v>
      </c>
      <c r="Q159" s="20">
        <v>2160</v>
      </c>
      <c r="R159" s="29">
        <f t="shared" si="11"/>
        <v>1056.990067379199</v>
      </c>
      <c r="S159" s="20">
        <v>90</v>
      </c>
      <c r="T159" s="18">
        <v>43586</v>
      </c>
      <c r="U159" s="20">
        <v>2</v>
      </c>
      <c r="V159" s="120">
        <v>2.75E-2</v>
      </c>
      <c r="W159" s="69">
        <f t="shared" si="12"/>
        <v>1.0780000000000001</v>
      </c>
      <c r="X159" s="106">
        <v>39.200000000000003</v>
      </c>
      <c r="Y159" s="72" t="str">
        <f t="shared" si="13"/>
        <v>VR_2020_2x LCD_Reverb</v>
      </c>
      <c r="Z159" s="36" t="str">
        <f t="shared" si="14"/>
        <v>VR_2020_2x LCD</v>
      </c>
    </row>
    <row r="160" spans="3:26">
      <c r="C160" s="17">
        <v>152</v>
      </c>
      <c r="D160" s="109" t="s">
        <v>26</v>
      </c>
      <c r="E160" s="20" t="s">
        <v>9</v>
      </c>
      <c r="F160" s="20" t="s">
        <v>182</v>
      </c>
      <c r="G160" s="21" t="s">
        <v>34</v>
      </c>
      <c r="H160" s="21" t="s">
        <v>37</v>
      </c>
      <c r="I160" s="19" t="s">
        <v>26</v>
      </c>
      <c r="J160" s="19" t="s">
        <v>27</v>
      </c>
      <c r="K160" s="21" t="s">
        <v>15</v>
      </c>
      <c r="L160" s="33" t="str">
        <f t="shared" si="10"/>
        <v>2x LCD</v>
      </c>
      <c r="M160" s="21" t="s">
        <v>36</v>
      </c>
      <c r="N160" s="21" t="s">
        <v>143</v>
      </c>
      <c r="O160" s="27">
        <v>2.89</v>
      </c>
      <c r="P160" s="20">
        <v>2160</v>
      </c>
      <c r="Q160" s="20">
        <v>2160</v>
      </c>
      <c r="R160" s="29">
        <f t="shared" si="11"/>
        <v>1056.990067379199</v>
      </c>
      <c r="S160" s="20">
        <v>90</v>
      </c>
      <c r="T160" s="18">
        <v>44136</v>
      </c>
      <c r="U160" s="20">
        <v>2</v>
      </c>
      <c r="V160" s="120">
        <v>1.375E-2</v>
      </c>
      <c r="W160" s="69">
        <f t="shared" si="12"/>
        <v>0.53900000000000003</v>
      </c>
      <c r="X160" s="106">
        <v>39.200000000000003</v>
      </c>
      <c r="Y160" s="72" t="str">
        <f t="shared" si="13"/>
        <v>VR_2020_2x LCD_Reverb G2</v>
      </c>
      <c r="Z160" s="36" t="str">
        <f t="shared" si="14"/>
        <v>VR_2020_2x LCD</v>
      </c>
    </row>
    <row r="161" spans="3:26">
      <c r="C161" s="17">
        <v>153</v>
      </c>
      <c r="D161" s="109" t="s">
        <v>26</v>
      </c>
      <c r="E161" s="20" t="s">
        <v>9</v>
      </c>
      <c r="F161" s="20" t="s">
        <v>182</v>
      </c>
      <c r="G161" s="21" t="s">
        <v>41</v>
      </c>
      <c r="H161" s="21" t="s">
        <v>178</v>
      </c>
      <c r="I161" s="19" t="s">
        <v>26</v>
      </c>
      <c r="J161" s="19" t="s">
        <v>31</v>
      </c>
      <c r="K161" s="21" t="s">
        <v>15</v>
      </c>
      <c r="L161" s="33" t="str">
        <f t="shared" si="10"/>
        <v>2x LCD</v>
      </c>
      <c r="M161" s="21" t="s">
        <v>2</v>
      </c>
      <c r="N161" s="21" t="s">
        <v>143</v>
      </c>
      <c r="O161" s="27"/>
      <c r="P161" s="20"/>
      <c r="Q161" s="20"/>
      <c r="R161" s="29">
        <f t="shared" si="11"/>
        <v>0</v>
      </c>
      <c r="S161" s="20" t="s">
        <v>36</v>
      </c>
      <c r="T161" s="18">
        <v>43739</v>
      </c>
      <c r="U161" s="20">
        <v>2</v>
      </c>
      <c r="V161" s="120">
        <v>1.0999999999999999E-2</v>
      </c>
      <c r="W161" s="69">
        <f t="shared" si="12"/>
        <v>0.43120000000000003</v>
      </c>
      <c r="X161" s="106">
        <v>39.200000000000003</v>
      </c>
      <c r="Y161" s="72" t="str">
        <f t="shared" si="13"/>
        <v>VR_2020_2x LCD_Vive LCD headsets</v>
      </c>
      <c r="Z161" s="36" t="str">
        <f t="shared" si="14"/>
        <v>VR_2020_2x LCD</v>
      </c>
    </row>
    <row r="162" spans="3:26">
      <c r="C162" s="17">
        <v>154</v>
      </c>
      <c r="D162" s="109" t="s">
        <v>26</v>
      </c>
      <c r="E162" s="20" t="s">
        <v>9</v>
      </c>
      <c r="F162" s="20" t="s">
        <v>182</v>
      </c>
      <c r="G162" s="21" t="s">
        <v>112</v>
      </c>
      <c r="H162" s="21" t="s">
        <v>32</v>
      </c>
      <c r="I162" s="19" t="s">
        <v>26</v>
      </c>
      <c r="J162" s="19" t="s">
        <v>31</v>
      </c>
      <c r="K162" s="21" t="s">
        <v>15</v>
      </c>
      <c r="L162" s="33" t="str">
        <f t="shared" si="10"/>
        <v>1x LCD</v>
      </c>
      <c r="M162" s="21" t="s">
        <v>2</v>
      </c>
      <c r="N162" s="21" t="s">
        <v>166</v>
      </c>
      <c r="O162" s="27">
        <v>5.5</v>
      </c>
      <c r="P162" s="20">
        <v>3840</v>
      </c>
      <c r="Q162" s="20">
        <v>1832</v>
      </c>
      <c r="R162" s="29">
        <f t="shared" si="11"/>
        <v>773.56797048396322</v>
      </c>
      <c r="S162" s="20">
        <v>90</v>
      </c>
      <c r="T162" s="18">
        <v>44105</v>
      </c>
      <c r="U162" s="20">
        <v>1</v>
      </c>
      <c r="V162" s="120">
        <v>1.5125</v>
      </c>
      <c r="W162" s="69">
        <f t="shared" si="12"/>
        <v>88.934999999999988</v>
      </c>
      <c r="X162" s="106">
        <v>58.8</v>
      </c>
      <c r="Y162" s="72" t="str">
        <f t="shared" si="13"/>
        <v>VR_2020_1x LCD_Quest 2</v>
      </c>
      <c r="Z162" s="36" t="str">
        <f t="shared" si="14"/>
        <v>VR_2020_1x LCD</v>
      </c>
    </row>
    <row r="163" spans="3:26">
      <c r="C163" s="17">
        <v>155</v>
      </c>
      <c r="D163" s="109" t="s">
        <v>26</v>
      </c>
      <c r="E163" s="20" t="s">
        <v>9</v>
      </c>
      <c r="F163" s="20" t="s">
        <v>182</v>
      </c>
      <c r="G163" s="21" t="s">
        <v>29</v>
      </c>
      <c r="H163" s="21" t="s">
        <v>30</v>
      </c>
      <c r="I163" s="19" t="s">
        <v>26</v>
      </c>
      <c r="J163" s="19" t="s">
        <v>31</v>
      </c>
      <c r="K163" s="21" t="s">
        <v>28</v>
      </c>
      <c r="L163" s="33" t="str">
        <f t="shared" si="10"/>
        <v>2x AMOLED</v>
      </c>
      <c r="M163" s="21" t="s">
        <v>3</v>
      </c>
      <c r="N163" s="21" t="s">
        <v>143</v>
      </c>
      <c r="O163" s="27">
        <v>3.5</v>
      </c>
      <c r="P163" s="20">
        <v>1440</v>
      </c>
      <c r="Q163" s="20">
        <v>1600</v>
      </c>
      <c r="R163" s="29">
        <f t="shared" si="11"/>
        <v>615.02281358051255</v>
      </c>
      <c r="S163" s="20">
        <v>72</v>
      </c>
      <c r="T163" s="18">
        <v>43586</v>
      </c>
      <c r="U163" s="20">
        <v>2</v>
      </c>
      <c r="V163" s="120">
        <v>2.5000000000000001E-2</v>
      </c>
      <c r="W163" s="69">
        <f t="shared" si="12"/>
        <v>0.53598070422652488</v>
      </c>
      <c r="X163" s="106">
        <v>21.439228169060996</v>
      </c>
      <c r="Y163" s="72" t="str">
        <f t="shared" si="13"/>
        <v>VR_2020_2x AMOLED_Quest</v>
      </c>
      <c r="Z163" s="36" t="str">
        <f t="shared" si="14"/>
        <v>VR_2020_2x AMOLED</v>
      </c>
    </row>
    <row r="164" spans="3:26">
      <c r="C164" s="17">
        <v>156</v>
      </c>
      <c r="D164" s="109" t="s">
        <v>26</v>
      </c>
      <c r="E164" s="20" t="s">
        <v>9</v>
      </c>
      <c r="F164" s="20" t="s">
        <v>182</v>
      </c>
      <c r="G164" s="21" t="s">
        <v>29</v>
      </c>
      <c r="H164" s="21" t="s">
        <v>33</v>
      </c>
      <c r="I164" s="19" t="s">
        <v>26</v>
      </c>
      <c r="J164" s="19" t="s">
        <v>27</v>
      </c>
      <c r="K164" s="21" t="s">
        <v>15</v>
      </c>
      <c r="L164" s="33" t="str">
        <f t="shared" si="10"/>
        <v>1x LCD</v>
      </c>
      <c r="M164" s="21" t="s">
        <v>2</v>
      </c>
      <c r="N164" s="21" t="s">
        <v>4</v>
      </c>
      <c r="O164" s="27">
        <v>5.46</v>
      </c>
      <c r="P164" s="20">
        <v>2560</v>
      </c>
      <c r="Q164" s="20">
        <v>1440</v>
      </c>
      <c r="R164" s="29">
        <f t="shared" si="11"/>
        <v>537.95046888456613</v>
      </c>
      <c r="S164" s="20">
        <v>80</v>
      </c>
      <c r="T164" s="18">
        <v>43586</v>
      </c>
      <c r="U164" s="20">
        <v>1</v>
      </c>
      <c r="V164" s="120">
        <v>3.4375000000000003E-2</v>
      </c>
      <c r="W164" s="69">
        <f t="shared" si="12"/>
        <v>2.0212500000000002</v>
      </c>
      <c r="X164" s="106">
        <v>58.8</v>
      </c>
      <c r="Y164" s="72" t="str">
        <f t="shared" si="13"/>
        <v>VR_2020_1x LCD_Rift S</v>
      </c>
      <c r="Z164" s="36" t="str">
        <f t="shared" si="14"/>
        <v>VR_2020_1x LCD</v>
      </c>
    </row>
    <row r="165" spans="3:26">
      <c r="C165" s="17">
        <v>157</v>
      </c>
      <c r="D165" s="109" t="s">
        <v>26</v>
      </c>
      <c r="E165" s="20" t="s">
        <v>9</v>
      </c>
      <c r="F165" s="20" t="s">
        <v>182</v>
      </c>
      <c r="G165" s="21" t="s">
        <v>110</v>
      </c>
      <c r="H165" s="21" t="s">
        <v>162</v>
      </c>
      <c r="I165" s="19" t="s">
        <v>26</v>
      </c>
      <c r="J165" s="19" t="s">
        <v>31</v>
      </c>
      <c r="K165" s="21" t="s">
        <v>15</v>
      </c>
      <c r="L165" s="33" t="str">
        <f t="shared" si="10"/>
        <v>1x LCD</v>
      </c>
      <c r="M165" s="21" t="s">
        <v>2</v>
      </c>
      <c r="N165" s="21" t="s">
        <v>146</v>
      </c>
      <c r="O165" s="27">
        <v>5.5</v>
      </c>
      <c r="P165" s="20">
        <v>3840</v>
      </c>
      <c r="Q165" s="20">
        <v>1832</v>
      </c>
      <c r="R165" s="29">
        <f t="shared" si="11"/>
        <v>773.56797048396322</v>
      </c>
      <c r="S165" s="20">
        <v>90</v>
      </c>
      <c r="T165" s="18">
        <v>44317</v>
      </c>
      <c r="U165" s="20">
        <v>1</v>
      </c>
      <c r="V165" s="120">
        <v>1.7874999999999999E-2</v>
      </c>
      <c r="W165" s="69">
        <f t="shared" si="12"/>
        <v>1.0510499999999998</v>
      </c>
      <c r="X165" s="106">
        <v>58.8</v>
      </c>
      <c r="Y165" s="72" t="str">
        <f t="shared" si="13"/>
        <v>VR_2020_1x LCD_Neo 3 / G3</v>
      </c>
      <c r="Z165" s="36" t="str">
        <f t="shared" si="14"/>
        <v>VR_2020_1x LCD</v>
      </c>
    </row>
    <row r="166" spans="3:26">
      <c r="C166" s="17">
        <v>158</v>
      </c>
      <c r="D166" s="109" t="s">
        <v>26</v>
      </c>
      <c r="E166" s="20" t="s">
        <v>9</v>
      </c>
      <c r="F166" s="20" t="s">
        <v>182</v>
      </c>
      <c r="G166" s="21" t="s">
        <v>108</v>
      </c>
      <c r="H166" s="21" t="s">
        <v>109</v>
      </c>
      <c r="I166" s="19" t="s">
        <v>26</v>
      </c>
      <c r="J166" s="19" t="s">
        <v>27</v>
      </c>
      <c r="K166" s="21" t="s">
        <v>15</v>
      </c>
      <c r="L166" s="33" t="str">
        <f t="shared" si="10"/>
        <v>2x LCD</v>
      </c>
      <c r="M166" s="21" t="s">
        <v>145</v>
      </c>
      <c r="N166" s="21" t="s">
        <v>146</v>
      </c>
      <c r="O166" s="27"/>
      <c r="P166" s="20"/>
      <c r="Q166" s="20"/>
      <c r="R166" s="29">
        <f t="shared" si="11"/>
        <v>0</v>
      </c>
      <c r="S166" s="20" t="s">
        <v>36</v>
      </c>
      <c r="T166" s="18" t="s">
        <v>143</v>
      </c>
      <c r="U166" s="20">
        <v>2</v>
      </c>
      <c r="V166" s="120">
        <v>2.4750000000000001E-2</v>
      </c>
      <c r="W166" s="69">
        <f t="shared" si="12"/>
        <v>0.97020000000000006</v>
      </c>
      <c r="X166" s="106">
        <v>39.200000000000003</v>
      </c>
      <c r="Y166" s="72" t="str">
        <f t="shared" si="13"/>
        <v>VR_2020_2x LCD_Pimax VR</v>
      </c>
      <c r="Z166" s="36" t="str">
        <f t="shared" si="14"/>
        <v>VR_2020_2x LCD</v>
      </c>
    </row>
    <row r="167" spans="3:26">
      <c r="C167" s="17">
        <v>159</v>
      </c>
      <c r="D167" s="109" t="s">
        <v>26</v>
      </c>
      <c r="E167" s="20" t="s">
        <v>9</v>
      </c>
      <c r="F167" s="20" t="s">
        <v>182</v>
      </c>
      <c r="G167" s="21" t="s">
        <v>6</v>
      </c>
      <c r="H167" s="21" t="s">
        <v>25</v>
      </c>
      <c r="I167" s="19" t="s">
        <v>26</v>
      </c>
      <c r="J167" s="19" t="s">
        <v>27</v>
      </c>
      <c r="K167" s="21" t="s">
        <v>28</v>
      </c>
      <c r="L167" s="33" t="str">
        <f t="shared" si="10"/>
        <v>1x AMOLED</v>
      </c>
      <c r="M167" s="21" t="s">
        <v>3</v>
      </c>
      <c r="N167" s="21" t="s">
        <v>143</v>
      </c>
      <c r="O167" s="27">
        <v>5.7</v>
      </c>
      <c r="P167" s="20">
        <v>1920</v>
      </c>
      <c r="Q167" s="20">
        <v>1080</v>
      </c>
      <c r="R167" s="29">
        <f t="shared" si="11"/>
        <v>386.47494211970144</v>
      </c>
      <c r="S167" s="20">
        <v>120</v>
      </c>
      <c r="T167" s="18">
        <v>42644</v>
      </c>
      <c r="U167" s="20">
        <v>1</v>
      </c>
      <c r="V167" s="120">
        <v>0.1</v>
      </c>
      <c r="W167" s="69">
        <f t="shared" si="12"/>
        <v>3.0627468812944283</v>
      </c>
      <c r="X167" s="106">
        <v>30.627468812944283</v>
      </c>
      <c r="Y167" s="72" t="str">
        <f t="shared" si="13"/>
        <v>VR_2020_1x AMOLED_PlayStation VR</v>
      </c>
      <c r="Z167" s="36" t="str">
        <f t="shared" si="14"/>
        <v>VR_2020_1x AMOLED</v>
      </c>
    </row>
    <row r="168" spans="3:26">
      <c r="C168" s="17">
        <v>160</v>
      </c>
      <c r="D168" s="109" t="s">
        <v>26</v>
      </c>
      <c r="E168" s="20" t="s">
        <v>9</v>
      </c>
      <c r="F168" s="20" t="s">
        <v>182</v>
      </c>
      <c r="G168" s="21" t="s">
        <v>97</v>
      </c>
      <c r="H168" s="21" t="s">
        <v>111</v>
      </c>
      <c r="I168" s="19" t="s">
        <v>26</v>
      </c>
      <c r="J168" s="19" t="s">
        <v>36</v>
      </c>
      <c r="K168" s="21" t="s">
        <v>15</v>
      </c>
      <c r="L168" s="33" t="str">
        <f t="shared" si="10"/>
        <v>2x LCD</v>
      </c>
      <c r="M168" s="21" t="s">
        <v>36</v>
      </c>
      <c r="N168" s="21" t="s">
        <v>143</v>
      </c>
      <c r="O168" s="27"/>
      <c r="P168" s="20"/>
      <c r="Q168" s="20"/>
      <c r="R168" s="29">
        <f t="shared" si="11"/>
        <v>0</v>
      </c>
      <c r="S168" s="20" t="s">
        <v>36</v>
      </c>
      <c r="T168" s="18" t="s">
        <v>143</v>
      </c>
      <c r="U168" s="20">
        <v>2</v>
      </c>
      <c r="V168" s="120">
        <v>1.375E-2</v>
      </c>
      <c r="W168" s="69">
        <f t="shared" si="12"/>
        <v>0.53900000000000003</v>
      </c>
      <c r="X168" s="106">
        <v>39.200000000000003</v>
      </c>
      <c r="Y168" s="72" t="str">
        <f t="shared" si="13"/>
        <v>VR_2020_2x LCD_Dual LCD VR headset</v>
      </c>
      <c r="Z168" s="36" t="str">
        <f t="shared" si="14"/>
        <v>VR_2020_2x LCD</v>
      </c>
    </row>
    <row r="169" spans="3:26">
      <c r="C169" s="17">
        <v>161</v>
      </c>
      <c r="D169" s="109" t="s">
        <v>26</v>
      </c>
      <c r="E169" s="20" t="s">
        <v>9</v>
      </c>
      <c r="F169" s="20" t="s">
        <v>182</v>
      </c>
      <c r="G169" s="21" t="s">
        <v>97</v>
      </c>
      <c r="H169" s="21" t="s">
        <v>42</v>
      </c>
      <c r="I169" s="19" t="s">
        <v>26</v>
      </c>
      <c r="J169" s="19" t="s">
        <v>36</v>
      </c>
      <c r="K169" s="21" t="s">
        <v>28</v>
      </c>
      <c r="L169" s="33" t="str">
        <f t="shared" si="10"/>
        <v>2x AMOLED</v>
      </c>
      <c r="M169" s="21" t="s">
        <v>36</v>
      </c>
      <c r="N169" s="21" t="s">
        <v>143</v>
      </c>
      <c r="O169" s="27"/>
      <c r="P169" s="20"/>
      <c r="Q169" s="20"/>
      <c r="R169" s="29">
        <f t="shared" si="11"/>
        <v>0</v>
      </c>
      <c r="S169" s="20" t="s">
        <v>36</v>
      </c>
      <c r="T169" s="18" t="s">
        <v>143</v>
      </c>
      <c r="U169" s="20">
        <v>2</v>
      </c>
      <c r="V169" s="120">
        <v>5.0000000000000001E-3</v>
      </c>
      <c r="W169" s="69">
        <f t="shared" si="12"/>
        <v>0.10719614084530499</v>
      </c>
      <c r="X169" s="106">
        <v>21.439228169060996</v>
      </c>
      <c r="Y169" s="72" t="str">
        <f t="shared" si="13"/>
        <v>VR_2020_2x AMOLED_OLED VR headset</v>
      </c>
      <c r="Z169" s="36" t="str">
        <f t="shared" si="14"/>
        <v>VR_2020_2x AMOLED</v>
      </c>
    </row>
    <row r="170" spans="3:26">
      <c r="C170" s="17">
        <v>162</v>
      </c>
      <c r="D170" s="109" t="s">
        <v>26</v>
      </c>
      <c r="E170" s="20" t="s">
        <v>9</v>
      </c>
      <c r="F170" s="20" t="s">
        <v>182</v>
      </c>
      <c r="G170" s="21" t="s">
        <v>97</v>
      </c>
      <c r="H170" s="21" t="s">
        <v>161</v>
      </c>
      <c r="I170" s="19" t="s">
        <v>26</v>
      </c>
      <c r="J170" s="19" t="s">
        <v>36</v>
      </c>
      <c r="K170" s="21" t="s">
        <v>15</v>
      </c>
      <c r="L170" s="33" t="str">
        <f t="shared" si="10"/>
        <v>1x LCD</v>
      </c>
      <c r="M170" s="21" t="s">
        <v>36</v>
      </c>
      <c r="N170" s="21" t="s">
        <v>143</v>
      </c>
      <c r="O170" s="27"/>
      <c r="P170" s="20"/>
      <c r="Q170" s="20"/>
      <c r="R170" s="29">
        <f t="shared" si="11"/>
        <v>0</v>
      </c>
      <c r="S170" s="20" t="s">
        <v>36</v>
      </c>
      <c r="T170" s="18" t="s">
        <v>143</v>
      </c>
      <c r="U170" s="20">
        <v>1</v>
      </c>
      <c r="V170" s="120">
        <v>8.2583000000000004E-2</v>
      </c>
      <c r="W170" s="69">
        <f t="shared" si="12"/>
        <v>4.8558804000000002</v>
      </c>
      <c r="X170" s="106">
        <v>58.8</v>
      </c>
      <c r="Y170" s="72" t="str">
        <f t="shared" si="13"/>
        <v>VR_2020_1x LCD_Single LCD VR headset</v>
      </c>
      <c r="Z170" s="36" t="str">
        <f t="shared" si="14"/>
        <v>VR_2020_1x LCD</v>
      </c>
    </row>
    <row r="171" spans="3:26">
      <c r="C171" s="17">
        <v>163</v>
      </c>
      <c r="D171" s="109" t="s">
        <v>26</v>
      </c>
      <c r="E171" s="20" t="s">
        <v>9</v>
      </c>
      <c r="F171" s="20" t="s">
        <v>182</v>
      </c>
      <c r="G171" s="21" t="s">
        <v>38</v>
      </c>
      <c r="H171" s="21" t="s">
        <v>39</v>
      </c>
      <c r="I171" s="19" t="s">
        <v>26</v>
      </c>
      <c r="J171" s="19" t="s">
        <v>27</v>
      </c>
      <c r="K171" s="21" t="s">
        <v>15</v>
      </c>
      <c r="L171" s="33" t="str">
        <f t="shared" si="10"/>
        <v>2x LCD</v>
      </c>
      <c r="M171" s="21" t="s">
        <v>40</v>
      </c>
      <c r="N171" s="21" t="s">
        <v>143</v>
      </c>
      <c r="O171" s="27">
        <v>3.5</v>
      </c>
      <c r="P171" s="20">
        <v>1440</v>
      </c>
      <c r="Q171" s="20">
        <v>1600</v>
      </c>
      <c r="R171" s="29">
        <f t="shared" si="11"/>
        <v>615.02281358051255</v>
      </c>
      <c r="S171" s="20">
        <v>144</v>
      </c>
      <c r="T171" s="18">
        <v>43586</v>
      </c>
      <c r="U171" s="20">
        <v>2</v>
      </c>
      <c r="V171" s="120">
        <v>6.0499999999999998E-2</v>
      </c>
      <c r="W171" s="69">
        <f t="shared" si="12"/>
        <v>2.3715999999999999</v>
      </c>
      <c r="X171" s="106">
        <v>39.200000000000003</v>
      </c>
      <c r="Y171" s="72" t="str">
        <f t="shared" si="13"/>
        <v>VR_2020_2x LCD_Index</v>
      </c>
      <c r="Z171" s="36" t="str">
        <f t="shared" si="14"/>
        <v>VR_2020_2x LCD</v>
      </c>
    </row>
    <row r="172" spans="3:26">
      <c r="C172" s="17">
        <v>164</v>
      </c>
      <c r="D172" s="109" t="s">
        <v>129</v>
      </c>
      <c r="E172" s="20" t="s">
        <v>9</v>
      </c>
      <c r="F172" s="20" t="s">
        <v>182</v>
      </c>
      <c r="G172" s="21" t="s">
        <v>73</v>
      </c>
      <c r="H172" s="21" t="s">
        <v>74</v>
      </c>
      <c r="I172" s="19" t="s">
        <v>63</v>
      </c>
      <c r="J172" s="19" t="s">
        <v>31</v>
      </c>
      <c r="K172" s="21" t="s">
        <v>51</v>
      </c>
      <c r="L172" s="33" t="str">
        <f t="shared" si="10"/>
        <v>2x SiOLED</v>
      </c>
      <c r="M172" s="21" t="s">
        <v>73</v>
      </c>
      <c r="N172" s="21"/>
      <c r="O172" s="27">
        <v>0.43</v>
      </c>
      <c r="P172" s="20">
        <v>1280</v>
      </c>
      <c r="Q172" s="20">
        <v>720</v>
      </c>
      <c r="R172" s="29">
        <f t="shared" si="11"/>
        <v>3415.3599536159668</v>
      </c>
      <c r="S172" s="20" t="s">
        <v>36</v>
      </c>
      <c r="T172" s="18">
        <v>42401</v>
      </c>
      <c r="U172" s="20">
        <v>2</v>
      </c>
      <c r="V172" s="120">
        <v>3.5749999999999997E-2</v>
      </c>
      <c r="W172" s="69">
        <f t="shared" si="12"/>
        <v>3.0201599999999993</v>
      </c>
      <c r="X172" s="106">
        <v>84.47999999999999</v>
      </c>
      <c r="Y172" s="72" t="str">
        <f t="shared" si="13"/>
        <v>AR_2020_2x SiOLED_Moverio</v>
      </c>
      <c r="Z172" s="36" t="str">
        <f t="shared" si="14"/>
        <v>AR_2020_2x SiOLED</v>
      </c>
    </row>
    <row r="173" spans="3:26">
      <c r="C173" s="17">
        <v>165</v>
      </c>
      <c r="D173" s="109" t="s">
        <v>129</v>
      </c>
      <c r="E173" s="20" t="s">
        <v>9</v>
      </c>
      <c r="F173" s="20" t="s">
        <v>182</v>
      </c>
      <c r="G173" s="21" t="s">
        <v>71</v>
      </c>
      <c r="H173" s="21" t="s">
        <v>130</v>
      </c>
      <c r="I173" s="19" t="s">
        <v>63</v>
      </c>
      <c r="J173" s="19" t="s">
        <v>31</v>
      </c>
      <c r="K173" s="21" t="s">
        <v>168</v>
      </c>
      <c r="L173" s="33" t="str">
        <f t="shared" si="10"/>
        <v>1x Micro LCD</v>
      </c>
      <c r="M173" s="21" t="s">
        <v>72</v>
      </c>
      <c r="N173" s="21"/>
      <c r="O173" s="27"/>
      <c r="P173" s="20">
        <v>640</v>
      </c>
      <c r="Q173" s="20">
        <v>360</v>
      </c>
      <c r="R173" s="29">
        <f t="shared" si="11"/>
        <v>0</v>
      </c>
      <c r="S173" s="20" t="s">
        <v>36</v>
      </c>
      <c r="T173" s="18">
        <v>43586</v>
      </c>
      <c r="U173" s="20">
        <v>1</v>
      </c>
      <c r="V173" s="120">
        <v>8.2500000000000004E-3</v>
      </c>
      <c r="W173" s="69">
        <f t="shared" si="12"/>
        <v>0.34303499999999998</v>
      </c>
      <c r="X173" s="106">
        <v>41.58</v>
      </c>
      <c r="Y173" s="72" t="str">
        <f t="shared" si="13"/>
        <v>AR_2020_1x Micro LCD_Glass</v>
      </c>
      <c r="Z173" s="36" t="str">
        <f t="shared" si="14"/>
        <v>AR_2020_1x Micro LCD</v>
      </c>
    </row>
    <row r="174" spans="3:26">
      <c r="C174" s="17">
        <v>166</v>
      </c>
      <c r="D174" s="109" t="s">
        <v>129</v>
      </c>
      <c r="E174" s="20" t="s">
        <v>9</v>
      </c>
      <c r="F174" s="20" t="s">
        <v>182</v>
      </c>
      <c r="G174" s="21" t="s">
        <v>77</v>
      </c>
      <c r="H174" s="21" t="s">
        <v>78</v>
      </c>
      <c r="I174" s="19" t="s">
        <v>63</v>
      </c>
      <c r="J174" s="19" t="s">
        <v>27</v>
      </c>
      <c r="K174" s="21" t="s">
        <v>51</v>
      </c>
      <c r="L174" s="33" t="str">
        <f t="shared" si="10"/>
        <v>2x SiOLED</v>
      </c>
      <c r="M174" s="21" t="s">
        <v>6</v>
      </c>
      <c r="N174" s="21"/>
      <c r="O174" s="27">
        <v>0.71</v>
      </c>
      <c r="P174" s="20">
        <v>1920</v>
      </c>
      <c r="Q174" s="20">
        <v>1080</v>
      </c>
      <c r="R174" s="29">
        <f t="shared" si="11"/>
        <v>3102.6861550454905</v>
      </c>
      <c r="S174" s="20" t="s">
        <v>36</v>
      </c>
      <c r="T174" s="18">
        <v>44348</v>
      </c>
      <c r="U174" s="20">
        <v>2</v>
      </c>
      <c r="V174" s="120">
        <v>8.2500000000000004E-3</v>
      </c>
      <c r="W174" s="69">
        <f t="shared" si="12"/>
        <v>0.69695999999999991</v>
      </c>
      <c r="X174" s="106">
        <v>84.47999999999999</v>
      </c>
      <c r="Y174" s="72" t="str">
        <f t="shared" si="13"/>
        <v>AR_2020_2x SiOLED_ThinkReality A3</v>
      </c>
      <c r="Z174" s="36" t="str">
        <f t="shared" si="14"/>
        <v>AR_2020_2x SiOLED</v>
      </c>
    </row>
    <row r="175" spans="3:26">
      <c r="C175" s="17">
        <v>167</v>
      </c>
      <c r="D175" s="109" t="s">
        <v>129</v>
      </c>
      <c r="E175" s="20" t="s">
        <v>9</v>
      </c>
      <c r="F175" s="20" t="s">
        <v>182</v>
      </c>
      <c r="G175" s="21" t="s">
        <v>65</v>
      </c>
      <c r="H175" s="21" t="s">
        <v>66</v>
      </c>
      <c r="I175" s="19" t="s">
        <v>63</v>
      </c>
      <c r="J175" s="19" t="s">
        <v>31</v>
      </c>
      <c r="K175" s="21" t="s">
        <v>67</v>
      </c>
      <c r="L175" s="33" t="str">
        <f t="shared" si="10"/>
        <v>2x LCoS</v>
      </c>
      <c r="M175" s="21" t="s">
        <v>36</v>
      </c>
      <c r="N175" s="21"/>
      <c r="O175" s="27"/>
      <c r="P175" s="20">
        <v>1280</v>
      </c>
      <c r="Q175" s="20">
        <v>960</v>
      </c>
      <c r="R175" s="29">
        <f t="shared" si="11"/>
        <v>0</v>
      </c>
      <c r="S175" s="20">
        <v>120</v>
      </c>
      <c r="T175" s="18">
        <v>43313</v>
      </c>
      <c r="U175" s="20">
        <v>2</v>
      </c>
      <c r="V175" s="120">
        <v>8.25E-4</v>
      </c>
      <c r="W175" s="69">
        <f t="shared" si="12"/>
        <v>3.75705E-2</v>
      </c>
      <c r="X175" s="106">
        <v>45.54</v>
      </c>
      <c r="Y175" s="72" t="str">
        <f t="shared" si="13"/>
        <v>AR_2020_2x LCoS_ML One</v>
      </c>
      <c r="Z175" s="36" t="str">
        <f t="shared" si="14"/>
        <v>AR_2020_2x LCoS</v>
      </c>
    </row>
    <row r="176" spans="3:26">
      <c r="C176" s="17">
        <v>168</v>
      </c>
      <c r="D176" s="109" t="s">
        <v>129</v>
      </c>
      <c r="E176" s="20" t="s">
        <v>9</v>
      </c>
      <c r="F176" s="20" t="s">
        <v>182</v>
      </c>
      <c r="G176" s="21" t="s">
        <v>61</v>
      </c>
      <c r="H176" s="21" t="s">
        <v>62</v>
      </c>
      <c r="I176" s="19" t="s">
        <v>63</v>
      </c>
      <c r="J176" s="19" t="s">
        <v>31</v>
      </c>
      <c r="K176" s="21" t="s">
        <v>64</v>
      </c>
      <c r="L176" s="33" t="str">
        <f t="shared" si="10"/>
        <v>2x LBS</v>
      </c>
      <c r="M176" s="21" t="s">
        <v>36</v>
      </c>
      <c r="N176" s="21"/>
      <c r="O176" s="27"/>
      <c r="P176" s="20"/>
      <c r="Q176" s="20"/>
      <c r="R176" s="29">
        <f t="shared" si="11"/>
        <v>0</v>
      </c>
      <c r="S176" s="20" t="s">
        <v>36</v>
      </c>
      <c r="T176" s="18">
        <v>43770</v>
      </c>
      <c r="U176" s="20">
        <v>2</v>
      </c>
      <c r="V176" s="120">
        <v>6.8750000000000006E-2</v>
      </c>
      <c r="W176" s="69">
        <f t="shared" si="12"/>
        <v>7.4690000000000003</v>
      </c>
      <c r="X176" s="106">
        <v>108.64</v>
      </c>
      <c r="Y176" s="72" t="str">
        <f t="shared" si="13"/>
        <v>AR_2020_2x LBS_HoloLens 2</v>
      </c>
      <c r="Z176" s="36" t="str">
        <f t="shared" si="14"/>
        <v>AR_2020_2x LBS</v>
      </c>
    </row>
    <row r="177" spans="3:26">
      <c r="C177" s="17">
        <v>169</v>
      </c>
      <c r="D177" s="109" t="s">
        <v>129</v>
      </c>
      <c r="E177" s="20" t="s">
        <v>9</v>
      </c>
      <c r="F177" s="20" t="s">
        <v>182</v>
      </c>
      <c r="G177" s="21" t="s">
        <v>186</v>
      </c>
      <c r="H177" s="21" t="s">
        <v>187</v>
      </c>
      <c r="I177" s="19" t="s">
        <v>63</v>
      </c>
      <c r="J177" s="19" t="s">
        <v>27</v>
      </c>
      <c r="K177" s="21" t="s">
        <v>51</v>
      </c>
      <c r="L177" s="33" t="str">
        <f t="shared" si="10"/>
        <v>2x SiOLED</v>
      </c>
      <c r="M177" s="21" t="s">
        <v>145</v>
      </c>
      <c r="N177" s="21"/>
      <c r="O177" s="27">
        <v>0.71</v>
      </c>
      <c r="P177" s="20">
        <v>1920</v>
      </c>
      <c r="Q177" s="20">
        <v>1080</v>
      </c>
      <c r="R177" s="29">
        <f t="shared" si="11"/>
        <v>3102.6861550454905</v>
      </c>
      <c r="S177" s="20">
        <v>90</v>
      </c>
      <c r="T177" s="18">
        <v>44044</v>
      </c>
      <c r="U177" s="20">
        <v>2</v>
      </c>
      <c r="V177" s="120">
        <v>1.6500000000000001E-2</v>
      </c>
      <c r="W177" s="69">
        <f t="shared" si="12"/>
        <v>1.3939199999999998</v>
      </c>
      <c r="X177" s="106">
        <v>84.47999999999999</v>
      </c>
      <c r="Y177" s="72" t="str">
        <f t="shared" si="13"/>
        <v>AR_2020_2x SiOLED_Light</v>
      </c>
      <c r="Z177" s="36" t="str">
        <f t="shared" si="14"/>
        <v>AR_2020_2x SiOLED</v>
      </c>
    </row>
    <row r="178" spans="3:26">
      <c r="C178" s="17">
        <v>170</v>
      </c>
      <c r="D178" s="109" t="s">
        <v>129</v>
      </c>
      <c r="E178" s="20" t="s">
        <v>9</v>
      </c>
      <c r="F178" s="20" t="s">
        <v>182</v>
      </c>
      <c r="G178" s="21" t="s">
        <v>68</v>
      </c>
      <c r="H178" s="21" t="s">
        <v>69</v>
      </c>
      <c r="I178" s="19" t="s">
        <v>63</v>
      </c>
      <c r="J178" s="19" t="s">
        <v>31</v>
      </c>
      <c r="K178" s="21" t="s">
        <v>70</v>
      </c>
      <c r="L178" s="33" t="str">
        <f t="shared" si="10"/>
        <v>1x DLP</v>
      </c>
      <c r="M178" s="21" t="s">
        <v>172</v>
      </c>
      <c r="N178" s="21"/>
      <c r="O178" s="27"/>
      <c r="P178" s="20">
        <v>853</v>
      </c>
      <c r="Q178" s="20">
        <v>480</v>
      </c>
      <c r="R178" s="29">
        <f t="shared" si="11"/>
        <v>0</v>
      </c>
      <c r="S178" s="20" t="s">
        <v>36</v>
      </c>
      <c r="T178" s="18">
        <v>43466</v>
      </c>
      <c r="U178" s="20">
        <v>1</v>
      </c>
      <c r="V178" s="120">
        <v>9.6299999999999999E-4</v>
      </c>
      <c r="W178" s="69">
        <f t="shared" si="12"/>
        <v>7.9129710000000006E-2</v>
      </c>
      <c r="X178" s="106">
        <v>82.17</v>
      </c>
      <c r="Y178" s="72" t="str">
        <f t="shared" si="13"/>
        <v>AR_2020_1x DLP_Blade</v>
      </c>
      <c r="Z178" s="36" t="str">
        <f t="shared" si="14"/>
        <v>AR_2020_1x DLP</v>
      </c>
    </row>
    <row r="179" spans="3:26">
      <c r="C179" s="17">
        <v>171</v>
      </c>
      <c r="D179" s="109" t="s">
        <v>129</v>
      </c>
      <c r="E179" s="20" t="s">
        <v>9</v>
      </c>
      <c r="F179" s="20" t="s">
        <v>182</v>
      </c>
      <c r="G179" s="21" t="s">
        <v>97</v>
      </c>
      <c r="H179" s="21" t="s">
        <v>76</v>
      </c>
      <c r="I179" s="19" t="s">
        <v>63</v>
      </c>
      <c r="J179" s="19" t="s">
        <v>36</v>
      </c>
      <c r="K179" s="21" t="s">
        <v>70</v>
      </c>
      <c r="L179" s="33" t="str">
        <f t="shared" si="10"/>
        <v>1x DLP</v>
      </c>
      <c r="M179" s="21" t="s">
        <v>36</v>
      </c>
      <c r="N179" s="21"/>
      <c r="O179" s="27"/>
      <c r="P179" s="20"/>
      <c r="Q179" s="20"/>
      <c r="R179" s="29">
        <f t="shared" si="11"/>
        <v>0</v>
      </c>
      <c r="S179" s="20" t="s">
        <v>36</v>
      </c>
      <c r="T179" s="18" t="s">
        <v>143</v>
      </c>
      <c r="U179" s="20">
        <v>1</v>
      </c>
      <c r="V179" s="120">
        <v>1.3800000000000002E-4</v>
      </c>
      <c r="W179" s="69">
        <f t="shared" si="12"/>
        <v>1.1339460000000003E-2</v>
      </c>
      <c r="X179" s="106">
        <v>82.17</v>
      </c>
      <c r="Y179" s="72" t="str">
        <f t="shared" si="13"/>
        <v>AR_2020_1x DLP_DLP glasses</v>
      </c>
      <c r="Z179" s="36" t="str">
        <f t="shared" si="14"/>
        <v>AR_2020_1x DLP</v>
      </c>
    </row>
    <row r="180" spans="3:26">
      <c r="C180" s="17">
        <v>172</v>
      </c>
      <c r="D180" s="109" t="s">
        <v>129</v>
      </c>
      <c r="E180" s="20" t="s">
        <v>9</v>
      </c>
      <c r="F180" s="20" t="s">
        <v>182</v>
      </c>
      <c r="G180" s="21" t="s">
        <v>97</v>
      </c>
      <c r="H180" s="21" t="s">
        <v>75</v>
      </c>
      <c r="I180" s="19" t="s">
        <v>63</v>
      </c>
      <c r="J180" s="19" t="s">
        <v>36</v>
      </c>
      <c r="K180" s="21" t="s">
        <v>67</v>
      </c>
      <c r="L180" s="33" t="str">
        <f t="shared" si="10"/>
        <v>2x LCoS</v>
      </c>
      <c r="M180" s="21" t="s">
        <v>36</v>
      </c>
      <c r="N180" s="21"/>
      <c r="O180" s="27"/>
      <c r="P180" s="20"/>
      <c r="Q180" s="20"/>
      <c r="R180" s="29">
        <f t="shared" si="11"/>
        <v>0</v>
      </c>
      <c r="S180" s="20" t="s">
        <v>36</v>
      </c>
      <c r="T180" s="18" t="s">
        <v>143</v>
      </c>
      <c r="U180" s="20">
        <v>2</v>
      </c>
      <c r="V180" s="120">
        <v>2.7499999999999998E-3</v>
      </c>
      <c r="W180" s="69">
        <f t="shared" si="12"/>
        <v>0.12523499999999999</v>
      </c>
      <c r="X180" s="106">
        <v>45.54</v>
      </c>
      <c r="Y180" s="72" t="str">
        <f t="shared" si="13"/>
        <v>AR_2020_2x LCoS_LCoS glasses</v>
      </c>
      <c r="Z180" s="36" t="str">
        <f t="shared" si="14"/>
        <v>AR_2020_2x LCoS</v>
      </c>
    </row>
    <row r="181" spans="3:26">
      <c r="C181" s="17">
        <v>173</v>
      </c>
      <c r="D181" s="109" t="s">
        <v>129</v>
      </c>
      <c r="E181" s="20" t="s">
        <v>9</v>
      </c>
      <c r="F181" s="20" t="s">
        <v>182</v>
      </c>
      <c r="G181" s="21" t="s">
        <v>97</v>
      </c>
      <c r="H181" s="21" t="s">
        <v>79</v>
      </c>
      <c r="I181" s="19" t="s">
        <v>63</v>
      </c>
      <c r="J181" s="19" t="s">
        <v>36</v>
      </c>
      <c r="K181" s="21" t="s">
        <v>51</v>
      </c>
      <c r="L181" s="33" t="str">
        <f t="shared" si="10"/>
        <v>2x SiOLED</v>
      </c>
      <c r="M181" s="21" t="s">
        <v>36</v>
      </c>
      <c r="N181" s="21"/>
      <c r="O181" s="27"/>
      <c r="P181" s="20"/>
      <c r="Q181" s="20"/>
      <c r="R181" s="29">
        <f t="shared" si="11"/>
        <v>0</v>
      </c>
      <c r="S181" s="20" t="s">
        <v>36</v>
      </c>
      <c r="T181" s="18" t="s">
        <v>143</v>
      </c>
      <c r="U181" s="20">
        <v>2</v>
      </c>
      <c r="V181" s="120">
        <v>1.65E-3</v>
      </c>
      <c r="W181" s="69">
        <f t="shared" si="12"/>
        <v>0.13939199999999999</v>
      </c>
      <c r="X181" s="106">
        <v>84.47999999999999</v>
      </c>
      <c r="Y181" s="72" t="str">
        <f t="shared" si="13"/>
        <v>AR_2020_2x SiOLED_SiOLED glasses</v>
      </c>
      <c r="Z181" s="36" t="str">
        <f t="shared" si="14"/>
        <v>AR_2020_2x SiOLED</v>
      </c>
    </row>
    <row r="182" spans="3:26">
      <c r="C182" s="17">
        <v>174</v>
      </c>
      <c r="D182" s="109" t="s">
        <v>26</v>
      </c>
      <c r="E182" s="20" t="s">
        <v>10</v>
      </c>
      <c r="F182" s="20" t="s">
        <v>176</v>
      </c>
      <c r="G182" s="21" t="s">
        <v>106</v>
      </c>
      <c r="H182" s="21" t="s">
        <v>107</v>
      </c>
      <c r="I182" s="19" t="s">
        <v>26</v>
      </c>
      <c r="J182" s="19" t="s">
        <v>31</v>
      </c>
      <c r="K182" s="21" t="s">
        <v>15</v>
      </c>
      <c r="L182" s="33" t="str">
        <f t="shared" si="10"/>
        <v>1x LCD</v>
      </c>
      <c r="M182" s="21" t="s">
        <v>36</v>
      </c>
      <c r="N182" s="21" t="s">
        <v>143</v>
      </c>
      <c r="O182" s="27"/>
      <c r="P182" s="20"/>
      <c r="Q182" s="20"/>
      <c r="R182" s="29">
        <f t="shared" si="11"/>
        <v>0</v>
      </c>
      <c r="S182" s="20" t="s">
        <v>36</v>
      </c>
      <c r="T182" s="18">
        <v>43770</v>
      </c>
      <c r="U182" s="20">
        <v>1</v>
      </c>
      <c r="V182" s="120">
        <v>0.13750000000000001</v>
      </c>
      <c r="W182" s="69">
        <f t="shared" si="12"/>
        <v>7.9233000000000002</v>
      </c>
      <c r="X182" s="106">
        <v>57.623999999999995</v>
      </c>
      <c r="Y182" s="72" t="str">
        <f t="shared" si="13"/>
        <v>VR_2021_1x LCD_P1 family</v>
      </c>
      <c r="Z182" s="36" t="str">
        <f t="shared" si="14"/>
        <v>VR_2021_1x LCD</v>
      </c>
    </row>
    <row r="183" spans="3:26">
      <c r="C183" s="17">
        <v>175</v>
      </c>
      <c r="D183" s="109" t="s">
        <v>26</v>
      </c>
      <c r="E183" s="20" t="s">
        <v>10</v>
      </c>
      <c r="F183" s="20" t="s">
        <v>176</v>
      </c>
      <c r="G183" s="21" t="s">
        <v>34</v>
      </c>
      <c r="H183" s="21" t="s">
        <v>37</v>
      </c>
      <c r="I183" s="19" t="s">
        <v>26</v>
      </c>
      <c r="J183" s="19" t="s">
        <v>27</v>
      </c>
      <c r="K183" s="21" t="s">
        <v>15</v>
      </c>
      <c r="L183" s="33" t="str">
        <f t="shared" si="10"/>
        <v>2x LCD</v>
      </c>
      <c r="M183" s="21" t="s">
        <v>36</v>
      </c>
      <c r="N183" s="21" t="s">
        <v>143</v>
      </c>
      <c r="O183" s="27">
        <v>2.89</v>
      </c>
      <c r="P183" s="20">
        <v>2160</v>
      </c>
      <c r="Q183" s="20">
        <v>2160</v>
      </c>
      <c r="R183" s="29">
        <f t="shared" si="11"/>
        <v>1056.990067379199</v>
      </c>
      <c r="S183" s="20">
        <v>90</v>
      </c>
      <c r="T183" s="18">
        <v>44136</v>
      </c>
      <c r="U183" s="20">
        <v>2</v>
      </c>
      <c r="V183" s="120">
        <v>2.7499999999999998E-3</v>
      </c>
      <c r="W183" s="69">
        <f t="shared" si="12"/>
        <v>0.105644</v>
      </c>
      <c r="X183" s="106">
        <v>38.416000000000004</v>
      </c>
      <c r="Y183" s="72" t="str">
        <f t="shared" si="13"/>
        <v>VR_2021_2x LCD_Reverb G2</v>
      </c>
      <c r="Z183" s="36" t="str">
        <f t="shared" si="14"/>
        <v>VR_2021_2x LCD</v>
      </c>
    </row>
    <row r="184" spans="3:26">
      <c r="C184" s="17">
        <v>176</v>
      </c>
      <c r="D184" s="109" t="s">
        <v>26</v>
      </c>
      <c r="E184" s="20" t="s">
        <v>10</v>
      </c>
      <c r="F184" s="20" t="s">
        <v>176</v>
      </c>
      <c r="G184" s="21" t="s">
        <v>41</v>
      </c>
      <c r="H184" s="21" t="s">
        <v>178</v>
      </c>
      <c r="I184" s="19" t="s">
        <v>26</v>
      </c>
      <c r="J184" s="19" t="s">
        <v>31</v>
      </c>
      <c r="K184" s="21" t="s">
        <v>15</v>
      </c>
      <c r="L184" s="33" t="str">
        <f t="shared" si="10"/>
        <v>2x LCD</v>
      </c>
      <c r="M184" s="21" t="s">
        <v>2</v>
      </c>
      <c r="N184" s="21" t="s">
        <v>143</v>
      </c>
      <c r="O184" s="27"/>
      <c r="P184" s="20"/>
      <c r="Q184" s="20"/>
      <c r="R184" s="29">
        <f t="shared" si="11"/>
        <v>0</v>
      </c>
      <c r="S184" s="20" t="s">
        <v>36</v>
      </c>
      <c r="T184" s="18">
        <v>43739</v>
      </c>
      <c r="U184" s="20">
        <v>2</v>
      </c>
      <c r="V184" s="120">
        <v>1.6500000000000001E-2</v>
      </c>
      <c r="W184" s="69">
        <f t="shared" si="12"/>
        <v>0.63386400000000009</v>
      </c>
      <c r="X184" s="106">
        <v>38.416000000000004</v>
      </c>
      <c r="Y184" s="72" t="str">
        <f t="shared" si="13"/>
        <v>VR_2021_2x LCD_Vive LCD headsets</v>
      </c>
      <c r="Z184" s="36" t="str">
        <f t="shared" si="14"/>
        <v>VR_2021_2x LCD</v>
      </c>
    </row>
    <row r="185" spans="3:26">
      <c r="C185" s="17">
        <v>177</v>
      </c>
      <c r="D185" s="109" t="s">
        <v>26</v>
      </c>
      <c r="E185" s="20" t="s">
        <v>10</v>
      </c>
      <c r="F185" s="20" t="s">
        <v>176</v>
      </c>
      <c r="G185" s="21" t="s">
        <v>112</v>
      </c>
      <c r="H185" s="21" t="s">
        <v>32</v>
      </c>
      <c r="I185" s="19" t="s">
        <v>26</v>
      </c>
      <c r="J185" s="19" t="s">
        <v>31</v>
      </c>
      <c r="K185" s="21" t="s">
        <v>15</v>
      </c>
      <c r="L185" s="33" t="str">
        <f t="shared" si="10"/>
        <v>1x LCD</v>
      </c>
      <c r="M185" s="21" t="s">
        <v>2</v>
      </c>
      <c r="N185" s="21" t="s">
        <v>166</v>
      </c>
      <c r="O185" s="27">
        <v>5.5</v>
      </c>
      <c r="P185" s="20">
        <v>3840</v>
      </c>
      <c r="Q185" s="20">
        <v>1832</v>
      </c>
      <c r="R185" s="29">
        <f t="shared" si="11"/>
        <v>773.56797048396322</v>
      </c>
      <c r="S185" s="20">
        <v>90</v>
      </c>
      <c r="T185" s="18">
        <v>44105</v>
      </c>
      <c r="U185" s="20">
        <v>1</v>
      </c>
      <c r="V185" s="120">
        <v>2.1175000000000002</v>
      </c>
      <c r="W185" s="69">
        <f t="shared" si="12"/>
        <v>122.01882000000001</v>
      </c>
      <c r="X185" s="106">
        <v>57.623999999999995</v>
      </c>
      <c r="Y185" s="72" t="str">
        <f t="shared" si="13"/>
        <v>VR_2021_1x LCD_Quest 2</v>
      </c>
      <c r="Z185" s="36" t="str">
        <f t="shared" si="14"/>
        <v>VR_2021_1x LCD</v>
      </c>
    </row>
    <row r="186" spans="3:26">
      <c r="C186" s="17">
        <v>178</v>
      </c>
      <c r="D186" s="109" t="s">
        <v>26</v>
      </c>
      <c r="E186" s="20" t="s">
        <v>10</v>
      </c>
      <c r="F186" s="20" t="s">
        <v>176</v>
      </c>
      <c r="G186" s="21" t="s">
        <v>110</v>
      </c>
      <c r="H186" s="21" t="s">
        <v>162</v>
      </c>
      <c r="I186" s="19" t="s">
        <v>26</v>
      </c>
      <c r="J186" s="19" t="s">
        <v>31</v>
      </c>
      <c r="K186" s="21" t="s">
        <v>15</v>
      </c>
      <c r="L186" s="33" t="str">
        <f t="shared" si="10"/>
        <v>1x LCD</v>
      </c>
      <c r="M186" s="21" t="s">
        <v>2</v>
      </c>
      <c r="N186" s="21" t="s">
        <v>146</v>
      </c>
      <c r="O186" s="27">
        <v>5.5</v>
      </c>
      <c r="P186" s="20">
        <v>3840</v>
      </c>
      <c r="Q186" s="20">
        <v>1832</v>
      </c>
      <c r="R186" s="29">
        <f t="shared" si="11"/>
        <v>773.56797048396322</v>
      </c>
      <c r="S186" s="20">
        <v>90</v>
      </c>
      <c r="T186" s="18">
        <v>44317</v>
      </c>
      <c r="U186" s="20">
        <v>1</v>
      </c>
      <c r="V186" s="120">
        <v>8.6624999999999994E-2</v>
      </c>
      <c r="W186" s="69">
        <f t="shared" si="12"/>
        <v>4.9916789999999995</v>
      </c>
      <c r="X186" s="106">
        <v>57.623999999999995</v>
      </c>
      <c r="Y186" s="72" t="str">
        <f t="shared" si="13"/>
        <v>VR_2021_1x LCD_Neo 3 / G3</v>
      </c>
      <c r="Z186" s="36" t="str">
        <f t="shared" si="14"/>
        <v>VR_2021_1x LCD</v>
      </c>
    </row>
    <row r="187" spans="3:26">
      <c r="C187" s="17">
        <v>179</v>
      </c>
      <c r="D187" s="109" t="s">
        <v>26</v>
      </c>
      <c r="E187" s="20" t="s">
        <v>10</v>
      </c>
      <c r="F187" s="20" t="s">
        <v>176</v>
      </c>
      <c r="G187" s="21" t="s">
        <v>108</v>
      </c>
      <c r="H187" s="21" t="s">
        <v>109</v>
      </c>
      <c r="I187" s="19" t="s">
        <v>26</v>
      </c>
      <c r="J187" s="19" t="s">
        <v>27</v>
      </c>
      <c r="K187" s="21" t="s">
        <v>15</v>
      </c>
      <c r="L187" s="33" t="str">
        <f t="shared" si="10"/>
        <v>2x LCD</v>
      </c>
      <c r="M187" s="21" t="s">
        <v>145</v>
      </c>
      <c r="N187" s="21" t="s">
        <v>146</v>
      </c>
      <c r="O187" s="27"/>
      <c r="P187" s="20"/>
      <c r="Q187" s="20"/>
      <c r="R187" s="29">
        <f t="shared" si="11"/>
        <v>0</v>
      </c>
      <c r="S187" s="20" t="s">
        <v>36</v>
      </c>
      <c r="T187" s="18" t="s">
        <v>143</v>
      </c>
      <c r="U187" s="20">
        <v>2</v>
      </c>
      <c r="V187" s="120">
        <v>1.925E-2</v>
      </c>
      <c r="W187" s="69">
        <f t="shared" si="12"/>
        <v>0.73950800000000005</v>
      </c>
      <c r="X187" s="106">
        <v>38.416000000000004</v>
      </c>
      <c r="Y187" s="72" t="str">
        <f t="shared" si="13"/>
        <v>VR_2021_2x LCD_Pimax VR</v>
      </c>
      <c r="Z187" s="36" t="str">
        <f t="shared" si="14"/>
        <v>VR_2021_2x LCD</v>
      </c>
    </row>
    <row r="188" spans="3:26">
      <c r="C188" s="17">
        <v>180</v>
      </c>
      <c r="D188" s="109" t="s">
        <v>26</v>
      </c>
      <c r="E188" s="20" t="s">
        <v>10</v>
      </c>
      <c r="F188" s="20" t="s">
        <v>176</v>
      </c>
      <c r="G188" s="21" t="s">
        <v>6</v>
      </c>
      <c r="H188" s="21" t="s">
        <v>25</v>
      </c>
      <c r="I188" s="19" t="s">
        <v>26</v>
      </c>
      <c r="J188" s="19" t="s">
        <v>27</v>
      </c>
      <c r="K188" s="21" t="s">
        <v>28</v>
      </c>
      <c r="L188" s="33" t="str">
        <f t="shared" si="10"/>
        <v>1x AMOLED</v>
      </c>
      <c r="M188" s="21" t="s">
        <v>3</v>
      </c>
      <c r="N188" s="21" t="s">
        <v>143</v>
      </c>
      <c r="O188" s="27">
        <v>5.7</v>
      </c>
      <c r="P188" s="20">
        <v>1920</v>
      </c>
      <c r="Q188" s="20">
        <v>1080</v>
      </c>
      <c r="R188" s="29">
        <f t="shared" si="11"/>
        <v>386.47494211970144</v>
      </c>
      <c r="S188" s="20">
        <v>120</v>
      </c>
      <c r="T188" s="18">
        <v>42644</v>
      </c>
      <c r="U188" s="20">
        <v>1</v>
      </c>
      <c r="V188" s="120">
        <v>0.1</v>
      </c>
      <c r="W188" s="69">
        <f t="shared" si="12"/>
        <v>3.0014919436685394</v>
      </c>
      <c r="X188" s="106">
        <v>30.014919436685393</v>
      </c>
      <c r="Y188" s="72" t="str">
        <f t="shared" si="13"/>
        <v>VR_2021_1x AMOLED_PlayStation VR</v>
      </c>
      <c r="Z188" s="36" t="str">
        <f t="shared" si="14"/>
        <v>VR_2021_1x AMOLED</v>
      </c>
    </row>
    <row r="189" spans="3:26">
      <c r="C189" s="17">
        <v>181</v>
      </c>
      <c r="D189" s="109" t="s">
        <v>26</v>
      </c>
      <c r="E189" s="20" t="s">
        <v>10</v>
      </c>
      <c r="F189" s="20" t="s">
        <v>176</v>
      </c>
      <c r="G189" s="21" t="s">
        <v>97</v>
      </c>
      <c r="H189" s="21" t="s">
        <v>111</v>
      </c>
      <c r="I189" s="19" t="s">
        <v>26</v>
      </c>
      <c r="J189" s="19" t="s">
        <v>36</v>
      </c>
      <c r="K189" s="21" t="s">
        <v>15</v>
      </c>
      <c r="L189" s="33" t="str">
        <f t="shared" si="10"/>
        <v>2x LCD</v>
      </c>
      <c r="M189" s="21" t="s">
        <v>36</v>
      </c>
      <c r="N189" s="21" t="s">
        <v>143</v>
      </c>
      <c r="O189" s="27"/>
      <c r="P189" s="20"/>
      <c r="Q189" s="20"/>
      <c r="R189" s="29">
        <f t="shared" si="11"/>
        <v>0</v>
      </c>
      <c r="S189" s="20" t="s">
        <v>36</v>
      </c>
      <c r="T189" s="18" t="s">
        <v>143</v>
      </c>
      <c r="U189" s="20">
        <v>2</v>
      </c>
      <c r="V189" s="120">
        <v>2.1999999999999999E-2</v>
      </c>
      <c r="W189" s="69">
        <f t="shared" si="12"/>
        <v>0.84515200000000001</v>
      </c>
      <c r="X189" s="106">
        <v>38.416000000000004</v>
      </c>
      <c r="Y189" s="72" t="str">
        <f t="shared" si="13"/>
        <v>VR_2021_2x LCD_Dual LCD VR headset</v>
      </c>
      <c r="Z189" s="36" t="str">
        <f t="shared" si="14"/>
        <v>VR_2021_2x LCD</v>
      </c>
    </row>
    <row r="190" spans="3:26">
      <c r="C190" s="17">
        <v>182</v>
      </c>
      <c r="D190" s="109" t="s">
        <v>26</v>
      </c>
      <c r="E190" s="20" t="s">
        <v>10</v>
      </c>
      <c r="F190" s="20" t="s">
        <v>176</v>
      </c>
      <c r="G190" s="21" t="s">
        <v>97</v>
      </c>
      <c r="H190" s="21" t="s">
        <v>161</v>
      </c>
      <c r="I190" s="19" t="s">
        <v>26</v>
      </c>
      <c r="J190" s="19" t="s">
        <v>36</v>
      </c>
      <c r="K190" s="21" t="s">
        <v>15</v>
      </c>
      <c r="L190" s="33" t="str">
        <f t="shared" si="10"/>
        <v>1x LCD</v>
      </c>
      <c r="M190" s="21" t="s">
        <v>36</v>
      </c>
      <c r="N190" s="21" t="s">
        <v>143</v>
      </c>
      <c r="O190" s="27"/>
      <c r="P190" s="20"/>
      <c r="Q190" s="20"/>
      <c r="R190" s="29">
        <f t="shared" si="11"/>
        <v>0</v>
      </c>
      <c r="S190" s="20" t="s">
        <v>36</v>
      </c>
      <c r="T190" s="18" t="s">
        <v>143</v>
      </c>
      <c r="U190" s="20">
        <v>1</v>
      </c>
      <c r="V190" s="120">
        <v>3.3000000000000002E-2</v>
      </c>
      <c r="W190" s="69">
        <f t="shared" si="12"/>
        <v>1.9015919999999999</v>
      </c>
      <c r="X190" s="106">
        <v>57.623999999999995</v>
      </c>
      <c r="Y190" s="72" t="str">
        <f t="shared" si="13"/>
        <v>VR_2021_1x LCD_Single LCD VR headset</v>
      </c>
      <c r="Z190" s="36" t="str">
        <f t="shared" si="14"/>
        <v>VR_2021_1x LCD</v>
      </c>
    </row>
    <row r="191" spans="3:26">
      <c r="C191" s="17">
        <v>183</v>
      </c>
      <c r="D191" s="109" t="s">
        <v>26</v>
      </c>
      <c r="E191" s="20" t="s">
        <v>10</v>
      </c>
      <c r="F191" s="20" t="s">
        <v>176</v>
      </c>
      <c r="G191" s="21" t="s">
        <v>38</v>
      </c>
      <c r="H191" s="21" t="s">
        <v>39</v>
      </c>
      <c r="I191" s="19" t="s">
        <v>26</v>
      </c>
      <c r="J191" s="19" t="s">
        <v>27</v>
      </c>
      <c r="K191" s="21" t="s">
        <v>15</v>
      </c>
      <c r="L191" s="33" t="str">
        <f t="shared" si="10"/>
        <v>2x LCD</v>
      </c>
      <c r="M191" s="21" t="s">
        <v>40</v>
      </c>
      <c r="N191" s="21" t="s">
        <v>143</v>
      </c>
      <c r="O191" s="27">
        <v>3.5</v>
      </c>
      <c r="P191" s="20">
        <v>1440</v>
      </c>
      <c r="Q191" s="20">
        <v>1600</v>
      </c>
      <c r="R191" s="29">
        <f t="shared" si="11"/>
        <v>615.02281358051255</v>
      </c>
      <c r="S191" s="20">
        <v>144</v>
      </c>
      <c r="T191" s="18">
        <v>43586</v>
      </c>
      <c r="U191" s="20">
        <v>2</v>
      </c>
      <c r="V191" s="120">
        <v>5.4999999999999997E-3</v>
      </c>
      <c r="W191" s="69">
        <f t="shared" si="12"/>
        <v>0.211288</v>
      </c>
      <c r="X191" s="106">
        <v>38.416000000000004</v>
      </c>
      <c r="Y191" s="72" t="str">
        <f t="shared" si="13"/>
        <v>VR_2021_2x LCD_Index</v>
      </c>
      <c r="Z191" s="36" t="str">
        <f t="shared" si="14"/>
        <v>VR_2021_2x LCD</v>
      </c>
    </row>
    <row r="192" spans="3:26">
      <c r="C192" s="17">
        <v>184</v>
      </c>
      <c r="D192" s="109" t="s">
        <v>129</v>
      </c>
      <c r="E192" s="20" t="s">
        <v>10</v>
      </c>
      <c r="F192" s="20" t="s">
        <v>176</v>
      </c>
      <c r="G192" s="21" t="s">
        <v>73</v>
      </c>
      <c r="H192" s="21" t="s">
        <v>74</v>
      </c>
      <c r="I192" s="19" t="s">
        <v>63</v>
      </c>
      <c r="J192" s="19" t="s">
        <v>31</v>
      </c>
      <c r="K192" s="21" t="s">
        <v>51</v>
      </c>
      <c r="L192" s="33" t="str">
        <f t="shared" si="10"/>
        <v>2x SiOLED</v>
      </c>
      <c r="M192" s="21" t="s">
        <v>73</v>
      </c>
      <c r="N192" s="21"/>
      <c r="O192" s="27">
        <v>0.43</v>
      </c>
      <c r="P192" s="20">
        <v>1280</v>
      </c>
      <c r="Q192" s="20">
        <v>720</v>
      </c>
      <c r="R192" s="29">
        <f t="shared" si="11"/>
        <v>3415.3599536159668</v>
      </c>
      <c r="S192" s="20" t="s">
        <v>36</v>
      </c>
      <c r="T192" s="18">
        <v>42401</v>
      </c>
      <c r="U192" s="20">
        <v>2</v>
      </c>
      <c r="V192" s="120">
        <v>3.3000000000000002E-2</v>
      </c>
      <c r="W192" s="69">
        <f t="shared" si="12"/>
        <v>2.6763263999999998</v>
      </c>
      <c r="X192" s="106">
        <v>81.100799999999992</v>
      </c>
      <c r="Y192" s="72" t="str">
        <f t="shared" si="13"/>
        <v>AR_2021_2x SiOLED_Moverio</v>
      </c>
      <c r="Z192" s="36" t="str">
        <f t="shared" si="14"/>
        <v>AR_2021_2x SiOLED</v>
      </c>
    </row>
    <row r="193" spans="3:26">
      <c r="C193" s="17">
        <v>185</v>
      </c>
      <c r="D193" s="109" t="s">
        <v>129</v>
      </c>
      <c r="E193" s="20" t="s">
        <v>10</v>
      </c>
      <c r="F193" s="20" t="s">
        <v>176</v>
      </c>
      <c r="G193" s="21" t="s">
        <v>71</v>
      </c>
      <c r="H193" s="21" t="s">
        <v>130</v>
      </c>
      <c r="I193" s="19" t="s">
        <v>63</v>
      </c>
      <c r="J193" s="19" t="s">
        <v>31</v>
      </c>
      <c r="K193" s="21" t="s">
        <v>168</v>
      </c>
      <c r="L193" s="33" t="str">
        <f t="shared" si="10"/>
        <v>1x Micro LCD</v>
      </c>
      <c r="M193" s="21" t="s">
        <v>72</v>
      </c>
      <c r="N193" s="21"/>
      <c r="O193" s="27"/>
      <c r="P193" s="20">
        <v>640</v>
      </c>
      <c r="Q193" s="20">
        <v>360</v>
      </c>
      <c r="R193" s="29">
        <f t="shared" si="11"/>
        <v>0</v>
      </c>
      <c r="S193" s="20" t="s">
        <v>36</v>
      </c>
      <c r="T193" s="18">
        <v>43586</v>
      </c>
      <c r="U193" s="20">
        <v>1</v>
      </c>
      <c r="V193" s="120">
        <v>6.875E-3</v>
      </c>
      <c r="W193" s="69">
        <f t="shared" si="12"/>
        <v>0.28300387500000002</v>
      </c>
      <c r="X193" s="106">
        <v>41.164200000000001</v>
      </c>
      <c r="Y193" s="72" t="str">
        <f t="shared" si="13"/>
        <v>AR_2021_1x Micro LCD_Glass</v>
      </c>
      <c r="Z193" s="36" t="str">
        <f t="shared" si="14"/>
        <v>AR_2021_1x Micro LCD</v>
      </c>
    </row>
    <row r="194" spans="3:26">
      <c r="C194" s="17">
        <v>186</v>
      </c>
      <c r="D194" s="109" t="s">
        <v>129</v>
      </c>
      <c r="E194" s="20" t="s">
        <v>10</v>
      </c>
      <c r="F194" s="20" t="s">
        <v>176</v>
      </c>
      <c r="G194" s="21" t="s">
        <v>77</v>
      </c>
      <c r="H194" s="21" t="s">
        <v>131</v>
      </c>
      <c r="I194" s="19" t="s">
        <v>63</v>
      </c>
      <c r="J194" s="19" t="s">
        <v>27</v>
      </c>
      <c r="K194" s="21" t="s">
        <v>51</v>
      </c>
      <c r="L194" s="33" t="str">
        <f t="shared" si="10"/>
        <v>2x SiOLED</v>
      </c>
      <c r="M194" s="21" t="s">
        <v>116</v>
      </c>
      <c r="N194" s="21"/>
      <c r="O194" s="27">
        <v>0.49</v>
      </c>
      <c r="P194" s="20">
        <v>1920</v>
      </c>
      <c r="Q194" s="20">
        <v>1080</v>
      </c>
      <c r="R194" s="29">
        <f t="shared" si="11"/>
        <v>4495.7289185353029</v>
      </c>
      <c r="S194" s="20">
        <v>60</v>
      </c>
      <c r="T194" s="18">
        <v>44866</v>
      </c>
      <c r="U194" s="20">
        <v>2</v>
      </c>
      <c r="V194" s="120">
        <v>2.7499999999999998E-3</v>
      </c>
      <c r="W194" s="69">
        <f t="shared" si="12"/>
        <v>0.15125</v>
      </c>
      <c r="X194" s="106">
        <v>55</v>
      </c>
      <c r="Y194" s="72" t="str">
        <f t="shared" si="13"/>
        <v>AR_2021_2x SiOLED_T1</v>
      </c>
      <c r="Z194" s="36" t="str">
        <f t="shared" si="14"/>
        <v>AR_2021_2x SiOLED</v>
      </c>
    </row>
    <row r="195" spans="3:26">
      <c r="C195" s="17">
        <v>187</v>
      </c>
      <c r="D195" s="109" t="s">
        <v>129</v>
      </c>
      <c r="E195" s="20" t="s">
        <v>10</v>
      </c>
      <c r="F195" s="20" t="s">
        <v>176</v>
      </c>
      <c r="G195" s="21" t="s">
        <v>77</v>
      </c>
      <c r="H195" s="21" t="s">
        <v>78</v>
      </c>
      <c r="I195" s="19" t="s">
        <v>63</v>
      </c>
      <c r="J195" s="19" t="s">
        <v>27</v>
      </c>
      <c r="K195" s="21" t="s">
        <v>51</v>
      </c>
      <c r="L195" s="33" t="str">
        <f t="shared" si="10"/>
        <v>2x SiOLED</v>
      </c>
      <c r="M195" s="21" t="s">
        <v>6</v>
      </c>
      <c r="N195" s="21"/>
      <c r="O195" s="27">
        <v>0.71</v>
      </c>
      <c r="P195" s="20">
        <v>1920</v>
      </c>
      <c r="Q195" s="20">
        <v>1080</v>
      </c>
      <c r="R195" s="29">
        <f t="shared" si="11"/>
        <v>3102.6861550454905</v>
      </c>
      <c r="S195" s="20" t="s">
        <v>36</v>
      </c>
      <c r="T195" s="18">
        <v>44348</v>
      </c>
      <c r="U195" s="20">
        <v>2</v>
      </c>
      <c r="V195" s="120">
        <v>9.6249999999999999E-3</v>
      </c>
      <c r="W195" s="69">
        <f t="shared" si="12"/>
        <v>0.78059519999999993</v>
      </c>
      <c r="X195" s="106">
        <v>81.100799999999992</v>
      </c>
      <c r="Y195" s="72" t="str">
        <f t="shared" si="13"/>
        <v>AR_2021_2x SiOLED_ThinkReality A3</v>
      </c>
      <c r="Z195" s="36" t="str">
        <f t="shared" si="14"/>
        <v>AR_2021_2x SiOLED</v>
      </c>
    </row>
    <row r="196" spans="3:26">
      <c r="C196" s="17">
        <v>188</v>
      </c>
      <c r="D196" s="109" t="s">
        <v>129</v>
      </c>
      <c r="E196" s="20" t="s">
        <v>10</v>
      </c>
      <c r="F196" s="20" t="s">
        <v>176</v>
      </c>
      <c r="G196" s="21" t="s">
        <v>65</v>
      </c>
      <c r="H196" s="21" t="s">
        <v>117</v>
      </c>
      <c r="I196" s="19" t="s">
        <v>63</v>
      </c>
      <c r="J196" s="19" t="s">
        <v>31</v>
      </c>
      <c r="K196" s="21" t="s">
        <v>67</v>
      </c>
      <c r="L196" s="33" t="str">
        <f t="shared" si="10"/>
        <v>2x LCoS</v>
      </c>
      <c r="M196" s="21" t="s">
        <v>36</v>
      </c>
      <c r="N196" s="21"/>
      <c r="O196" s="27"/>
      <c r="P196" s="20">
        <v>1440</v>
      </c>
      <c r="Q196" s="20">
        <v>1760</v>
      </c>
      <c r="R196" s="29">
        <f t="shared" si="11"/>
        <v>0</v>
      </c>
      <c r="S196" s="20" t="s">
        <v>36</v>
      </c>
      <c r="T196" s="18">
        <v>44805</v>
      </c>
      <c r="U196" s="20">
        <v>2</v>
      </c>
      <c r="V196" s="120">
        <v>2.7499999999999998E-3</v>
      </c>
      <c r="W196" s="69">
        <f t="shared" si="12"/>
        <v>0.12398265</v>
      </c>
      <c r="X196" s="106">
        <v>45.084600000000002</v>
      </c>
      <c r="Y196" s="72" t="str">
        <f t="shared" si="13"/>
        <v>AR_2021_2x LCoS_ML 2</v>
      </c>
      <c r="Z196" s="36" t="str">
        <f t="shared" si="14"/>
        <v>AR_2021_2x LCoS</v>
      </c>
    </row>
    <row r="197" spans="3:26">
      <c r="C197" s="17">
        <v>189</v>
      </c>
      <c r="D197" s="109" t="s">
        <v>129</v>
      </c>
      <c r="E197" s="20" t="s">
        <v>10</v>
      </c>
      <c r="F197" s="20" t="s">
        <v>176</v>
      </c>
      <c r="G197" s="21" t="s">
        <v>61</v>
      </c>
      <c r="H197" s="21" t="s">
        <v>62</v>
      </c>
      <c r="I197" s="19" t="s">
        <v>63</v>
      </c>
      <c r="J197" s="19" t="s">
        <v>31</v>
      </c>
      <c r="K197" s="21" t="s">
        <v>64</v>
      </c>
      <c r="L197" s="33" t="str">
        <f t="shared" si="10"/>
        <v>2x LBS</v>
      </c>
      <c r="M197" s="21" t="s">
        <v>36</v>
      </c>
      <c r="N197" s="21"/>
      <c r="O197" s="27"/>
      <c r="P197" s="20"/>
      <c r="Q197" s="20"/>
      <c r="R197" s="29">
        <f t="shared" si="11"/>
        <v>0</v>
      </c>
      <c r="S197" s="20" t="s">
        <v>36</v>
      </c>
      <c r="T197" s="18">
        <v>43770</v>
      </c>
      <c r="U197" s="20">
        <v>2</v>
      </c>
      <c r="V197" s="120">
        <v>3.3000000000000002E-2</v>
      </c>
      <c r="W197" s="69">
        <f t="shared" si="12"/>
        <v>3.4775664000000002</v>
      </c>
      <c r="X197" s="106">
        <v>105.38079999999999</v>
      </c>
      <c r="Y197" s="72" t="str">
        <f t="shared" si="13"/>
        <v>AR_2021_2x LBS_HoloLens 2</v>
      </c>
      <c r="Z197" s="36" t="str">
        <f t="shared" si="14"/>
        <v>AR_2021_2x LBS</v>
      </c>
    </row>
    <row r="198" spans="3:26">
      <c r="C198" s="17">
        <v>190</v>
      </c>
      <c r="D198" s="109" t="s">
        <v>129</v>
      </c>
      <c r="E198" s="20" t="s">
        <v>10</v>
      </c>
      <c r="F198" s="20" t="s">
        <v>176</v>
      </c>
      <c r="G198" s="21" t="s">
        <v>186</v>
      </c>
      <c r="H198" s="21" t="s">
        <v>187</v>
      </c>
      <c r="I198" s="19" t="s">
        <v>63</v>
      </c>
      <c r="J198" s="19" t="s">
        <v>27</v>
      </c>
      <c r="K198" s="21" t="s">
        <v>51</v>
      </c>
      <c r="L198" s="33" t="str">
        <f t="shared" si="10"/>
        <v>2x SiOLED</v>
      </c>
      <c r="M198" s="21" t="s">
        <v>145</v>
      </c>
      <c r="N198" s="21"/>
      <c r="O198" s="27">
        <v>0.71</v>
      </c>
      <c r="P198" s="20">
        <v>1920</v>
      </c>
      <c r="Q198" s="20">
        <v>1080</v>
      </c>
      <c r="R198" s="29">
        <f t="shared" si="11"/>
        <v>3102.6861550454905</v>
      </c>
      <c r="S198" s="20">
        <v>90</v>
      </c>
      <c r="T198" s="18">
        <v>44044</v>
      </c>
      <c r="U198" s="20">
        <v>2</v>
      </c>
      <c r="V198" s="120">
        <v>4.1250000000000002E-2</v>
      </c>
      <c r="W198" s="69">
        <f t="shared" si="12"/>
        <v>3.3454079999999999</v>
      </c>
      <c r="X198" s="106">
        <v>81.100799999999992</v>
      </c>
      <c r="Y198" s="72" t="str">
        <f t="shared" si="13"/>
        <v>AR_2021_2x SiOLED_Light</v>
      </c>
      <c r="Z198" s="36" t="str">
        <f t="shared" si="14"/>
        <v>AR_2021_2x SiOLED</v>
      </c>
    </row>
    <row r="199" spans="3:26">
      <c r="C199" s="17">
        <v>191</v>
      </c>
      <c r="D199" s="109" t="s">
        <v>129</v>
      </c>
      <c r="E199" s="20" t="s">
        <v>10</v>
      </c>
      <c r="F199" s="20" t="s">
        <v>176</v>
      </c>
      <c r="G199" s="21" t="s">
        <v>118</v>
      </c>
      <c r="H199" s="21" t="s">
        <v>119</v>
      </c>
      <c r="I199" s="19" t="s">
        <v>63</v>
      </c>
      <c r="J199" s="19" t="s">
        <v>27</v>
      </c>
      <c r="K199" s="21" t="s">
        <v>120</v>
      </c>
      <c r="L199" s="33" t="str">
        <f t="shared" si="10"/>
        <v>1x MicroLED</v>
      </c>
      <c r="M199" s="21" t="s">
        <v>144</v>
      </c>
      <c r="N199" s="21"/>
      <c r="O199" s="27">
        <v>0.13</v>
      </c>
      <c r="P199" s="20">
        <v>640</v>
      </c>
      <c r="Q199" s="20">
        <v>480</v>
      </c>
      <c r="R199" s="29">
        <f t="shared" si="11"/>
        <v>6153.8461538461534</v>
      </c>
      <c r="S199" s="20" t="s">
        <v>36</v>
      </c>
      <c r="T199" s="18">
        <v>44562</v>
      </c>
      <c r="U199" s="20">
        <v>1</v>
      </c>
      <c r="V199" s="120">
        <v>6.8799999999999992E-4</v>
      </c>
      <c r="W199" s="69">
        <f t="shared" si="12"/>
        <v>5.7752095999999989E-2</v>
      </c>
      <c r="X199" s="106">
        <v>83.941999999999993</v>
      </c>
      <c r="Y199" s="72" t="str">
        <f t="shared" si="13"/>
        <v>AR_2021_1x MicroLED_Air Glass</v>
      </c>
      <c r="Z199" s="36" t="str">
        <f t="shared" si="14"/>
        <v>AR_2021_1x MicroLED</v>
      </c>
    </row>
    <row r="200" spans="3:26">
      <c r="C200" s="17">
        <v>192</v>
      </c>
      <c r="D200" s="109" t="s">
        <v>129</v>
      </c>
      <c r="E200" s="20" t="s">
        <v>10</v>
      </c>
      <c r="F200" s="20" t="s">
        <v>176</v>
      </c>
      <c r="G200" s="21" t="s">
        <v>132</v>
      </c>
      <c r="H200" s="21" t="s">
        <v>133</v>
      </c>
      <c r="I200" s="19" t="s">
        <v>63</v>
      </c>
      <c r="J200" s="19" t="s">
        <v>27</v>
      </c>
      <c r="K200" s="21" t="s">
        <v>51</v>
      </c>
      <c r="L200" s="33" t="str">
        <f t="shared" si="10"/>
        <v>2x SiOLED</v>
      </c>
      <c r="M200" s="21" t="s">
        <v>116</v>
      </c>
      <c r="N200" s="21"/>
      <c r="O200" s="27">
        <v>0.49</v>
      </c>
      <c r="P200" s="20">
        <v>1920</v>
      </c>
      <c r="Q200" s="20">
        <v>1080</v>
      </c>
      <c r="R200" s="29">
        <f t="shared" si="11"/>
        <v>4495.7289185353029</v>
      </c>
      <c r="S200" s="20">
        <v>75</v>
      </c>
      <c r="T200" s="18">
        <v>44501</v>
      </c>
      <c r="U200" s="20">
        <v>2</v>
      </c>
      <c r="V200" s="120">
        <v>8.2500000000000004E-3</v>
      </c>
      <c r="W200" s="69">
        <f t="shared" si="12"/>
        <v>0.45375000000000004</v>
      </c>
      <c r="X200" s="106">
        <v>55</v>
      </c>
      <c r="Y200" s="72" t="str">
        <f t="shared" si="13"/>
        <v>AR_2021_2x SiOLED_Air</v>
      </c>
      <c r="Z200" s="36" t="str">
        <f t="shared" si="14"/>
        <v>AR_2021_2x SiOLED</v>
      </c>
    </row>
    <row r="201" spans="3:26">
      <c r="C201" s="17">
        <v>193</v>
      </c>
      <c r="D201" s="109" t="s">
        <v>129</v>
      </c>
      <c r="E201" s="20" t="s">
        <v>10</v>
      </c>
      <c r="F201" s="20" t="s">
        <v>176</v>
      </c>
      <c r="G201" s="21" t="s">
        <v>68</v>
      </c>
      <c r="H201" s="21" t="s">
        <v>69</v>
      </c>
      <c r="I201" s="19" t="s">
        <v>63</v>
      </c>
      <c r="J201" s="19" t="s">
        <v>31</v>
      </c>
      <c r="K201" s="21" t="s">
        <v>70</v>
      </c>
      <c r="L201" s="33" t="str">
        <f t="shared" ref="L201:L264" si="15">IF(U201=0, "", U201&amp;"x "&amp;K201)</f>
        <v>1x DLP</v>
      </c>
      <c r="M201" s="21" t="s">
        <v>172</v>
      </c>
      <c r="N201" s="21"/>
      <c r="O201" s="27"/>
      <c r="P201" s="20">
        <v>853</v>
      </c>
      <c r="Q201" s="20">
        <v>480</v>
      </c>
      <c r="R201" s="29">
        <f t="shared" ref="R201:R264" si="16">IF(O201=0, 0, SQRT(Q201^2+P201^2)/O201)</f>
        <v>0</v>
      </c>
      <c r="S201" s="20" t="s">
        <v>36</v>
      </c>
      <c r="T201" s="18">
        <v>43466</v>
      </c>
      <c r="U201" s="20">
        <v>1</v>
      </c>
      <c r="V201" s="120">
        <v>6.8799999999999992E-4</v>
      </c>
      <c r="W201" s="69">
        <f t="shared" ref="W201:W264" si="17">V201*X201</f>
        <v>5.5967630399999989E-2</v>
      </c>
      <c r="X201" s="106">
        <v>81.348299999999995</v>
      </c>
      <c r="Y201" s="72" t="str">
        <f t="shared" ref="Y201:Y264" si="18">D201&amp;"_"&amp;E201&amp;"_"&amp;L201&amp;"_"&amp;H201</f>
        <v>AR_2021_1x DLP_Blade</v>
      </c>
      <c r="Z201" s="36" t="str">
        <f t="shared" ref="Z201:Z264" si="19">D201&amp;"_"&amp;E201&amp;"_"&amp;L201</f>
        <v>AR_2021_1x DLP</v>
      </c>
    </row>
    <row r="202" spans="3:26">
      <c r="C202" s="17">
        <v>194</v>
      </c>
      <c r="D202" s="109" t="s">
        <v>129</v>
      </c>
      <c r="E202" s="20" t="s">
        <v>10</v>
      </c>
      <c r="F202" s="20" t="s">
        <v>176</v>
      </c>
      <c r="G202" s="21" t="s">
        <v>97</v>
      </c>
      <c r="H202" s="21" t="s">
        <v>76</v>
      </c>
      <c r="I202" s="19" t="s">
        <v>63</v>
      </c>
      <c r="J202" s="19" t="s">
        <v>36</v>
      </c>
      <c r="K202" s="21" t="s">
        <v>70</v>
      </c>
      <c r="L202" s="33" t="str">
        <f t="shared" si="15"/>
        <v>1x DLP</v>
      </c>
      <c r="M202" s="21" t="s">
        <v>36</v>
      </c>
      <c r="N202" s="21"/>
      <c r="O202" s="27"/>
      <c r="P202" s="20"/>
      <c r="Q202" s="20"/>
      <c r="R202" s="29">
        <f t="shared" si="16"/>
        <v>0</v>
      </c>
      <c r="S202" s="20" t="s">
        <v>36</v>
      </c>
      <c r="T202" s="18" t="s">
        <v>143</v>
      </c>
      <c r="U202" s="20">
        <v>1</v>
      </c>
      <c r="V202" s="120">
        <v>2.7500000000000002E-4</v>
      </c>
      <c r="W202" s="69">
        <f t="shared" si="17"/>
        <v>2.2370782499999999E-2</v>
      </c>
      <c r="X202" s="106">
        <v>81.348299999999995</v>
      </c>
      <c r="Y202" s="72" t="str">
        <f t="shared" si="18"/>
        <v>AR_2021_1x DLP_DLP glasses</v>
      </c>
      <c r="Z202" s="36" t="str">
        <f t="shared" si="19"/>
        <v>AR_2021_1x DLP</v>
      </c>
    </row>
    <row r="203" spans="3:26">
      <c r="C203" s="17">
        <v>195</v>
      </c>
      <c r="D203" s="109" t="s">
        <v>129</v>
      </c>
      <c r="E203" s="20" t="s">
        <v>10</v>
      </c>
      <c r="F203" s="20" t="s">
        <v>176</v>
      </c>
      <c r="G203" s="21" t="s">
        <v>97</v>
      </c>
      <c r="H203" s="21" t="s">
        <v>80</v>
      </c>
      <c r="I203" s="19" t="s">
        <v>63</v>
      </c>
      <c r="J203" s="19" t="s">
        <v>36</v>
      </c>
      <c r="K203" s="21" t="s">
        <v>64</v>
      </c>
      <c r="L203" s="33" t="str">
        <f t="shared" si="15"/>
        <v>2x LBS</v>
      </c>
      <c r="M203" s="21" t="s">
        <v>36</v>
      </c>
      <c r="N203" s="21"/>
      <c r="O203" s="27"/>
      <c r="P203" s="20"/>
      <c r="Q203" s="20"/>
      <c r="R203" s="29">
        <f t="shared" si="16"/>
        <v>0</v>
      </c>
      <c r="S203" s="20" t="s">
        <v>36</v>
      </c>
      <c r="T203" s="18" t="s">
        <v>143</v>
      </c>
      <c r="U203" s="20">
        <v>2</v>
      </c>
      <c r="V203" s="120">
        <v>2.7500000000000002E-4</v>
      </c>
      <c r="W203" s="69">
        <f t="shared" si="17"/>
        <v>2.897972E-2</v>
      </c>
      <c r="X203" s="106">
        <v>105.38079999999999</v>
      </c>
      <c r="Y203" s="72" t="str">
        <f t="shared" si="18"/>
        <v>AR_2021_2x LBS_LBS glasses</v>
      </c>
      <c r="Z203" s="36" t="str">
        <f t="shared" si="19"/>
        <v>AR_2021_2x LBS</v>
      </c>
    </row>
    <row r="204" spans="3:26">
      <c r="C204" s="17">
        <v>196</v>
      </c>
      <c r="D204" s="109" t="s">
        <v>129</v>
      </c>
      <c r="E204" s="20" t="s">
        <v>10</v>
      </c>
      <c r="F204" s="20" t="s">
        <v>176</v>
      </c>
      <c r="G204" s="21" t="s">
        <v>97</v>
      </c>
      <c r="H204" s="21" t="s">
        <v>75</v>
      </c>
      <c r="I204" s="19" t="s">
        <v>63</v>
      </c>
      <c r="J204" s="19" t="s">
        <v>36</v>
      </c>
      <c r="K204" s="21" t="s">
        <v>67</v>
      </c>
      <c r="L204" s="33" t="str">
        <f t="shared" si="15"/>
        <v>2x LCoS</v>
      </c>
      <c r="M204" s="21" t="s">
        <v>36</v>
      </c>
      <c r="N204" s="21"/>
      <c r="O204" s="27"/>
      <c r="P204" s="20"/>
      <c r="Q204" s="20"/>
      <c r="R204" s="29">
        <f t="shared" si="16"/>
        <v>0</v>
      </c>
      <c r="S204" s="20" t="s">
        <v>36</v>
      </c>
      <c r="T204" s="18" t="s">
        <v>143</v>
      </c>
      <c r="U204" s="20">
        <v>2</v>
      </c>
      <c r="V204" s="120">
        <v>2.7499999999999998E-3</v>
      </c>
      <c r="W204" s="69">
        <f t="shared" si="17"/>
        <v>0.12398265</v>
      </c>
      <c r="X204" s="106">
        <v>45.084600000000002</v>
      </c>
      <c r="Y204" s="72" t="str">
        <f t="shared" si="18"/>
        <v>AR_2021_2x LCoS_LCoS glasses</v>
      </c>
      <c r="Z204" s="36" t="str">
        <f t="shared" si="19"/>
        <v>AR_2021_2x LCoS</v>
      </c>
    </row>
    <row r="205" spans="3:26">
      <c r="C205" s="17">
        <v>197</v>
      </c>
      <c r="D205" s="109" t="s">
        <v>129</v>
      </c>
      <c r="E205" s="20" t="s">
        <v>10</v>
      </c>
      <c r="F205" s="20" t="s">
        <v>176</v>
      </c>
      <c r="G205" s="21" t="s">
        <v>97</v>
      </c>
      <c r="H205" s="21" t="s">
        <v>79</v>
      </c>
      <c r="I205" s="19" t="s">
        <v>63</v>
      </c>
      <c r="J205" s="19" t="s">
        <v>36</v>
      </c>
      <c r="K205" s="21" t="s">
        <v>51</v>
      </c>
      <c r="L205" s="33" t="str">
        <f t="shared" si="15"/>
        <v>2x SiOLED</v>
      </c>
      <c r="M205" s="21" t="s">
        <v>36</v>
      </c>
      <c r="N205" s="21"/>
      <c r="O205" s="27"/>
      <c r="P205" s="20"/>
      <c r="Q205" s="20"/>
      <c r="R205" s="29">
        <f t="shared" si="16"/>
        <v>0</v>
      </c>
      <c r="S205" s="20" t="s">
        <v>36</v>
      </c>
      <c r="T205" s="18" t="s">
        <v>143</v>
      </c>
      <c r="U205" s="20">
        <v>2</v>
      </c>
      <c r="V205" s="120">
        <v>2.2000000000000001E-3</v>
      </c>
      <c r="W205" s="69">
        <f t="shared" si="17"/>
        <v>0.17842175999999998</v>
      </c>
      <c r="X205" s="106">
        <v>81.100799999999992</v>
      </c>
      <c r="Y205" s="72" t="str">
        <f t="shared" si="18"/>
        <v>AR_2021_2x SiOLED_SiOLED glasses</v>
      </c>
      <c r="Z205" s="36" t="str">
        <f t="shared" si="19"/>
        <v>AR_2021_2x SiOLED</v>
      </c>
    </row>
    <row r="206" spans="3:26">
      <c r="C206" s="17">
        <v>198</v>
      </c>
      <c r="D206" s="109" t="s">
        <v>26</v>
      </c>
      <c r="E206" s="20" t="s">
        <v>10</v>
      </c>
      <c r="F206" s="20" t="s">
        <v>177</v>
      </c>
      <c r="G206" s="21" t="s">
        <v>106</v>
      </c>
      <c r="H206" s="21" t="s">
        <v>107</v>
      </c>
      <c r="I206" s="19" t="s">
        <v>26</v>
      </c>
      <c r="J206" s="19" t="s">
        <v>31</v>
      </c>
      <c r="K206" s="21" t="s">
        <v>15</v>
      </c>
      <c r="L206" s="33" t="str">
        <f t="shared" si="15"/>
        <v>1x LCD</v>
      </c>
      <c r="M206" s="21" t="s">
        <v>36</v>
      </c>
      <c r="N206" s="21" t="s">
        <v>143</v>
      </c>
      <c r="O206" s="27"/>
      <c r="P206" s="20"/>
      <c r="Q206" s="20"/>
      <c r="R206" s="29">
        <f t="shared" si="16"/>
        <v>0</v>
      </c>
      <c r="S206" s="20" t="s">
        <v>36</v>
      </c>
      <c r="T206" s="18">
        <v>43770</v>
      </c>
      <c r="U206" s="20">
        <v>1</v>
      </c>
      <c r="V206" s="120">
        <v>0.13750000000000001</v>
      </c>
      <c r="W206" s="69">
        <f t="shared" si="17"/>
        <v>7.9233000000000002</v>
      </c>
      <c r="X206" s="106">
        <v>57.623999999999995</v>
      </c>
      <c r="Y206" s="72" t="str">
        <f t="shared" si="18"/>
        <v>VR_2021_1x LCD_P1 family</v>
      </c>
      <c r="Z206" s="36" t="str">
        <f t="shared" si="19"/>
        <v>VR_2021_1x LCD</v>
      </c>
    </row>
    <row r="207" spans="3:26">
      <c r="C207" s="17">
        <v>199</v>
      </c>
      <c r="D207" s="109" t="s">
        <v>26</v>
      </c>
      <c r="E207" s="20" t="s">
        <v>10</v>
      </c>
      <c r="F207" s="20" t="s">
        <v>177</v>
      </c>
      <c r="G207" s="21" t="s">
        <v>34</v>
      </c>
      <c r="H207" s="21" t="s">
        <v>37</v>
      </c>
      <c r="I207" s="19" t="s">
        <v>26</v>
      </c>
      <c r="J207" s="19" t="s">
        <v>27</v>
      </c>
      <c r="K207" s="21" t="s">
        <v>15</v>
      </c>
      <c r="L207" s="33" t="str">
        <f t="shared" si="15"/>
        <v>2x LCD</v>
      </c>
      <c r="M207" s="21" t="s">
        <v>36</v>
      </c>
      <c r="N207" s="21" t="s">
        <v>143</v>
      </c>
      <c r="O207" s="27">
        <v>2.89</v>
      </c>
      <c r="P207" s="20">
        <v>2160</v>
      </c>
      <c r="Q207" s="20">
        <v>2160</v>
      </c>
      <c r="R207" s="29">
        <f t="shared" si="16"/>
        <v>1056.990067379199</v>
      </c>
      <c r="S207" s="20">
        <v>90</v>
      </c>
      <c r="T207" s="18">
        <v>44136</v>
      </c>
      <c r="U207" s="20">
        <v>2</v>
      </c>
      <c r="V207" s="120">
        <v>2.7499999999999998E-3</v>
      </c>
      <c r="W207" s="69">
        <f t="shared" si="17"/>
        <v>0.105644</v>
      </c>
      <c r="X207" s="106">
        <v>38.416000000000004</v>
      </c>
      <c r="Y207" s="72" t="str">
        <f t="shared" si="18"/>
        <v>VR_2021_2x LCD_Reverb G2</v>
      </c>
      <c r="Z207" s="36" t="str">
        <f t="shared" si="19"/>
        <v>VR_2021_2x LCD</v>
      </c>
    </row>
    <row r="208" spans="3:26">
      <c r="C208" s="17">
        <v>200</v>
      </c>
      <c r="D208" s="109" t="s">
        <v>26</v>
      </c>
      <c r="E208" s="20" t="s">
        <v>10</v>
      </c>
      <c r="F208" s="20" t="s">
        <v>177</v>
      </c>
      <c r="G208" s="21" t="s">
        <v>41</v>
      </c>
      <c r="H208" s="21" t="s">
        <v>178</v>
      </c>
      <c r="I208" s="19" t="s">
        <v>26</v>
      </c>
      <c r="J208" s="19" t="s">
        <v>31</v>
      </c>
      <c r="K208" s="21" t="s">
        <v>15</v>
      </c>
      <c r="L208" s="33" t="str">
        <f t="shared" si="15"/>
        <v>2x LCD</v>
      </c>
      <c r="M208" s="21" t="s">
        <v>2</v>
      </c>
      <c r="N208" s="21" t="s">
        <v>143</v>
      </c>
      <c r="O208" s="27"/>
      <c r="P208" s="20"/>
      <c r="Q208" s="20"/>
      <c r="R208" s="29">
        <f t="shared" si="16"/>
        <v>0</v>
      </c>
      <c r="S208" s="20" t="s">
        <v>36</v>
      </c>
      <c r="T208" s="18">
        <v>43739</v>
      </c>
      <c r="U208" s="20">
        <v>2</v>
      </c>
      <c r="V208" s="120">
        <v>1.6500000000000001E-2</v>
      </c>
      <c r="W208" s="69">
        <f t="shared" si="17"/>
        <v>0.63386400000000009</v>
      </c>
      <c r="X208" s="106">
        <v>38.416000000000004</v>
      </c>
      <c r="Y208" s="72" t="str">
        <f t="shared" si="18"/>
        <v>VR_2021_2x LCD_Vive LCD headsets</v>
      </c>
      <c r="Z208" s="36" t="str">
        <f t="shared" si="19"/>
        <v>VR_2021_2x LCD</v>
      </c>
    </row>
    <row r="209" spans="3:26">
      <c r="C209" s="17">
        <v>201</v>
      </c>
      <c r="D209" s="109" t="s">
        <v>26</v>
      </c>
      <c r="E209" s="20" t="s">
        <v>10</v>
      </c>
      <c r="F209" s="20" t="s">
        <v>177</v>
      </c>
      <c r="G209" s="21" t="s">
        <v>112</v>
      </c>
      <c r="H209" s="21" t="s">
        <v>32</v>
      </c>
      <c r="I209" s="19" t="s">
        <v>26</v>
      </c>
      <c r="J209" s="19" t="s">
        <v>31</v>
      </c>
      <c r="K209" s="21" t="s">
        <v>15</v>
      </c>
      <c r="L209" s="33" t="str">
        <f t="shared" si="15"/>
        <v>1x LCD</v>
      </c>
      <c r="M209" s="21" t="s">
        <v>2</v>
      </c>
      <c r="N209" s="21" t="s">
        <v>166</v>
      </c>
      <c r="O209" s="27">
        <v>5.5</v>
      </c>
      <c r="P209" s="20">
        <v>3840</v>
      </c>
      <c r="Q209" s="20">
        <v>1832</v>
      </c>
      <c r="R209" s="29">
        <f t="shared" si="16"/>
        <v>773.56797048396322</v>
      </c>
      <c r="S209" s="20">
        <v>90</v>
      </c>
      <c r="T209" s="18">
        <v>44105</v>
      </c>
      <c r="U209" s="20">
        <v>1</v>
      </c>
      <c r="V209" s="120">
        <v>2.1175000000000002</v>
      </c>
      <c r="W209" s="69">
        <f t="shared" si="17"/>
        <v>122.01882000000001</v>
      </c>
      <c r="X209" s="106">
        <v>57.623999999999995</v>
      </c>
      <c r="Y209" s="72" t="str">
        <f t="shared" si="18"/>
        <v>VR_2021_1x LCD_Quest 2</v>
      </c>
      <c r="Z209" s="36" t="str">
        <f t="shared" si="19"/>
        <v>VR_2021_1x LCD</v>
      </c>
    </row>
    <row r="210" spans="3:26">
      <c r="C210" s="17">
        <v>202</v>
      </c>
      <c r="D210" s="109" t="s">
        <v>26</v>
      </c>
      <c r="E210" s="20" t="s">
        <v>10</v>
      </c>
      <c r="F210" s="20" t="s">
        <v>177</v>
      </c>
      <c r="G210" s="21" t="s">
        <v>110</v>
      </c>
      <c r="H210" s="21" t="s">
        <v>162</v>
      </c>
      <c r="I210" s="19" t="s">
        <v>26</v>
      </c>
      <c r="J210" s="19" t="s">
        <v>31</v>
      </c>
      <c r="K210" s="21" t="s">
        <v>15</v>
      </c>
      <c r="L210" s="33" t="str">
        <f t="shared" si="15"/>
        <v>1x LCD</v>
      </c>
      <c r="M210" s="21" t="s">
        <v>2</v>
      </c>
      <c r="N210" s="21" t="s">
        <v>146</v>
      </c>
      <c r="O210" s="27">
        <v>5.5</v>
      </c>
      <c r="P210" s="20">
        <v>3840</v>
      </c>
      <c r="Q210" s="20">
        <v>1832</v>
      </c>
      <c r="R210" s="29">
        <f t="shared" si="16"/>
        <v>773.56797048396322</v>
      </c>
      <c r="S210" s="20">
        <v>90</v>
      </c>
      <c r="T210" s="18">
        <v>44317</v>
      </c>
      <c r="U210" s="20">
        <v>1</v>
      </c>
      <c r="V210" s="120">
        <v>8.6624999999999994E-2</v>
      </c>
      <c r="W210" s="69">
        <f t="shared" si="17"/>
        <v>4.9916789999999995</v>
      </c>
      <c r="X210" s="106">
        <v>57.623999999999995</v>
      </c>
      <c r="Y210" s="72" t="str">
        <f t="shared" si="18"/>
        <v>VR_2021_1x LCD_Neo 3 / G3</v>
      </c>
      <c r="Z210" s="36" t="str">
        <f t="shared" si="19"/>
        <v>VR_2021_1x LCD</v>
      </c>
    </row>
    <row r="211" spans="3:26">
      <c r="C211" s="17">
        <v>203</v>
      </c>
      <c r="D211" s="109" t="s">
        <v>26</v>
      </c>
      <c r="E211" s="20" t="s">
        <v>10</v>
      </c>
      <c r="F211" s="20" t="s">
        <v>177</v>
      </c>
      <c r="G211" s="21" t="s">
        <v>108</v>
      </c>
      <c r="H211" s="21" t="s">
        <v>109</v>
      </c>
      <c r="I211" s="19" t="s">
        <v>26</v>
      </c>
      <c r="J211" s="19" t="s">
        <v>27</v>
      </c>
      <c r="K211" s="21" t="s">
        <v>15</v>
      </c>
      <c r="L211" s="33" t="str">
        <f t="shared" si="15"/>
        <v>2x LCD</v>
      </c>
      <c r="M211" s="21" t="s">
        <v>145</v>
      </c>
      <c r="N211" s="21" t="s">
        <v>146</v>
      </c>
      <c r="O211" s="27"/>
      <c r="P211" s="20"/>
      <c r="Q211" s="20"/>
      <c r="R211" s="29">
        <f t="shared" si="16"/>
        <v>0</v>
      </c>
      <c r="S211" s="20" t="s">
        <v>36</v>
      </c>
      <c r="T211" s="18" t="s">
        <v>143</v>
      </c>
      <c r="U211" s="20">
        <v>2</v>
      </c>
      <c r="V211" s="120">
        <v>1.925E-2</v>
      </c>
      <c r="W211" s="69">
        <f t="shared" si="17"/>
        <v>0.73950800000000005</v>
      </c>
      <c r="X211" s="106">
        <v>38.416000000000004</v>
      </c>
      <c r="Y211" s="72" t="str">
        <f t="shared" si="18"/>
        <v>VR_2021_2x LCD_Pimax VR</v>
      </c>
      <c r="Z211" s="36" t="str">
        <f t="shared" si="19"/>
        <v>VR_2021_2x LCD</v>
      </c>
    </row>
    <row r="212" spans="3:26">
      <c r="C212" s="17">
        <v>204</v>
      </c>
      <c r="D212" s="109" t="s">
        <v>26</v>
      </c>
      <c r="E212" s="20" t="s">
        <v>10</v>
      </c>
      <c r="F212" s="20" t="s">
        <v>177</v>
      </c>
      <c r="G212" s="21" t="s">
        <v>6</v>
      </c>
      <c r="H212" s="21" t="s">
        <v>25</v>
      </c>
      <c r="I212" s="19" t="s">
        <v>26</v>
      </c>
      <c r="J212" s="19" t="s">
        <v>27</v>
      </c>
      <c r="K212" s="21" t="s">
        <v>28</v>
      </c>
      <c r="L212" s="33" t="str">
        <f t="shared" si="15"/>
        <v>1x AMOLED</v>
      </c>
      <c r="M212" s="21" t="s">
        <v>3</v>
      </c>
      <c r="N212" s="21" t="s">
        <v>143</v>
      </c>
      <c r="O212" s="27">
        <v>5.7</v>
      </c>
      <c r="P212" s="20">
        <v>1920</v>
      </c>
      <c r="Q212" s="20">
        <v>1080</v>
      </c>
      <c r="R212" s="29">
        <f t="shared" si="16"/>
        <v>386.47494211970144</v>
      </c>
      <c r="S212" s="20">
        <v>120</v>
      </c>
      <c r="T212" s="18">
        <v>42644</v>
      </c>
      <c r="U212" s="20">
        <v>1</v>
      </c>
      <c r="V212" s="120">
        <v>0.1</v>
      </c>
      <c r="W212" s="69">
        <f t="shared" si="17"/>
        <v>2.9414621047951686</v>
      </c>
      <c r="X212" s="106">
        <v>29.414621047951684</v>
      </c>
      <c r="Y212" s="72" t="str">
        <f t="shared" si="18"/>
        <v>VR_2021_1x AMOLED_PlayStation VR</v>
      </c>
      <c r="Z212" s="36" t="str">
        <f t="shared" si="19"/>
        <v>VR_2021_1x AMOLED</v>
      </c>
    </row>
    <row r="213" spans="3:26">
      <c r="C213" s="17">
        <v>205</v>
      </c>
      <c r="D213" s="109" t="s">
        <v>26</v>
      </c>
      <c r="E213" s="20" t="s">
        <v>10</v>
      </c>
      <c r="F213" s="20" t="s">
        <v>177</v>
      </c>
      <c r="G213" s="21" t="s">
        <v>97</v>
      </c>
      <c r="H213" s="21" t="s">
        <v>111</v>
      </c>
      <c r="I213" s="19" t="s">
        <v>26</v>
      </c>
      <c r="J213" s="19" t="s">
        <v>36</v>
      </c>
      <c r="K213" s="21" t="s">
        <v>15</v>
      </c>
      <c r="L213" s="33" t="str">
        <f t="shared" si="15"/>
        <v>2x LCD</v>
      </c>
      <c r="M213" s="21" t="s">
        <v>36</v>
      </c>
      <c r="N213" s="21" t="s">
        <v>143</v>
      </c>
      <c r="O213" s="27"/>
      <c r="P213" s="20"/>
      <c r="Q213" s="20"/>
      <c r="R213" s="29">
        <f t="shared" si="16"/>
        <v>0</v>
      </c>
      <c r="S213" s="20" t="s">
        <v>36</v>
      </c>
      <c r="T213" s="18" t="s">
        <v>143</v>
      </c>
      <c r="U213" s="20">
        <v>2</v>
      </c>
      <c r="V213" s="120">
        <v>2.1999999999999999E-2</v>
      </c>
      <c r="W213" s="69">
        <f t="shared" si="17"/>
        <v>0.84515200000000001</v>
      </c>
      <c r="X213" s="106">
        <v>38.416000000000004</v>
      </c>
      <c r="Y213" s="72" t="str">
        <f t="shared" si="18"/>
        <v>VR_2021_2x LCD_Dual LCD VR headset</v>
      </c>
      <c r="Z213" s="36" t="str">
        <f t="shared" si="19"/>
        <v>VR_2021_2x LCD</v>
      </c>
    </row>
    <row r="214" spans="3:26">
      <c r="C214" s="17">
        <v>206</v>
      </c>
      <c r="D214" s="109" t="s">
        <v>26</v>
      </c>
      <c r="E214" s="20" t="s">
        <v>10</v>
      </c>
      <c r="F214" s="20" t="s">
        <v>177</v>
      </c>
      <c r="G214" s="21" t="s">
        <v>97</v>
      </c>
      <c r="H214" s="21" t="s">
        <v>161</v>
      </c>
      <c r="I214" s="19" t="s">
        <v>26</v>
      </c>
      <c r="J214" s="19" t="s">
        <v>36</v>
      </c>
      <c r="K214" s="21" t="s">
        <v>15</v>
      </c>
      <c r="L214" s="33" t="str">
        <f t="shared" si="15"/>
        <v>1x LCD</v>
      </c>
      <c r="M214" s="21" t="s">
        <v>36</v>
      </c>
      <c r="N214" s="21" t="s">
        <v>143</v>
      </c>
      <c r="O214" s="27"/>
      <c r="P214" s="20"/>
      <c r="Q214" s="20"/>
      <c r="R214" s="29">
        <f t="shared" si="16"/>
        <v>0</v>
      </c>
      <c r="S214" s="20" t="s">
        <v>36</v>
      </c>
      <c r="T214" s="18" t="s">
        <v>143</v>
      </c>
      <c r="U214" s="20">
        <v>1</v>
      </c>
      <c r="V214" s="120">
        <v>3.3000000000000002E-2</v>
      </c>
      <c r="W214" s="69">
        <f t="shared" si="17"/>
        <v>1.9015919999999999</v>
      </c>
      <c r="X214" s="106">
        <v>57.623999999999995</v>
      </c>
      <c r="Y214" s="72" t="str">
        <f t="shared" si="18"/>
        <v>VR_2021_1x LCD_Single LCD VR headset</v>
      </c>
      <c r="Z214" s="36" t="str">
        <f t="shared" si="19"/>
        <v>VR_2021_1x LCD</v>
      </c>
    </row>
    <row r="215" spans="3:26">
      <c r="C215" s="17">
        <v>207</v>
      </c>
      <c r="D215" s="109" t="s">
        <v>26</v>
      </c>
      <c r="E215" s="20" t="s">
        <v>10</v>
      </c>
      <c r="F215" s="20" t="s">
        <v>177</v>
      </c>
      <c r="G215" s="21" t="s">
        <v>38</v>
      </c>
      <c r="H215" s="21" t="s">
        <v>39</v>
      </c>
      <c r="I215" s="19" t="s">
        <v>26</v>
      </c>
      <c r="J215" s="19" t="s">
        <v>27</v>
      </c>
      <c r="K215" s="21" t="s">
        <v>15</v>
      </c>
      <c r="L215" s="33" t="str">
        <f t="shared" si="15"/>
        <v>2x LCD</v>
      </c>
      <c r="M215" s="21" t="s">
        <v>40</v>
      </c>
      <c r="N215" s="21" t="s">
        <v>143</v>
      </c>
      <c r="O215" s="27">
        <v>3.5</v>
      </c>
      <c r="P215" s="20">
        <v>1440</v>
      </c>
      <c r="Q215" s="20">
        <v>1600</v>
      </c>
      <c r="R215" s="29">
        <f t="shared" si="16"/>
        <v>615.02281358051255</v>
      </c>
      <c r="S215" s="20">
        <v>144</v>
      </c>
      <c r="T215" s="18">
        <v>43586</v>
      </c>
      <c r="U215" s="20">
        <v>2</v>
      </c>
      <c r="V215" s="120">
        <v>5.4999999999999997E-3</v>
      </c>
      <c r="W215" s="69">
        <f t="shared" si="17"/>
        <v>0.211288</v>
      </c>
      <c r="X215" s="106">
        <v>38.416000000000004</v>
      </c>
      <c r="Y215" s="72" t="str">
        <f t="shared" si="18"/>
        <v>VR_2021_2x LCD_Index</v>
      </c>
      <c r="Z215" s="36" t="str">
        <f t="shared" si="19"/>
        <v>VR_2021_2x LCD</v>
      </c>
    </row>
    <row r="216" spans="3:26">
      <c r="C216" s="17">
        <v>208</v>
      </c>
      <c r="D216" s="109" t="s">
        <v>129</v>
      </c>
      <c r="E216" s="20" t="s">
        <v>10</v>
      </c>
      <c r="F216" s="20" t="s">
        <v>177</v>
      </c>
      <c r="G216" s="21" t="s">
        <v>73</v>
      </c>
      <c r="H216" s="21" t="s">
        <v>74</v>
      </c>
      <c r="I216" s="19" t="s">
        <v>63</v>
      </c>
      <c r="J216" s="19" t="s">
        <v>31</v>
      </c>
      <c r="K216" s="21" t="s">
        <v>51</v>
      </c>
      <c r="L216" s="33" t="str">
        <f t="shared" si="15"/>
        <v>2x SiOLED</v>
      </c>
      <c r="M216" s="21" t="s">
        <v>73</v>
      </c>
      <c r="N216" s="21"/>
      <c r="O216" s="27">
        <v>0.43</v>
      </c>
      <c r="P216" s="20">
        <v>1280</v>
      </c>
      <c r="Q216" s="20">
        <v>720</v>
      </c>
      <c r="R216" s="29">
        <f t="shared" si="16"/>
        <v>3415.3599536159668</v>
      </c>
      <c r="S216" s="20" t="s">
        <v>36</v>
      </c>
      <c r="T216" s="18">
        <v>42401</v>
      </c>
      <c r="U216" s="20">
        <v>2</v>
      </c>
      <c r="V216" s="120">
        <v>3.3000000000000002E-2</v>
      </c>
      <c r="W216" s="69">
        <f t="shared" si="17"/>
        <v>2.6763263999999998</v>
      </c>
      <c r="X216" s="106">
        <v>81.100799999999992</v>
      </c>
      <c r="Y216" s="72" t="str">
        <f t="shared" si="18"/>
        <v>AR_2021_2x SiOLED_Moverio</v>
      </c>
      <c r="Z216" s="36" t="str">
        <f t="shared" si="19"/>
        <v>AR_2021_2x SiOLED</v>
      </c>
    </row>
    <row r="217" spans="3:26">
      <c r="C217" s="17">
        <v>209</v>
      </c>
      <c r="D217" s="109" t="s">
        <v>129</v>
      </c>
      <c r="E217" s="20" t="s">
        <v>10</v>
      </c>
      <c r="F217" s="20" t="s">
        <v>177</v>
      </c>
      <c r="G217" s="21" t="s">
        <v>71</v>
      </c>
      <c r="H217" s="21" t="s">
        <v>130</v>
      </c>
      <c r="I217" s="19" t="s">
        <v>63</v>
      </c>
      <c r="J217" s="19" t="s">
        <v>31</v>
      </c>
      <c r="K217" s="21" t="s">
        <v>168</v>
      </c>
      <c r="L217" s="33" t="str">
        <f t="shared" si="15"/>
        <v>1x Micro LCD</v>
      </c>
      <c r="M217" s="21" t="s">
        <v>72</v>
      </c>
      <c r="N217" s="21"/>
      <c r="O217" s="27"/>
      <c r="P217" s="20">
        <v>640</v>
      </c>
      <c r="Q217" s="20">
        <v>360</v>
      </c>
      <c r="R217" s="29">
        <f t="shared" si="16"/>
        <v>0</v>
      </c>
      <c r="S217" s="20" t="s">
        <v>36</v>
      </c>
      <c r="T217" s="18">
        <v>43586</v>
      </c>
      <c r="U217" s="20">
        <v>1</v>
      </c>
      <c r="V217" s="120">
        <v>6.875E-3</v>
      </c>
      <c r="W217" s="69">
        <f t="shared" si="17"/>
        <v>0.28300387500000002</v>
      </c>
      <c r="X217" s="106">
        <v>41.164200000000001</v>
      </c>
      <c r="Y217" s="72" t="str">
        <f t="shared" si="18"/>
        <v>AR_2021_1x Micro LCD_Glass</v>
      </c>
      <c r="Z217" s="36" t="str">
        <f t="shared" si="19"/>
        <v>AR_2021_1x Micro LCD</v>
      </c>
    </row>
    <row r="218" spans="3:26">
      <c r="C218" s="17">
        <v>210</v>
      </c>
      <c r="D218" s="109" t="s">
        <v>129</v>
      </c>
      <c r="E218" s="20" t="s">
        <v>10</v>
      </c>
      <c r="F218" s="20" t="s">
        <v>177</v>
      </c>
      <c r="G218" s="21" t="s">
        <v>77</v>
      </c>
      <c r="H218" s="21" t="s">
        <v>131</v>
      </c>
      <c r="I218" s="19" t="s">
        <v>63</v>
      </c>
      <c r="J218" s="19" t="s">
        <v>27</v>
      </c>
      <c r="K218" s="21" t="s">
        <v>51</v>
      </c>
      <c r="L218" s="33" t="str">
        <f t="shared" si="15"/>
        <v>2x SiOLED</v>
      </c>
      <c r="M218" s="21" t="s">
        <v>116</v>
      </c>
      <c r="N218" s="21"/>
      <c r="O218" s="27">
        <v>0.49</v>
      </c>
      <c r="P218" s="20">
        <v>1920</v>
      </c>
      <c r="Q218" s="20">
        <v>1080</v>
      </c>
      <c r="R218" s="29">
        <f t="shared" si="16"/>
        <v>4495.7289185353029</v>
      </c>
      <c r="S218" s="20">
        <v>60</v>
      </c>
      <c r="T218" s="18">
        <v>44866</v>
      </c>
      <c r="U218" s="20">
        <v>2</v>
      </c>
      <c r="V218" s="120">
        <v>2.7499999999999998E-3</v>
      </c>
      <c r="W218" s="69">
        <f t="shared" si="17"/>
        <v>0.15125</v>
      </c>
      <c r="X218" s="106">
        <v>55</v>
      </c>
      <c r="Y218" s="72" t="str">
        <f t="shared" si="18"/>
        <v>AR_2021_2x SiOLED_T1</v>
      </c>
      <c r="Z218" s="36" t="str">
        <f t="shared" si="19"/>
        <v>AR_2021_2x SiOLED</v>
      </c>
    </row>
    <row r="219" spans="3:26">
      <c r="C219" s="17">
        <v>211</v>
      </c>
      <c r="D219" s="109" t="s">
        <v>129</v>
      </c>
      <c r="E219" s="20" t="s">
        <v>10</v>
      </c>
      <c r="F219" s="20" t="s">
        <v>177</v>
      </c>
      <c r="G219" s="21" t="s">
        <v>77</v>
      </c>
      <c r="H219" s="21" t="s">
        <v>78</v>
      </c>
      <c r="I219" s="19" t="s">
        <v>63</v>
      </c>
      <c r="J219" s="19" t="s">
        <v>27</v>
      </c>
      <c r="K219" s="21" t="s">
        <v>51</v>
      </c>
      <c r="L219" s="33" t="str">
        <f t="shared" si="15"/>
        <v>2x SiOLED</v>
      </c>
      <c r="M219" s="21" t="s">
        <v>6</v>
      </c>
      <c r="N219" s="21"/>
      <c r="O219" s="27">
        <v>0.71</v>
      </c>
      <c r="P219" s="20">
        <v>1920</v>
      </c>
      <c r="Q219" s="20">
        <v>1080</v>
      </c>
      <c r="R219" s="29">
        <f t="shared" si="16"/>
        <v>3102.6861550454905</v>
      </c>
      <c r="S219" s="20" t="s">
        <v>36</v>
      </c>
      <c r="T219" s="18">
        <v>44348</v>
      </c>
      <c r="U219" s="20">
        <v>2</v>
      </c>
      <c r="V219" s="120">
        <v>9.6249999999999999E-3</v>
      </c>
      <c r="W219" s="69">
        <f t="shared" si="17"/>
        <v>0.78059519999999993</v>
      </c>
      <c r="X219" s="106">
        <v>81.100799999999992</v>
      </c>
      <c r="Y219" s="72" t="str">
        <f t="shared" si="18"/>
        <v>AR_2021_2x SiOLED_ThinkReality A3</v>
      </c>
      <c r="Z219" s="36" t="str">
        <f t="shared" si="19"/>
        <v>AR_2021_2x SiOLED</v>
      </c>
    </row>
    <row r="220" spans="3:26">
      <c r="C220" s="17">
        <v>212</v>
      </c>
      <c r="D220" s="109" t="s">
        <v>129</v>
      </c>
      <c r="E220" s="20" t="s">
        <v>10</v>
      </c>
      <c r="F220" s="20" t="s">
        <v>177</v>
      </c>
      <c r="G220" s="21" t="s">
        <v>65</v>
      </c>
      <c r="H220" s="21" t="s">
        <v>117</v>
      </c>
      <c r="I220" s="19" t="s">
        <v>63</v>
      </c>
      <c r="J220" s="19" t="s">
        <v>31</v>
      </c>
      <c r="K220" s="21" t="s">
        <v>67</v>
      </c>
      <c r="L220" s="33" t="str">
        <f t="shared" si="15"/>
        <v>2x LCoS</v>
      </c>
      <c r="M220" s="21" t="s">
        <v>36</v>
      </c>
      <c r="N220" s="21"/>
      <c r="O220" s="27"/>
      <c r="P220" s="20">
        <v>1440</v>
      </c>
      <c r="Q220" s="20">
        <v>1760</v>
      </c>
      <c r="R220" s="29">
        <f t="shared" si="16"/>
        <v>0</v>
      </c>
      <c r="S220" s="20" t="s">
        <v>36</v>
      </c>
      <c r="T220" s="18">
        <v>44805</v>
      </c>
      <c r="U220" s="20">
        <v>2</v>
      </c>
      <c r="V220" s="120">
        <v>2.7499999999999998E-3</v>
      </c>
      <c r="W220" s="69">
        <f t="shared" si="17"/>
        <v>0.12398265</v>
      </c>
      <c r="X220" s="106">
        <v>45.084600000000002</v>
      </c>
      <c r="Y220" s="72" t="str">
        <f t="shared" si="18"/>
        <v>AR_2021_2x LCoS_ML 2</v>
      </c>
      <c r="Z220" s="36" t="str">
        <f t="shared" si="19"/>
        <v>AR_2021_2x LCoS</v>
      </c>
    </row>
    <row r="221" spans="3:26">
      <c r="C221" s="17">
        <v>213</v>
      </c>
      <c r="D221" s="109" t="s">
        <v>129</v>
      </c>
      <c r="E221" s="20" t="s">
        <v>10</v>
      </c>
      <c r="F221" s="20" t="s">
        <v>177</v>
      </c>
      <c r="G221" s="21" t="s">
        <v>61</v>
      </c>
      <c r="H221" s="21" t="s">
        <v>62</v>
      </c>
      <c r="I221" s="19" t="s">
        <v>63</v>
      </c>
      <c r="J221" s="19" t="s">
        <v>31</v>
      </c>
      <c r="K221" s="21" t="s">
        <v>64</v>
      </c>
      <c r="L221" s="33" t="str">
        <f t="shared" si="15"/>
        <v>2x LBS</v>
      </c>
      <c r="M221" s="21" t="s">
        <v>36</v>
      </c>
      <c r="N221" s="21"/>
      <c r="O221" s="27"/>
      <c r="P221" s="20"/>
      <c r="Q221" s="20"/>
      <c r="R221" s="29">
        <f t="shared" si="16"/>
        <v>0</v>
      </c>
      <c r="S221" s="20" t="s">
        <v>36</v>
      </c>
      <c r="T221" s="18">
        <v>43770</v>
      </c>
      <c r="U221" s="20">
        <v>2</v>
      </c>
      <c r="V221" s="120">
        <v>3.3000000000000002E-2</v>
      </c>
      <c r="W221" s="69">
        <f t="shared" si="17"/>
        <v>3.4775664000000002</v>
      </c>
      <c r="X221" s="106">
        <v>105.38079999999999</v>
      </c>
      <c r="Y221" s="72" t="str">
        <f t="shared" si="18"/>
        <v>AR_2021_2x LBS_HoloLens 2</v>
      </c>
      <c r="Z221" s="36" t="str">
        <f t="shared" si="19"/>
        <v>AR_2021_2x LBS</v>
      </c>
    </row>
    <row r="222" spans="3:26">
      <c r="C222" s="17">
        <v>214</v>
      </c>
      <c r="D222" s="109" t="s">
        <v>129</v>
      </c>
      <c r="E222" s="20" t="s">
        <v>10</v>
      </c>
      <c r="F222" s="20" t="s">
        <v>177</v>
      </c>
      <c r="G222" s="21" t="s">
        <v>186</v>
      </c>
      <c r="H222" s="21" t="s">
        <v>187</v>
      </c>
      <c r="I222" s="19" t="s">
        <v>63</v>
      </c>
      <c r="J222" s="19" t="s">
        <v>27</v>
      </c>
      <c r="K222" s="21" t="s">
        <v>51</v>
      </c>
      <c r="L222" s="33" t="str">
        <f t="shared" si="15"/>
        <v>2x SiOLED</v>
      </c>
      <c r="M222" s="21" t="s">
        <v>145</v>
      </c>
      <c r="N222" s="21"/>
      <c r="O222" s="27">
        <v>0.71</v>
      </c>
      <c r="P222" s="20">
        <v>1920</v>
      </c>
      <c r="Q222" s="20">
        <v>1080</v>
      </c>
      <c r="R222" s="29">
        <f t="shared" si="16"/>
        <v>3102.6861550454905</v>
      </c>
      <c r="S222" s="20">
        <v>90</v>
      </c>
      <c r="T222" s="18">
        <v>44044</v>
      </c>
      <c r="U222" s="20">
        <v>2</v>
      </c>
      <c r="V222" s="120">
        <v>4.1250000000000002E-2</v>
      </c>
      <c r="W222" s="69">
        <f t="shared" si="17"/>
        <v>3.3454079999999999</v>
      </c>
      <c r="X222" s="106">
        <v>81.100799999999992</v>
      </c>
      <c r="Y222" s="72" t="str">
        <f t="shared" si="18"/>
        <v>AR_2021_2x SiOLED_Light</v>
      </c>
      <c r="Z222" s="36" t="str">
        <f t="shared" si="19"/>
        <v>AR_2021_2x SiOLED</v>
      </c>
    </row>
    <row r="223" spans="3:26">
      <c r="C223" s="17">
        <v>215</v>
      </c>
      <c r="D223" s="109" t="s">
        <v>129</v>
      </c>
      <c r="E223" s="20" t="s">
        <v>10</v>
      </c>
      <c r="F223" s="20" t="s">
        <v>177</v>
      </c>
      <c r="G223" s="21" t="s">
        <v>118</v>
      </c>
      <c r="H223" s="21" t="s">
        <v>119</v>
      </c>
      <c r="I223" s="19" t="s">
        <v>63</v>
      </c>
      <c r="J223" s="19" t="s">
        <v>27</v>
      </c>
      <c r="K223" s="21" t="s">
        <v>120</v>
      </c>
      <c r="L223" s="33" t="str">
        <f t="shared" si="15"/>
        <v>1x MicroLED</v>
      </c>
      <c r="M223" s="21" t="s">
        <v>144</v>
      </c>
      <c r="N223" s="21"/>
      <c r="O223" s="27">
        <v>0.13</v>
      </c>
      <c r="P223" s="20">
        <v>640</v>
      </c>
      <c r="Q223" s="20">
        <v>480</v>
      </c>
      <c r="R223" s="29">
        <f t="shared" si="16"/>
        <v>6153.8461538461534</v>
      </c>
      <c r="S223" s="20" t="s">
        <v>36</v>
      </c>
      <c r="T223" s="18">
        <v>44562</v>
      </c>
      <c r="U223" s="20">
        <v>1</v>
      </c>
      <c r="V223" s="120">
        <v>6.8799999999999992E-4</v>
      </c>
      <c r="W223" s="69">
        <f t="shared" si="17"/>
        <v>5.7752095999999989E-2</v>
      </c>
      <c r="X223" s="106">
        <v>83.941999999999993</v>
      </c>
      <c r="Y223" s="72" t="str">
        <f t="shared" si="18"/>
        <v>AR_2021_1x MicroLED_Air Glass</v>
      </c>
      <c r="Z223" s="36" t="str">
        <f t="shared" si="19"/>
        <v>AR_2021_1x MicroLED</v>
      </c>
    </row>
    <row r="224" spans="3:26">
      <c r="C224" s="17">
        <v>216</v>
      </c>
      <c r="D224" s="109" t="s">
        <v>129</v>
      </c>
      <c r="E224" s="20" t="s">
        <v>10</v>
      </c>
      <c r="F224" s="20" t="s">
        <v>177</v>
      </c>
      <c r="G224" s="21" t="s">
        <v>132</v>
      </c>
      <c r="H224" s="21" t="s">
        <v>133</v>
      </c>
      <c r="I224" s="19" t="s">
        <v>63</v>
      </c>
      <c r="J224" s="19" t="s">
        <v>27</v>
      </c>
      <c r="K224" s="21" t="s">
        <v>51</v>
      </c>
      <c r="L224" s="33" t="str">
        <f t="shared" si="15"/>
        <v>2x SiOLED</v>
      </c>
      <c r="M224" s="21" t="s">
        <v>116</v>
      </c>
      <c r="N224" s="21"/>
      <c r="O224" s="27">
        <v>0.49</v>
      </c>
      <c r="P224" s="20">
        <v>1920</v>
      </c>
      <c r="Q224" s="20">
        <v>1080</v>
      </c>
      <c r="R224" s="29">
        <f t="shared" si="16"/>
        <v>4495.7289185353029</v>
      </c>
      <c r="S224" s="20">
        <v>75</v>
      </c>
      <c r="T224" s="18">
        <v>44501</v>
      </c>
      <c r="U224" s="20">
        <v>2</v>
      </c>
      <c r="V224" s="120">
        <v>8.2500000000000004E-3</v>
      </c>
      <c r="W224" s="69">
        <f t="shared" si="17"/>
        <v>0.45375000000000004</v>
      </c>
      <c r="X224" s="106">
        <v>55</v>
      </c>
      <c r="Y224" s="72" t="str">
        <f t="shared" si="18"/>
        <v>AR_2021_2x SiOLED_Air</v>
      </c>
      <c r="Z224" s="36" t="str">
        <f t="shared" si="19"/>
        <v>AR_2021_2x SiOLED</v>
      </c>
    </row>
    <row r="225" spans="3:26">
      <c r="C225" s="17">
        <v>217</v>
      </c>
      <c r="D225" s="109" t="s">
        <v>129</v>
      </c>
      <c r="E225" s="20" t="s">
        <v>10</v>
      </c>
      <c r="F225" s="20" t="s">
        <v>177</v>
      </c>
      <c r="G225" s="21" t="s">
        <v>68</v>
      </c>
      <c r="H225" s="21" t="s">
        <v>69</v>
      </c>
      <c r="I225" s="19" t="s">
        <v>63</v>
      </c>
      <c r="J225" s="19" t="s">
        <v>31</v>
      </c>
      <c r="K225" s="21" t="s">
        <v>70</v>
      </c>
      <c r="L225" s="33" t="str">
        <f t="shared" si="15"/>
        <v>1x DLP</v>
      </c>
      <c r="M225" s="21" t="s">
        <v>172</v>
      </c>
      <c r="N225" s="21"/>
      <c r="O225" s="27"/>
      <c r="P225" s="20">
        <v>853</v>
      </c>
      <c r="Q225" s="20">
        <v>480</v>
      </c>
      <c r="R225" s="29">
        <f t="shared" si="16"/>
        <v>0</v>
      </c>
      <c r="S225" s="20" t="s">
        <v>36</v>
      </c>
      <c r="T225" s="18">
        <v>43466</v>
      </c>
      <c r="U225" s="20">
        <v>1</v>
      </c>
      <c r="V225" s="120">
        <v>6.8799999999999992E-4</v>
      </c>
      <c r="W225" s="69">
        <f t="shared" si="17"/>
        <v>5.5967630399999989E-2</v>
      </c>
      <c r="X225" s="106">
        <v>81.348299999999995</v>
      </c>
      <c r="Y225" s="72" t="str">
        <f t="shared" si="18"/>
        <v>AR_2021_1x DLP_Blade</v>
      </c>
      <c r="Z225" s="36" t="str">
        <f t="shared" si="19"/>
        <v>AR_2021_1x DLP</v>
      </c>
    </row>
    <row r="226" spans="3:26">
      <c r="C226" s="17">
        <v>218</v>
      </c>
      <c r="D226" s="109" t="s">
        <v>129</v>
      </c>
      <c r="E226" s="20" t="s">
        <v>10</v>
      </c>
      <c r="F226" s="20" t="s">
        <v>177</v>
      </c>
      <c r="G226" s="21" t="s">
        <v>97</v>
      </c>
      <c r="H226" s="21" t="s">
        <v>76</v>
      </c>
      <c r="I226" s="19" t="s">
        <v>63</v>
      </c>
      <c r="J226" s="19" t="s">
        <v>36</v>
      </c>
      <c r="K226" s="21" t="s">
        <v>70</v>
      </c>
      <c r="L226" s="33" t="str">
        <f t="shared" si="15"/>
        <v>1x DLP</v>
      </c>
      <c r="M226" s="21" t="s">
        <v>36</v>
      </c>
      <c r="N226" s="21"/>
      <c r="O226" s="27"/>
      <c r="P226" s="20"/>
      <c r="Q226" s="20"/>
      <c r="R226" s="29">
        <f t="shared" si="16"/>
        <v>0</v>
      </c>
      <c r="S226" s="20" t="s">
        <v>36</v>
      </c>
      <c r="T226" s="18" t="s">
        <v>143</v>
      </c>
      <c r="U226" s="20">
        <v>1</v>
      </c>
      <c r="V226" s="120">
        <v>2.7500000000000002E-4</v>
      </c>
      <c r="W226" s="69">
        <f t="shared" si="17"/>
        <v>2.2370782499999999E-2</v>
      </c>
      <c r="X226" s="106">
        <v>81.348299999999995</v>
      </c>
      <c r="Y226" s="72" t="str">
        <f t="shared" si="18"/>
        <v>AR_2021_1x DLP_DLP glasses</v>
      </c>
      <c r="Z226" s="36" t="str">
        <f t="shared" si="19"/>
        <v>AR_2021_1x DLP</v>
      </c>
    </row>
    <row r="227" spans="3:26">
      <c r="C227" s="17">
        <v>219</v>
      </c>
      <c r="D227" s="109" t="s">
        <v>129</v>
      </c>
      <c r="E227" s="20" t="s">
        <v>10</v>
      </c>
      <c r="F227" s="20" t="s">
        <v>177</v>
      </c>
      <c r="G227" s="21" t="s">
        <v>97</v>
      </c>
      <c r="H227" s="21" t="s">
        <v>80</v>
      </c>
      <c r="I227" s="19" t="s">
        <v>63</v>
      </c>
      <c r="J227" s="19" t="s">
        <v>36</v>
      </c>
      <c r="K227" s="21" t="s">
        <v>64</v>
      </c>
      <c r="L227" s="33" t="str">
        <f t="shared" si="15"/>
        <v>2x LBS</v>
      </c>
      <c r="M227" s="21" t="s">
        <v>36</v>
      </c>
      <c r="N227" s="21"/>
      <c r="O227" s="27"/>
      <c r="P227" s="20"/>
      <c r="Q227" s="20"/>
      <c r="R227" s="29">
        <f t="shared" si="16"/>
        <v>0</v>
      </c>
      <c r="S227" s="20" t="s">
        <v>36</v>
      </c>
      <c r="T227" s="18" t="s">
        <v>143</v>
      </c>
      <c r="U227" s="20">
        <v>2</v>
      </c>
      <c r="V227" s="120">
        <v>2.7500000000000002E-4</v>
      </c>
      <c r="W227" s="69">
        <f t="shared" si="17"/>
        <v>2.897972E-2</v>
      </c>
      <c r="X227" s="106">
        <v>105.38079999999999</v>
      </c>
      <c r="Y227" s="72" t="str">
        <f t="shared" si="18"/>
        <v>AR_2021_2x LBS_LBS glasses</v>
      </c>
      <c r="Z227" s="36" t="str">
        <f t="shared" si="19"/>
        <v>AR_2021_2x LBS</v>
      </c>
    </row>
    <row r="228" spans="3:26">
      <c r="C228" s="17">
        <v>220</v>
      </c>
      <c r="D228" s="109" t="s">
        <v>129</v>
      </c>
      <c r="E228" s="20" t="s">
        <v>10</v>
      </c>
      <c r="F228" s="20" t="s">
        <v>177</v>
      </c>
      <c r="G228" s="21" t="s">
        <v>97</v>
      </c>
      <c r="H228" s="21" t="s">
        <v>75</v>
      </c>
      <c r="I228" s="19" t="s">
        <v>63</v>
      </c>
      <c r="J228" s="19" t="s">
        <v>36</v>
      </c>
      <c r="K228" s="21" t="s">
        <v>67</v>
      </c>
      <c r="L228" s="33" t="str">
        <f t="shared" si="15"/>
        <v>2x LCoS</v>
      </c>
      <c r="M228" s="21" t="s">
        <v>36</v>
      </c>
      <c r="N228" s="21"/>
      <c r="O228" s="27"/>
      <c r="P228" s="20"/>
      <c r="Q228" s="20"/>
      <c r="R228" s="29">
        <f t="shared" si="16"/>
        <v>0</v>
      </c>
      <c r="S228" s="20" t="s">
        <v>36</v>
      </c>
      <c r="T228" s="18" t="s">
        <v>143</v>
      </c>
      <c r="U228" s="20">
        <v>2</v>
      </c>
      <c r="V228" s="120">
        <v>2.7499999999999998E-3</v>
      </c>
      <c r="W228" s="69">
        <f t="shared" si="17"/>
        <v>0.12398265</v>
      </c>
      <c r="X228" s="106">
        <v>45.084600000000002</v>
      </c>
      <c r="Y228" s="72" t="str">
        <f t="shared" si="18"/>
        <v>AR_2021_2x LCoS_LCoS glasses</v>
      </c>
      <c r="Z228" s="36" t="str">
        <f t="shared" si="19"/>
        <v>AR_2021_2x LCoS</v>
      </c>
    </row>
    <row r="229" spans="3:26">
      <c r="C229" s="17">
        <v>221</v>
      </c>
      <c r="D229" s="109" t="s">
        <v>129</v>
      </c>
      <c r="E229" s="20" t="s">
        <v>10</v>
      </c>
      <c r="F229" s="20" t="s">
        <v>177</v>
      </c>
      <c r="G229" s="21" t="s">
        <v>97</v>
      </c>
      <c r="H229" s="21" t="s">
        <v>79</v>
      </c>
      <c r="I229" s="19" t="s">
        <v>63</v>
      </c>
      <c r="J229" s="19" t="s">
        <v>36</v>
      </c>
      <c r="K229" s="21" t="s">
        <v>51</v>
      </c>
      <c r="L229" s="33" t="str">
        <f t="shared" si="15"/>
        <v>2x SiOLED</v>
      </c>
      <c r="M229" s="21" t="s">
        <v>36</v>
      </c>
      <c r="N229" s="21"/>
      <c r="O229" s="27"/>
      <c r="P229" s="20"/>
      <c r="Q229" s="20"/>
      <c r="R229" s="29">
        <f t="shared" si="16"/>
        <v>0</v>
      </c>
      <c r="S229" s="20" t="s">
        <v>36</v>
      </c>
      <c r="T229" s="18" t="s">
        <v>143</v>
      </c>
      <c r="U229" s="20">
        <v>2</v>
      </c>
      <c r="V229" s="120">
        <v>2.2000000000000001E-3</v>
      </c>
      <c r="W229" s="69">
        <f t="shared" si="17"/>
        <v>0.17842175999999998</v>
      </c>
      <c r="X229" s="106">
        <v>81.100799999999992</v>
      </c>
      <c r="Y229" s="72" t="str">
        <f t="shared" si="18"/>
        <v>AR_2021_2x SiOLED_SiOLED glasses</v>
      </c>
      <c r="Z229" s="36" t="str">
        <f t="shared" si="19"/>
        <v>AR_2021_2x SiOLED</v>
      </c>
    </row>
    <row r="230" spans="3:26">
      <c r="C230" s="17">
        <v>222</v>
      </c>
      <c r="D230" s="109" t="s">
        <v>26</v>
      </c>
      <c r="E230" s="20" t="s">
        <v>10</v>
      </c>
      <c r="F230" s="20" t="s">
        <v>179</v>
      </c>
      <c r="G230" s="21" t="s">
        <v>106</v>
      </c>
      <c r="H230" s="21" t="s">
        <v>107</v>
      </c>
      <c r="I230" s="19" t="s">
        <v>26</v>
      </c>
      <c r="J230" s="19" t="s">
        <v>31</v>
      </c>
      <c r="K230" s="21" t="s">
        <v>15</v>
      </c>
      <c r="L230" s="33" t="str">
        <f t="shared" si="15"/>
        <v>1x LCD</v>
      </c>
      <c r="M230" s="21" t="s">
        <v>36</v>
      </c>
      <c r="N230" s="21" t="s">
        <v>143</v>
      </c>
      <c r="O230" s="27"/>
      <c r="P230" s="20"/>
      <c r="Q230" s="20"/>
      <c r="R230" s="29">
        <f t="shared" si="16"/>
        <v>0</v>
      </c>
      <c r="S230" s="20" t="s">
        <v>36</v>
      </c>
      <c r="T230" s="18">
        <v>43770</v>
      </c>
      <c r="U230" s="20">
        <v>1</v>
      </c>
      <c r="V230" s="120">
        <v>0.13750000000000001</v>
      </c>
      <c r="W230" s="69">
        <f t="shared" si="17"/>
        <v>7.9233000000000002</v>
      </c>
      <c r="X230" s="106">
        <v>57.623999999999995</v>
      </c>
      <c r="Y230" s="72" t="str">
        <f t="shared" si="18"/>
        <v>VR_2021_1x LCD_P1 family</v>
      </c>
      <c r="Z230" s="36" t="str">
        <f t="shared" si="19"/>
        <v>VR_2021_1x LCD</v>
      </c>
    </row>
    <row r="231" spans="3:26">
      <c r="C231" s="17">
        <v>223</v>
      </c>
      <c r="D231" s="109" t="s">
        <v>26</v>
      </c>
      <c r="E231" s="20" t="s">
        <v>10</v>
      </c>
      <c r="F231" s="20" t="s">
        <v>179</v>
      </c>
      <c r="G231" s="21" t="s">
        <v>34</v>
      </c>
      <c r="H231" s="21" t="s">
        <v>37</v>
      </c>
      <c r="I231" s="19" t="s">
        <v>26</v>
      </c>
      <c r="J231" s="19" t="s">
        <v>27</v>
      </c>
      <c r="K231" s="21" t="s">
        <v>15</v>
      </c>
      <c r="L231" s="33" t="str">
        <f t="shared" si="15"/>
        <v>2x LCD</v>
      </c>
      <c r="M231" s="21" t="s">
        <v>36</v>
      </c>
      <c r="N231" s="21" t="s">
        <v>143</v>
      </c>
      <c r="O231" s="27">
        <v>2.89</v>
      </c>
      <c r="P231" s="20">
        <v>2160</v>
      </c>
      <c r="Q231" s="20">
        <v>2160</v>
      </c>
      <c r="R231" s="29">
        <f t="shared" si="16"/>
        <v>1056.990067379199</v>
      </c>
      <c r="S231" s="20">
        <v>90</v>
      </c>
      <c r="T231" s="18">
        <v>44136</v>
      </c>
      <c r="U231" s="20">
        <v>2</v>
      </c>
      <c r="V231" s="120">
        <v>2.7499999999999998E-3</v>
      </c>
      <c r="W231" s="69">
        <f t="shared" si="17"/>
        <v>0.105644</v>
      </c>
      <c r="X231" s="106">
        <v>38.416000000000004</v>
      </c>
      <c r="Y231" s="72" t="str">
        <f t="shared" si="18"/>
        <v>VR_2021_2x LCD_Reverb G2</v>
      </c>
      <c r="Z231" s="36" t="str">
        <f t="shared" si="19"/>
        <v>VR_2021_2x LCD</v>
      </c>
    </row>
    <row r="232" spans="3:26">
      <c r="C232" s="17">
        <v>224</v>
      </c>
      <c r="D232" s="109" t="s">
        <v>26</v>
      </c>
      <c r="E232" s="20" t="s">
        <v>10</v>
      </c>
      <c r="F232" s="20" t="s">
        <v>179</v>
      </c>
      <c r="G232" s="21" t="s">
        <v>41</v>
      </c>
      <c r="H232" s="21" t="s">
        <v>178</v>
      </c>
      <c r="I232" s="19" t="s">
        <v>26</v>
      </c>
      <c r="J232" s="19" t="s">
        <v>31</v>
      </c>
      <c r="K232" s="21" t="s">
        <v>15</v>
      </c>
      <c r="L232" s="33" t="str">
        <f t="shared" si="15"/>
        <v>2x LCD</v>
      </c>
      <c r="M232" s="21" t="s">
        <v>2</v>
      </c>
      <c r="N232" s="21" t="s">
        <v>143</v>
      </c>
      <c r="O232" s="27"/>
      <c r="P232" s="20"/>
      <c r="Q232" s="20"/>
      <c r="R232" s="29">
        <f t="shared" si="16"/>
        <v>0</v>
      </c>
      <c r="S232" s="20" t="s">
        <v>36</v>
      </c>
      <c r="T232" s="18">
        <v>43739</v>
      </c>
      <c r="U232" s="20">
        <v>2</v>
      </c>
      <c r="V232" s="120">
        <v>1.6500000000000001E-2</v>
      </c>
      <c r="W232" s="69">
        <f t="shared" si="17"/>
        <v>0.63386400000000009</v>
      </c>
      <c r="X232" s="106">
        <v>38.416000000000004</v>
      </c>
      <c r="Y232" s="72" t="str">
        <f t="shared" si="18"/>
        <v>VR_2021_2x LCD_Vive LCD headsets</v>
      </c>
      <c r="Z232" s="36" t="str">
        <f t="shared" si="19"/>
        <v>VR_2021_2x LCD</v>
      </c>
    </row>
    <row r="233" spans="3:26">
      <c r="C233" s="17">
        <v>225</v>
      </c>
      <c r="D233" s="109" t="s">
        <v>26</v>
      </c>
      <c r="E233" s="20" t="s">
        <v>10</v>
      </c>
      <c r="F233" s="20" t="s">
        <v>179</v>
      </c>
      <c r="G233" s="21" t="s">
        <v>112</v>
      </c>
      <c r="H233" s="21" t="s">
        <v>32</v>
      </c>
      <c r="I233" s="19" t="s">
        <v>26</v>
      </c>
      <c r="J233" s="19" t="s">
        <v>31</v>
      </c>
      <c r="K233" s="21" t="s">
        <v>15</v>
      </c>
      <c r="L233" s="33" t="str">
        <f t="shared" si="15"/>
        <v>1x LCD</v>
      </c>
      <c r="M233" s="21" t="s">
        <v>2</v>
      </c>
      <c r="N233" s="21" t="s">
        <v>166</v>
      </c>
      <c r="O233" s="27">
        <v>5.5</v>
      </c>
      <c r="P233" s="20">
        <v>3840</v>
      </c>
      <c r="Q233" s="20">
        <v>1832</v>
      </c>
      <c r="R233" s="29">
        <f t="shared" si="16"/>
        <v>773.56797048396322</v>
      </c>
      <c r="S233" s="20">
        <v>90</v>
      </c>
      <c r="T233" s="18">
        <v>44105</v>
      </c>
      <c r="U233" s="20">
        <v>1</v>
      </c>
      <c r="V233" s="120">
        <v>2.1175000000000002</v>
      </c>
      <c r="W233" s="69">
        <f t="shared" si="17"/>
        <v>122.01882000000001</v>
      </c>
      <c r="X233" s="106">
        <v>57.623999999999995</v>
      </c>
      <c r="Y233" s="72" t="str">
        <f t="shared" si="18"/>
        <v>VR_2021_1x LCD_Quest 2</v>
      </c>
      <c r="Z233" s="36" t="str">
        <f t="shared" si="19"/>
        <v>VR_2021_1x LCD</v>
      </c>
    </row>
    <row r="234" spans="3:26">
      <c r="C234" s="17">
        <v>226</v>
      </c>
      <c r="D234" s="109" t="s">
        <v>26</v>
      </c>
      <c r="E234" s="20" t="s">
        <v>10</v>
      </c>
      <c r="F234" s="20" t="s">
        <v>179</v>
      </c>
      <c r="G234" s="21" t="s">
        <v>110</v>
      </c>
      <c r="H234" s="21" t="s">
        <v>162</v>
      </c>
      <c r="I234" s="19" t="s">
        <v>26</v>
      </c>
      <c r="J234" s="19" t="s">
        <v>31</v>
      </c>
      <c r="K234" s="21" t="s">
        <v>15</v>
      </c>
      <c r="L234" s="33" t="str">
        <f t="shared" si="15"/>
        <v>1x LCD</v>
      </c>
      <c r="M234" s="21" t="s">
        <v>2</v>
      </c>
      <c r="N234" s="21" t="s">
        <v>146</v>
      </c>
      <c r="O234" s="27">
        <v>5.5</v>
      </c>
      <c r="P234" s="20">
        <v>3840</v>
      </c>
      <c r="Q234" s="20">
        <v>1832</v>
      </c>
      <c r="R234" s="29">
        <f t="shared" si="16"/>
        <v>773.56797048396322</v>
      </c>
      <c r="S234" s="20">
        <v>90</v>
      </c>
      <c r="T234" s="18">
        <v>44317</v>
      </c>
      <c r="U234" s="20">
        <v>1</v>
      </c>
      <c r="V234" s="120">
        <v>8.6624999999999994E-2</v>
      </c>
      <c r="W234" s="69">
        <f t="shared" si="17"/>
        <v>4.9916789999999995</v>
      </c>
      <c r="X234" s="106">
        <v>57.623999999999995</v>
      </c>
      <c r="Y234" s="72" t="str">
        <f t="shared" si="18"/>
        <v>VR_2021_1x LCD_Neo 3 / G3</v>
      </c>
      <c r="Z234" s="36" t="str">
        <f t="shared" si="19"/>
        <v>VR_2021_1x LCD</v>
      </c>
    </row>
    <row r="235" spans="3:26">
      <c r="C235" s="17">
        <v>227</v>
      </c>
      <c r="D235" s="109" t="s">
        <v>26</v>
      </c>
      <c r="E235" s="20" t="s">
        <v>10</v>
      </c>
      <c r="F235" s="20" t="s">
        <v>179</v>
      </c>
      <c r="G235" s="21" t="s">
        <v>108</v>
      </c>
      <c r="H235" s="21" t="s">
        <v>109</v>
      </c>
      <c r="I235" s="19" t="s">
        <v>26</v>
      </c>
      <c r="J235" s="19" t="s">
        <v>27</v>
      </c>
      <c r="K235" s="21" t="s">
        <v>15</v>
      </c>
      <c r="L235" s="33" t="str">
        <f t="shared" si="15"/>
        <v>2x LCD</v>
      </c>
      <c r="M235" s="21" t="s">
        <v>145</v>
      </c>
      <c r="N235" s="21" t="s">
        <v>146</v>
      </c>
      <c r="O235" s="27"/>
      <c r="P235" s="20"/>
      <c r="Q235" s="20"/>
      <c r="R235" s="29">
        <f t="shared" si="16"/>
        <v>0</v>
      </c>
      <c r="S235" s="20" t="s">
        <v>36</v>
      </c>
      <c r="T235" s="18" t="s">
        <v>143</v>
      </c>
      <c r="U235" s="20">
        <v>2</v>
      </c>
      <c r="V235" s="120">
        <v>1.925E-2</v>
      </c>
      <c r="W235" s="69">
        <f t="shared" si="17"/>
        <v>0.73950800000000005</v>
      </c>
      <c r="X235" s="106">
        <v>38.416000000000004</v>
      </c>
      <c r="Y235" s="72" t="str">
        <f t="shared" si="18"/>
        <v>VR_2021_2x LCD_Pimax VR</v>
      </c>
      <c r="Z235" s="36" t="str">
        <f t="shared" si="19"/>
        <v>VR_2021_2x LCD</v>
      </c>
    </row>
    <row r="236" spans="3:26">
      <c r="C236" s="17">
        <v>228</v>
      </c>
      <c r="D236" s="109" t="s">
        <v>26</v>
      </c>
      <c r="E236" s="20" t="s">
        <v>10</v>
      </c>
      <c r="F236" s="20" t="s">
        <v>179</v>
      </c>
      <c r="G236" s="21" t="s">
        <v>97</v>
      </c>
      <c r="H236" s="21" t="s">
        <v>111</v>
      </c>
      <c r="I236" s="19" t="s">
        <v>26</v>
      </c>
      <c r="J236" s="19" t="s">
        <v>36</v>
      </c>
      <c r="K236" s="21" t="s">
        <v>15</v>
      </c>
      <c r="L236" s="33" t="str">
        <f t="shared" si="15"/>
        <v>2x LCD</v>
      </c>
      <c r="M236" s="21" t="s">
        <v>36</v>
      </c>
      <c r="N236" s="21" t="s">
        <v>143</v>
      </c>
      <c r="O236" s="27"/>
      <c r="P236" s="20"/>
      <c r="Q236" s="20"/>
      <c r="R236" s="29">
        <f t="shared" si="16"/>
        <v>0</v>
      </c>
      <c r="S236" s="20" t="s">
        <v>36</v>
      </c>
      <c r="T236" s="18" t="s">
        <v>143</v>
      </c>
      <c r="U236" s="20">
        <v>2</v>
      </c>
      <c r="V236" s="120">
        <v>2.1999999999999999E-2</v>
      </c>
      <c r="W236" s="69">
        <f t="shared" si="17"/>
        <v>0.84515200000000001</v>
      </c>
      <c r="X236" s="106">
        <v>38.416000000000004</v>
      </c>
      <c r="Y236" s="72" t="str">
        <f t="shared" si="18"/>
        <v>VR_2021_2x LCD_Dual LCD VR headset</v>
      </c>
      <c r="Z236" s="36" t="str">
        <f t="shared" si="19"/>
        <v>VR_2021_2x LCD</v>
      </c>
    </row>
    <row r="237" spans="3:26">
      <c r="C237" s="17">
        <v>229</v>
      </c>
      <c r="D237" s="109" t="s">
        <v>26</v>
      </c>
      <c r="E237" s="20" t="s">
        <v>10</v>
      </c>
      <c r="F237" s="20" t="s">
        <v>179</v>
      </c>
      <c r="G237" s="21" t="s">
        <v>97</v>
      </c>
      <c r="H237" s="21" t="s">
        <v>161</v>
      </c>
      <c r="I237" s="19" t="s">
        <v>26</v>
      </c>
      <c r="J237" s="19" t="s">
        <v>36</v>
      </c>
      <c r="K237" s="21" t="s">
        <v>15</v>
      </c>
      <c r="L237" s="33" t="str">
        <f t="shared" si="15"/>
        <v>1x LCD</v>
      </c>
      <c r="M237" s="21" t="s">
        <v>36</v>
      </c>
      <c r="N237" s="21" t="s">
        <v>143</v>
      </c>
      <c r="O237" s="27"/>
      <c r="P237" s="20"/>
      <c r="Q237" s="20"/>
      <c r="R237" s="29">
        <f t="shared" si="16"/>
        <v>0</v>
      </c>
      <c r="S237" s="20" t="s">
        <v>36</v>
      </c>
      <c r="T237" s="18" t="s">
        <v>143</v>
      </c>
      <c r="U237" s="20">
        <v>1</v>
      </c>
      <c r="V237" s="120">
        <v>3.3000000000000002E-2</v>
      </c>
      <c r="W237" s="69">
        <f t="shared" si="17"/>
        <v>1.9015919999999999</v>
      </c>
      <c r="X237" s="106">
        <v>57.623999999999995</v>
      </c>
      <c r="Y237" s="72" t="str">
        <f t="shared" si="18"/>
        <v>VR_2021_1x LCD_Single LCD VR headset</v>
      </c>
      <c r="Z237" s="36" t="str">
        <f t="shared" si="19"/>
        <v>VR_2021_1x LCD</v>
      </c>
    </row>
    <row r="238" spans="3:26">
      <c r="C238" s="17">
        <v>230</v>
      </c>
      <c r="D238" s="109" t="s">
        <v>26</v>
      </c>
      <c r="E238" s="20" t="s">
        <v>10</v>
      </c>
      <c r="F238" s="20" t="s">
        <v>179</v>
      </c>
      <c r="G238" s="21" t="s">
        <v>38</v>
      </c>
      <c r="H238" s="21" t="s">
        <v>39</v>
      </c>
      <c r="I238" s="19" t="s">
        <v>26</v>
      </c>
      <c r="J238" s="19" t="s">
        <v>27</v>
      </c>
      <c r="K238" s="21" t="s">
        <v>15</v>
      </c>
      <c r="L238" s="33" t="str">
        <f t="shared" si="15"/>
        <v>2x LCD</v>
      </c>
      <c r="M238" s="21" t="s">
        <v>40</v>
      </c>
      <c r="N238" s="21" t="s">
        <v>143</v>
      </c>
      <c r="O238" s="27">
        <v>3.5</v>
      </c>
      <c r="P238" s="20">
        <v>1440</v>
      </c>
      <c r="Q238" s="20">
        <v>1600</v>
      </c>
      <c r="R238" s="29">
        <f t="shared" si="16"/>
        <v>615.02281358051255</v>
      </c>
      <c r="S238" s="20">
        <v>144</v>
      </c>
      <c r="T238" s="18">
        <v>43586</v>
      </c>
      <c r="U238" s="20">
        <v>2</v>
      </c>
      <c r="V238" s="120">
        <v>5.4999999999999997E-3</v>
      </c>
      <c r="W238" s="69">
        <f t="shared" si="17"/>
        <v>0.211288</v>
      </c>
      <c r="X238" s="106">
        <v>38.416000000000004</v>
      </c>
      <c r="Y238" s="72" t="str">
        <f t="shared" si="18"/>
        <v>VR_2021_2x LCD_Index</v>
      </c>
      <c r="Z238" s="36" t="str">
        <f t="shared" si="19"/>
        <v>VR_2021_2x LCD</v>
      </c>
    </row>
    <row r="239" spans="3:26">
      <c r="C239" s="17">
        <v>231</v>
      </c>
      <c r="D239" s="109" t="s">
        <v>129</v>
      </c>
      <c r="E239" s="20" t="s">
        <v>10</v>
      </c>
      <c r="F239" s="20" t="s">
        <v>179</v>
      </c>
      <c r="G239" s="21" t="s">
        <v>73</v>
      </c>
      <c r="H239" s="21" t="s">
        <v>74</v>
      </c>
      <c r="I239" s="19" t="s">
        <v>63</v>
      </c>
      <c r="J239" s="19" t="s">
        <v>31</v>
      </c>
      <c r="K239" s="21" t="s">
        <v>51</v>
      </c>
      <c r="L239" s="33" t="str">
        <f t="shared" si="15"/>
        <v>2x SiOLED</v>
      </c>
      <c r="M239" s="21" t="s">
        <v>73</v>
      </c>
      <c r="N239" s="21"/>
      <c r="O239" s="27">
        <v>0.43</v>
      </c>
      <c r="P239" s="20">
        <v>1280</v>
      </c>
      <c r="Q239" s="20">
        <v>720</v>
      </c>
      <c r="R239" s="29">
        <f t="shared" si="16"/>
        <v>3415.3599536159668</v>
      </c>
      <c r="S239" s="20" t="s">
        <v>36</v>
      </c>
      <c r="T239" s="18">
        <v>42401</v>
      </c>
      <c r="U239" s="20">
        <v>2</v>
      </c>
      <c r="V239" s="120">
        <v>3.3000000000000002E-2</v>
      </c>
      <c r="W239" s="69">
        <f t="shared" si="17"/>
        <v>2.6763263999999998</v>
      </c>
      <c r="X239" s="106">
        <v>81.100799999999992</v>
      </c>
      <c r="Y239" s="72" t="str">
        <f t="shared" si="18"/>
        <v>AR_2021_2x SiOLED_Moverio</v>
      </c>
      <c r="Z239" s="36" t="str">
        <f t="shared" si="19"/>
        <v>AR_2021_2x SiOLED</v>
      </c>
    </row>
    <row r="240" spans="3:26">
      <c r="C240" s="17">
        <v>232</v>
      </c>
      <c r="D240" s="109" t="s">
        <v>129</v>
      </c>
      <c r="E240" s="20" t="s">
        <v>10</v>
      </c>
      <c r="F240" s="20" t="s">
        <v>179</v>
      </c>
      <c r="G240" s="21" t="s">
        <v>71</v>
      </c>
      <c r="H240" s="21" t="s">
        <v>130</v>
      </c>
      <c r="I240" s="19" t="s">
        <v>63</v>
      </c>
      <c r="J240" s="19" t="s">
        <v>31</v>
      </c>
      <c r="K240" s="21" t="s">
        <v>168</v>
      </c>
      <c r="L240" s="33" t="str">
        <f t="shared" si="15"/>
        <v>1x Micro LCD</v>
      </c>
      <c r="M240" s="21" t="s">
        <v>72</v>
      </c>
      <c r="N240" s="21"/>
      <c r="O240" s="27"/>
      <c r="P240" s="20">
        <v>640</v>
      </c>
      <c r="Q240" s="20">
        <v>360</v>
      </c>
      <c r="R240" s="29">
        <f t="shared" si="16"/>
        <v>0</v>
      </c>
      <c r="S240" s="20" t="s">
        <v>36</v>
      </c>
      <c r="T240" s="18">
        <v>43586</v>
      </c>
      <c r="U240" s="20">
        <v>1</v>
      </c>
      <c r="V240" s="120">
        <v>6.875E-3</v>
      </c>
      <c r="W240" s="69">
        <f t="shared" si="17"/>
        <v>0.28300387500000002</v>
      </c>
      <c r="X240" s="106">
        <v>41.164200000000001</v>
      </c>
      <c r="Y240" s="72" t="str">
        <f t="shared" si="18"/>
        <v>AR_2021_1x Micro LCD_Glass</v>
      </c>
      <c r="Z240" s="36" t="str">
        <f t="shared" si="19"/>
        <v>AR_2021_1x Micro LCD</v>
      </c>
    </row>
    <row r="241" spans="3:26">
      <c r="C241" s="17">
        <v>233</v>
      </c>
      <c r="D241" s="109" t="s">
        <v>129</v>
      </c>
      <c r="E241" s="20" t="s">
        <v>10</v>
      </c>
      <c r="F241" s="20" t="s">
        <v>179</v>
      </c>
      <c r="G241" s="21" t="s">
        <v>77</v>
      </c>
      <c r="H241" s="21" t="s">
        <v>131</v>
      </c>
      <c r="I241" s="19" t="s">
        <v>63</v>
      </c>
      <c r="J241" s="19" t="s">
        <v>27</v>
      </c>
      <c r="K241" s="21" t="s">
        <v>51</v>
      </c>
      <c r="L241" s="33" t="str">
        <f t="shared" si="15"/>
        <v>2x SiOLED</v>
      </c>
      <c r="M241" s="21" t="s">
        <v>116</v>
      </c>
      <c r="N241" s="21"/>
      <c r="O241" s="27">
        <v>0.49</v>
      </c>
      <c r="P241" s="20">
        <v>1920</v>
      </c>
      <c r="Q241" s="20">
        <v>1080</v>
      </c>
      <c r="R241" s="29">
        <f t="shared" si="16"/>
        <v>4495.7289185353029</v>
      </c>
      <c r="S241" s="20">
        <v>60</v>
      </c>
      <c r="T241" s="18">
        <v>44866</v>
      </c>
      <c r="U241" s="20">
        <v>2</v>
      </c>
      <c r="V241" s="120">
        <v>2.7499999999999998E-3</v>
      </c>
      <c r="W241" s="69">
        <f t="shared" si="17"/>
        <v>0.15125</v>
      </c>
      <c r="X241" s="106">
        <v>55</v>
      </c>
      <c r="Y241" s="72" t="str">
        <f t="shared" si="18"/>
        <v>AR_2021_2x SiOLED_T1</v>
      </c>
      <c r="Z241" s="36" t="str">
        <f t="shared" si="19"/>
        <v>AR_2021_2x SiOLED</v>
      </c>
    </row>
    <row r="242" spans="3:26">
      <c r="C242" s="17">
        <v>234</v>
      </c>
      <c r="D242" s="109" t="s">
        <v>129</v>
      </c>
      <c r="E242" s="20" t="s">
        <v>10</v>
      </c>
      <c r="F242" s="20" t="s">
        <v>179</v>
      </c>
      <c r="G242" s="21" t="s">
        <v>77</v>
      </c>
      <c r="H242" s="21" t="s">
        <v>78</v>
      </c>
      <c r="I242" s="19" t="s">
        <v>63</v>
      </c>
      <c r="J242" s="19" t="s">
        <v>27</v>
      </c>
      <c r="K242" s="21" t="s">
        <v>51</v>
      </c>
      <c r="L242" s="33" t="str">
        <f t="shared" si="15"/>
        <v>2x SiOLED</v>
      </c>
      <c r="M242" s="21" t="s">
        <v>6</v>
      </c>
      <c r="N242" s="21"/>
      <c r="O242" s="27">
        <v>0.71</v>
      </c>
      <c r="P242" s="20">
        <v>1920</v>
      </c>
      <c r="Q242" s="20">
        <v>1080</v>
      </c>
      <c r="R242" s="29">
        <f t="shared" si="16"/>
        <v>3102.6861550454905</v>
      </c>
      <c r="S242" s="20" t="s">
        <v>36</v>
      </c>
      <c r="T242" s="18">
        <v>44348</v>
      </c>
      <c r="U242" s="20">
        <v>2</v>
      </c>
      <c r="V242" s="120">
        <v>9.6249999999999999E-3</v>
      </c>
      <c r="W242" s="69">
        <f t="shared" si="17"/>
        <v>0.78059519999999993</v>
      </c>
      <c r="X242" s="106">
        <v>81.100799999999992</v>
      </c>
      <c r="Y242" s="72" t="str">
        <f t="shared" si="18"/>
        <v>AR_2021_2x SiOLED_ThinkReality A3</v>
      </c>
      <c r="Z242" s="36" t="str">
        <f t="shared" si="19"/>
        <v>AR_2021_2x SiOLED</v>
      </c>
    </row>
    <row r="243" spans="3:26">
      <c r="C243" s="17">
        <v>235</v>
      </c>
      <c r="D243" s="109" t="s">
        <v>129</v>
      </c>
      <c r="E243" s="20" t="s">
        <v>10</v>
      </c>
      <c r="F243" s="20" t="s">
        <v>179</v>
      </c>
      <c r="G243" s="21" t="s">
        <v>65</v>
      </c>
      <c r="H243" s="21" t="s">
        <v>117</v>
      </c>
      <c r="I243" s="19" t="s">
        <v>63</v>
      </c>
      <c r="J243" s="19" t="s">
        <v>31</v>
      </c>
      <c r="K243" s="21" t="s">
        <v>67</v>
      </c>
      <c r="L243" s="33" t="str">
        <f t="shared" si="15"/>
        <v>2x LCoS</v>
      </c>
      <c r="M243" s="21" t="s">
        <v>36</v>
      </c>
      <c r="N243" s="21"/>
      <c r="O243" s="27"/>
      <c r="P243" s="20">
        <v>1440</v>
      </c>
      <c r="Q243" s="20">
        <v>1760</v>
      </c>
      <c r="R243" s="29">
        <f t="shared" si="16"/>
        <v>0</v>
      </c>
      <c r="S243" s="20" t="s">
        <v>36</v>
      </c>
      <c r="T243" s="18">
        <v>44805</v>
      </c>
      <c r="U243" s="20">
        <v>2</v>
      </c>
      <c r="V243" s="120">
        <v>2.7499999999999998E-3</v>
      </c>
      <c r="W243" s="69">
        <f t="shared" si="17"/>
        <v>0.12398265</v>
      </c>
      <c r="X243" s="106">
        <v>45.084600000000002</v>
      </c>
      <c r="Y243" s="72" t="str">
        <f t="shared" si="18"/>
        <v>AR_2021_2x LCoS_ML 2</v>
      </c>
      <c r="Z243" s="36" t="str">
        <f t="shared" si="19"/>
        <v>AR_2021_2x LCoS</v>
      </c>
    </row>
    <row r="244" spans="3:26">
      <c r="C244" s="17">
        <v>236</v>
      </c>
      <c r="D244" s="109" t="s">
        <v>129</v>
      </c>
      <c r="E244" s="20" t="s">
        <v>10</v>
      </c>
      <c r="F244" s="20" t="s">
        <v>179</v>
      </c>
      <c r="G244" s="21" t="s">
        <v>61</v>
      </c>
      <c r="H244" s="21" t="s">
        <v>62</v>
      </c>
      <c r="I244" s="19" t="s">
        <v>63</v>
      </c>
      <c r="J244" s="19" t="s">
        <v>31</v>
      </c>
      <c r="K244" s="21" t="s">
        <v>64</v>
      </c>
      <c r="L244" s="33" t="str">
        <f t="shared" si="15"/>
        <v>2x LBS</v>
      </c>
      <c r="M244" s="21" t="s">
        <v>36</v>
      </c>
      <c r="N244" s="21"/>
      <c r="O244" s="27"/>
      <c r="P244" s="20"/>
      <c r="Q244" s="20"/>
      <c r="R244" s="29">
        <f t="shared" si="16"/>
        <v>0</v>
      </c>
      <c r="S244" s="20" t="s">
        <v>36</v>
      </c>
      <c r="T244" s="18">
        <v>43770</v>
      </c>
      <c r="U244" s="20">
        <v>2</v>
      </c>
      <c r="V244" s="120">
        <v>3.3000000000000002E-2</v>
      </c>
      <c r="W244" s="69">
        <f t="shared" si="17"/>
        <v>3.4775664000000002</v>
      </c>
      <c r="X244" s="106">
        <v>105.38079999999999</v>
      </c>
      <c r="Y244" s="72" t="str">
        <f t="shared" si="18"/>
        <v>AR_2021_2x LBS_HoloLens 2</v>
      </c>
      <c r="Z244" s="36" t="str">
        <f t="shared" si="19"/>
        <v>AR_2021_2x LBS</v>
      </c>
    </row>
    <row r="245" spans="3:26">
      <c r="C245" s="17">
        <v>237</v>
      </c>
      <c r="D245" s="109" t="s">
        <v>129</v>
      </c>
      <c r="E245" s="20" t="s">
        <v>10</v>
      </c>
      <c r="F245" s="20" t="s">
        <v>179</v>
      </c>
      <c r="G245" s="21" t="s">
        <v>186</v>
      </c>
      <c r="H245" s="21" t="s">
        <v>187</v>
      </c>
      <c r="I245" s="19" t="s">
        <v>63</v>
      </c>
      <c r="J245" s="19" t="s">
        <v>27</v>
      </c>
      <c r="K245" s="21" t="s">
        <v>51</v>
      </c>
      <c r="L245" s="33" t="str">
        <f t="shared" si="15"/>
        <v>2x SiOLED</v>
      </c>
      <c r="M245" s="21" t="s">
        <v>145</v>
      </c>
      <c r="N245" s="21"/>
      <c r="O245" s="27">
        <v>0.71</v>
      </c>
      <c r="P245" s="20">
        <v>1920</v>
      </c>
      <c r="Q245" s="20">
        <v>1080</v>
      </c>
      <c r="R245" s="29">
        <f t="shared" si="16"/>
        <v>3102.6861550454905</v>
      </c>
      <c r="S245" s="20">
        <v>90</v>
      </c>
      <c r="T245" s="18">
        <v>44044</v>
      </c>
      <c r="U245" s="20">
        <v>2</v>
      </c>
      <c r="V245" s="120">
        <v>4.1250000000000002E-2</v>
      </c>
      <c r="W245" s="69">
        <f t="shared" si="17"/>
        <v>3.3454079999999999</v>
      </c>
      <c r="X245" s="106">
        <v>81.100799999999992</v>
      </c>
      <c r="Y245" s="72" t="str">
        <f t="shared" si="18"/>
        <v>AR_2021_2x SiOLED_Light</v>
      </c>
      <c r="Z245" s="36" t="str">
        <f t="shared" si="19"/>
        <v>AR_2021_2x SiOLED</v>
      </c>
    </row>
    <row r="246" spans="3:26">
      <c r="C246" s="17">
        <v>238</v>
      </c>
      <c r="D246" s="109" t="s">
        <v>129</v>
      </c>
      <c r="E246" s="20" t="s">
        <v>10</v>
      </c>
      <c r="F246" s="20" t="s">
        <v>179</v>
      </c>
      <c r="G246" s="21" t="s">
        <v>118</v>
      </c>
      <c r="H246" s="21" t="s">
        <v>119</v>
      </c>
      <c r="I246" s="19" t="s">
        <v>63</v>
      </c>
      <c r="J246" s="19" t="s">
        <v>27</v>
      </c>
      <c r="K246" s="21" t="s">
        <v>120</v>
      </c>
      <c r="L246" s="33" t="str">
        <f t="shared" si="15"/>
        <v>1x MicroLED</v>
      </c>
      <c r="M246" s="21" t="s">
        <v>144</v>
      </c>
      <c r="N246" s="21"/>
      <c r="O246" s="27">
        <v>0.13</v>
      </c>
      <c r="P246" s="20">
        <v>640</v>
      </c>
      <c r="Q246" s="20">
        <v>480</v>
      </c>
      <c r="R246" s="29">
        <f t="shared" si="16"/>
        <v>6153.8461538461534</v>
      </c>
      <c r="S246" s="20" t="s">
        <v>36</v>
      </c>
      <c r="T246" s="18">
        <v>44562</v>
      </c>
      <c r="U246" s="20">
        <v>1</v>
      </c>
      <c r="V246" s="120">
        <v>6.8799999999999992E-4</v>
      </c>
      <c r="W246" s="69">
        <f t="shared" si="17"/>
        <v>5.7752095999999989E-2</v>
      </c>
      <c r="X246" s="106">
        <v>83.941999999999993</v>
      </c>
      <c r="Y246" s="72" t="str">
        <f t="shared" si="18"/>
        <v>AR_2021_1x MicroLED_Air Glass</v>
      </c>
      <c r="Z246" s="36" t="str">
        <f t="shared" si="19"/>
        <v>AR_2021_1x MicroLED</v>
      </c>
    </row>
    <row r="247" spans="3:26">
      <c r="C247" s="17">
        <v>239</v>
      </c>
      <c r="D247" s="109" t="s">
        <v>129</v>
      </c>
      <c r="E247" s="20" t="s">
        <v>10</v>
      </c>
      <c r="F247" s="20" t="s">
        <v>179</v>
      </c>
      <c r="G247" s="21" t="s">
        <v>132</v>
      </c>
      <c r="H247" s="21" t="s">
        <v>133</v>
      </c>
      <c r="I247" s="19" t="s">
        <v>63</v>
      </c>
      <c r="J247" s="19" t="s">
        <v>27</v>
      </c>
      <c r="K247" s="21" t="s">
        <v>51</v>
      </c>
      <c r="L247" s="33" t="str">
        <f t="shared" si="15"/>
        <v>2x SiOLED</v>
      </c>
      <c r="M247" s="21" t="s">
        <v>116</v>
      </c>
      <c r="N247" s="21"/>
      <c r="O247" s="27">
        <v>0.49</v>
      </c>
      <c r="P247" s="20">
        <v>1920</v>
      </c>
      <c r="Q247" s="20">
        <v>1080</v>
      </c>
      <c r="R247" s="29">
        <f t="shared" si="16"/>
        <v>4495.7289185353029</v>
      </c>
      <c r="S247" s="20">
        <v>75</v>
      </c>
      <c r="T247" s="18">
        <v>44501</v>
      </c>
      <c r="U247" s="20">
        <v>2</v>
      </c>
      <c r="V247" s="120">
        <v>8.2500000000000004E-3</v>
      </c>
      <c r="W247" s="69">
        <f t="shared" si="17"/>
        <v>0.45375000000000004</v>
      </c>
      <c r="X247" s="106">
        <v>55</v>
      </c>
      <c r="Y247" s="72" t="str">
        <f t="shared" si="18"/>
        <v>AR_2021_2x SiOLED_Air</v>
      </c>
      <c r="Z247" s="36" t="str">
        <f t="shared" si="19"/>
        <v>AR_2021_2x SiOLED</v>
      </c>
    </row>
    <row r="248" spans="3:26">
      <c r="C248" s="17">
        <v>240</v>
      </c>
      <c r="D248" s="109" t="s">
        <v>129</v>
      </c>
      <c r="E248" s="20" t="s">
        <v>10</v>
      </c>
      <c r="F248" s="20" t="s">
        <v>179</v>
      </c>
      <c r="G248" s="21" t="s">
        <v>68</v>
      </c>
      <c r="H248" s="21" t="s">
        <v>69</v>
      </c>
      <c r="I248" s="19" t="s">
        <v>63</v>
      </c>
      <c r="J248" s="19" t="s">
        <v>31</v>
      </c>
      <c r="K248" s="21" t="s">
        <v>70</v>
      </c>
      <c r="L248" s="33" t="str">
        <f t="shared" si="15"/>
        <v>1x DLP</v>
      </c>
      <c r="M248" s="21" t="s">
        <v>172</v>
      </c>
      <c r="N248" s="21"/>
      <c r="O248" s="27"/>
      <c r="P248" s="20">
        <v>853</v>
      </c>
      <c r="Q248" s="20">
        <v>480</v>
      </c>
      <c r="R248" s="29">
        <f t="shared" si="16"/>
        <v>0</v>
      </c>
      <c r="S248" s="20" t="s">
        <v>36</v>
      </c>
      <c r="T248" s="18">
        <v>43466</v>
      </c>
      <c r="U248" s="20">
        <v>1</v>
      </c>
      <c r="V248" s="120">
        <v>6.8799999999999992E-4</v>
      </c>
      <c r="W248" s="69">
        <f t="shared" si="17"/>
        <v>5.5967630399999989E-2</v>
      </c>
      <c r="X248" s="106">
        <v>81.348299999999995</v>
      </c>
      <c r="Y248" s="72" t="str">
        <f t="shared" si="18"/>
        <v>AR_2021_1x DLP_Blade</v>
      </c>
      <c r="Z248" s="36" t="str">
        <f t="shared" si="19"/>
        <v>AR_2021_1x DLP</v>
      </c>
    </row>
    <row r="249" spans="3:26">
      <c r="C249" s="17">
        <v>241</v>
      </c>
      <c r="D249" s="109" t="s">
        <v>129</v>
      </c>
      <c r="E249" s="20" t="s">
        <v>10</v>
      </c>
      <c r="F249" s="20" t="s">
        <v>179</v>
      </c>
      <c r="G249" s="21" t="s">
        <v>97</v>
      </c>
      <c r="H249" s="21" t="s">
        <v>76</v>
      </c>
      <c r="I249" s="19" t="s">
        <v>63</v>
      </c>
      <c r="J249" s="19" t="s">
        <v>36</v>
      </c>
      <c r="K249" s="21" t="s">
        <v>70</v>
      </c>
      <c r="L249" s="33" t="str">
        <f t="shared" si="15"/>
        <v>1x DLP</v>
      </c>
      <c r="M249" s="21" t="s">
        <v>36</v>
      </c>
      <c r="N249" s="21"/>
      <c r="O249" s="27"/>
      <c r="P249" s="20"/>
      <c r="Q249" s="20"/>
      <c r="R249" s="29">
        <f t="shared" si="16"/>
        <v>0</v>
      </c>
      <c r="S249" s="20" t="s">
        <v>36</v>
      </c>
      <c r="T249" s="18" t="s">
        <v>143</v>
      </c>
      <c r="U249" s="20">
        <v>1</v>
      </c>
      <c r="V249" s="120">
        <v>2.7500000000000002E-4</v>
      </c>
      <c r="W249" s="69">
        <f t="shared" si="17"/>
        <v>2.2370782499999999E-2</v>
      </c>
      <c r="X249" s="106">
        <v>81.348299999999995</v>
      </c>
      <c r="Y249" s="72" t="str">
        <f t="shared" si="18"/>
        <v>AR_2021_1x DLP_DLP glasses</v>
      </c>
      <c r="Z249" s="36" t="str">
        <f t="shared" si="19"/>
        <v>AR_2021_1x DLP</v>
      </c>
    </row>
    <row r="250" spans="3:26">
      <c r="C250" s="17">
        <v>242</v>
      </c>
      <c r="D250" s="109" t="s">
        <v>129</v>
      </c>
      <c r="E250" s="20" t="s">
        <v>10</v>
      </c>
      <c r="F250" s="20" t="s">
        <v>179</v>
      </c>
      <c r="G250" s="21" t="s">
        <v>97</v>
      </c>
      <c r="H250" s="21" t="s">
        <v>80</v>
      </c>
      <c r="I250" s="19" t="s">
        <v>63</v>
      </c>
      <c r="J250" s="19" t="s">
        <v>36</v>
      </c>
      <c r="K250" s="21" t="s">
        <v>64</v>
      </c>
      <c r="L250" s="33" t="str">
        <f t="shared" si="15"/>
        <v>2x LBS</v>
      </c>
      <c r="M250" s="21" t="s">
        <v>36</v>
      </c>
      <c r="N250" s="21"/>
      <c r="O250" s="27"/>
      <c r="P250" s="20"/>
      <c r="Q250" s="20"/>
      <c r="R250" s="29">
        <f t="shared" si="16"/>
        <v>0</v>
      </c>
      <c r="S250" s="20" t="s">
        <v>36</v>
      </c>
      <c r="T250" s="18" t="s">
        <v>143</v>
      </c>
      <c r="U250" s="20">
        <v>2</v>
      </c>
      <c r="V250" s="120">
        <v>2.7500000000000002E-4</v>
      </c>
      <c r="W250" s="69">
        <f t="shared" si="17"/>
        <v>2.897972E-2</v>
      </c>
      <c r="X250" s="106">
        <v>105.38079999999999</v>
      </c>
      <c r="Y250" s="72" t="str">
        <f t="shared" si="18"/>
        <v>AR_2021_2x LBS_LBS glasses</v>
      </c>
      <c r="Z250" s="36" t="str">
        <f t="shared" si="19"/>
        <v>AR_2021_2x LBS</v>
      </c>
    </row>
    <row r="251" spans="3:26">
      <c r="C251" s="17">
        <v>243</v>
      </c>
      <c r="D251" s="109" t="s">
        <v>129</v>
      </c>
      <c r="E251" s="20" t="s">
        <v>10</v>
      </c>
      <c r="F251" s="20" t="s">
        <v>179</v>
      </c>
      <c r="G251" s="21" t="s">
        <v>97</v>
      </c>
      <c r="H251" s="21" t="s">
        <v>75</v>
      </c>
      <c r="I251" s="19" t="s">
        <v>63</v>
      </c>
      <c r="J251" s="19" t="s">
        <v>36</v>
      </c>
      <c r="K251" s="21" t="s">
        <v>67</v>
      </c>
      <c r="L251" s="33" t="str">
        <f t="shared" si="15"/>
        <v>2x LCoS</v>
      </c>
      <c r="M251" s="21" t="s">
        <v>36</v>
      </c>
      <c r="N251" s="21"/>
      <c r="O251" s="27"/>
      <c r="P251" s="20"/>
      <c r="Q251" s="20"/>
      <c r="R251" s="29">
        <f t="shared" si="16"/>
        <v>0</v>
      </c>
      <c r="S251" s="20" t="s">
        <v>36</v>
      </c>
      <c r="T251" s="18" t="s">
        <v>143</v>
      </c>
      <c r="U251" s="20">
        <v>2</v>
      </c>
      <c r="V251" s="120">
        <v>2.7499999999999998E-3</v>
      </c>
      <c r="W251" s="69">
        <f t="shared" si="17"/>
        <v>0.12398265</v>
      </c>
      <c r="X251" s="106">
        <v>45.084600000000002</v>
      </c>
      <c r="Y251" s="72" t="str">
        <f t="shared" si="18"/>
        <v>AR_2021_2x LCoS_LCoS glasses</v>
      </c>
      <c r="Z251" s="36" t="str">
        <f t="shared" si="19"/>
        <v>AR_2021_2x LCoS</v>
      </c>
    </row>
    <row r="252" spans="3:26">
      <c r="C252" s="17">
        <v>244</v>
      </c>
      <c r="D252" s="109" t="s">
        <v>129</v>
      </c>
      <c r="E252" s="20" t="s">
        <v>10</v>
      </c>
      <c r="F252" s="20" t="s">
        <v>179</v>
      </c>
      <c r="G252" s="21" t="s">
        <v>97</v>
      </c>
      <c r="H252" s="21" t="s">
        <v>79</v>
      </c>
      <c r="I252" s="19" t="s">
        <v>63</v>
      </c>
      <c r="J252" s="19" t="s">
        <v>36</v>
      </c>
      <c r="K252" s="21" t="s">
        <v>51</v>
      </c>
      <c r="L252" s="33" t="str">
        <f t="shared" si="15"/>
        <v>2x SiOLED</v>
      </c>
      <c r="M252" s="21" t="s">
        <v>36</v>
      </c>
      <c r="N252" s="21"/>
      <c r="O252" s="27"/>
      <c r="P252" s="20"/>
      <c r="Q252" s="20"/>
      <c r="R252" s="29">
        <f t="shared" si="16"/>
        <v>0</v>
      </c>
      <c r="S252" s="20" t="s">
        <v>36</v>
      </c>
      <c r="T252" s="18" t="s">
        <v>143</v>
      </c>
      <c r="U252" s="20">
        <v>2</v>
      </c>
      <c r="V252" s="120">
        <v>2.2000000000000001E-3</v>
      </c>
      <c r="W252" s="69">
        <f t="shared" si="17"/>
        <v>0.17842175999999998</v>
      </c>
      <c r="X252" s="106">
        <v>81.100799999999992</v>
      </c>
      <c r="Y252" s="72" t="str">
        <f t="shared" si="18"/>
        <v>AR_2021_2x SiOLED_SiOLED glasses</v>
      </c>
      <c r="Z252" s="36" t="str">
        <f t="shared" si="19"/>
        <v>AR_2021_2x SiOLED</v>
      </c>
    </row>
    <row r="253" spans="3:26">
      <c r="C253" s="17">
        <v>245</v>
      </c>
      <c r="D253" s="109" t="s">
        <v>26</v>
      </c>
      <c r="E253" s="20" t="s">
        <v>10</v>
      </c>
      <c r="F253" s="20" t="s">
        <v>182</v>
      </c>
      <c r="G253" s="21" t="s">
        <v>106</v>
      </c>
      <c r="H253" s="21" t="s">
        <v>107</v>
      </c>
      <c r="I253" s="19" t="s">
        <v>26</v>
      </c>
      <c r="J253" s="19" t="s">
        <v>31</v>
      </c>
      <c r="K253" s="21" t="s">
        <v>15</v>
      </c>
      <c r="L253" s="33" t="str">
        <f t="shared" si="15"/>
        <v>1x LCD</v>
      </c>
      <c r="M253" s="21" t="s">
        <v>36</v>
      </c>
      <c r="N253" s="21" t="s">
        <v>143</v>
      </c>
      <c r="O253" s="27"/>
      <c r="P253" s="20"/>
      <c r="Q253" s="20"/>
      <c r="R253" s="29">
        <f t="shared" si="16"/>
        <v>0</v>
      </c>
      <c r="S253" s="20" t="s">
        <v>36</v>
      </c>
      <c r="T253" s="18">
        <v>43770</v>
      </c>
      <c r="U253" s="20">
        <v>1</v>
      </c>
      <c r="V253" s="120">
        <v>0.13750000000000001</v>
      </c>
      <c r="W253" s="69">
        <f t="shared" si="17"/>
        <v>7.9233000000000002</v>
      </c>
      <c r="X253" s="106">
        <v>57.623999999999995</v>
      </c>
      <c r="Y253" s="72" t="str">
        <f t="shared" si="18"/>
        <v>VR_2021_1x LCD_P1 family</v>
      </c>
      <c r="Z253" s="36" t="str">
        <f t="shared" si="19"/>
        <v>VR_2021_1x LCD</v>
      </c>
    </row>
    <row r="254" spans="3:26">
      <c r="C254" s="17">
        <v>246</v>
      </c>
      <c r="D254" s="109" t="s">
        <v>26</v>
      </c>
      <c r="E254" s="20" t="s">
        <v>10</v>
      </c>
      <c r="F254" s="20" t="s">
        <v>182</v>
      </c>
      <c r="G254" s="21" t="s">
        <v>34</v>
      </c>
      <c r="H254" s="21" t="s">
        <v>37</v>
      </c>
      <c r="I254" s="19" t="s">
        <v>26</v>
      </c>
      <c r="J254" s="19" t="s">
        <v>27</v>
      </c>
      <c r="K254" s="21" t="s">
        <v>15</v>
      </c>
      <c r="L254" s="33" t="str">
        <f t="shared" si="15"/>
        <v>2x LCD</v>
      </c>
      <c r="M254" s="21" t="s">
        <v>36</v>
      </c>
      <c r="N254" s="21" t="s">
        <v>143</v>
      </c>
      <c r="O254" s="27">
        <v>2.89</v>
      </c>
      <c r="P254" s="20">
        <v>2160</v>
      </c>
      <c r="Q254" s="20">
        <v>2160</v>
      </c>
      <c r="R254" s="29">
        <f t="shared" si="16"/>
        <v>1056.990067379199</v>
      </c>
      <c r="S254" s="20">
        <v>90</v>
      </c>
      <c r="T254" s="18">
        <v>44136</v>
      </c>
      <c r="U254" s="20">
        <v>2</v>
      </c>
      <c r="V254" s="120">
        <v>2.7499999999999998E-3</v>
      </c>
      <c r="W254" s="69">
        <f t="shared" si="17"/>
        <v>0.105644</v>
      </c>
      <c r="X254" s="106">
        <v>38.416000000000004</v>
      </c>
      <c r="Y254" s="72" t="str">
        <f t="shared" si="18"/>
        <v>VR_2021_2x LCD_Reverb G2</v>
      </c>
      <c r="Z254" s="36" t="str">
        <f t="shared" si="19"/>
        <v>VR_2021_2x LCD</v>
      </c>
    </row>
    <row r="255" spans="3:26">
      <c r="C255" s="17">
        <v>247</v>
      </c>
      <c r="D255" s="109" t="s">
        <v>26</v>
      </c>
      <c r="E255" s="20" t="s">
        <v>10</v>
      </c>
      <c r="F255" s="20" t="s">
        <v>182</v>
      </c>
      <c r="G255" s="21" t="s">
        <v>41</v>
      </c>
      <c r="H255" s="21" t="s">
        <v>178</v>
      </c>
      <c r="I255" s="19" t="s">
        <v>26</v>
      </c>
      <c r="J255" s="19" t="s">
        <v>31</v>
      </c>
      <c r="K255" s="21" t="s">
        <v>15</v>
      </c>
      <c r="L255" s="33" t="str">
        <f t="shared" si="15"/>
        <v>2x LCD</v>
      </c>
      <c r="M255" s="21" t="s">
        <v>2</v>
      </c>
      <c r="N255" s="21" t="s">
        <v>143</v>
      </c>
      <c r="O255" s="27"/>
      <c r="P255" s="20"/>
      <c r="Q255" s="20"/>
      <c r="R255" s="29">
        <f t="shared" si="16"/>
        <v>0</v>
      </c>
      <c r="S255" s="20" t="s">
        <v>36</v>
      </c>
      <c r="T255" s="18">
        <v>43739</v>
      </c>
      <c r="U255" s="20">
        <v>2</v>
      </c>
      <c r="V255" s="120">
        <v>1.6500000000000001E-2</v>
      </c>
      <c r="W255" s="69">
        <f t="shared" si="17"/>
        <v>0.63386400000000009</v>
      </c>
      <c r="X255" s="106">
        <v>38.416000000000004</v>
      </c>
      <c r="Y255" s="72" t="str">
        <f t="shared" si="18"/>
        <v>VR_2021_2x LCD_Vive LCD headsets</v>
      </c>
      <c r="Z255" s="36" t="str">
        <f t="shared" si="19"/>
        <v>VR_2021_2x LCD</v>
      </c>
    </row>
    <row r="256" spans="3:26">
      <c r="C256" s="17">
        <v>248</v>
      </c>
      <c r="D256" s="109" t="s">
        <v>26</v>
      </c>
      <c r="E256" s="20" t="s">
        <v>10</v>
      </c>
      <c r="F256" s="20" t="s">
        <v>182</v>
      </c>
      <c r="G256" s="21" t="s">
        <v>112</v>
      </c>
      <c r="H256" s="21" t="s">
        <v>32</v>
      </c>
      <c r="I256" s="19" t="s">
        <v>26</v>
      </c>
      <c r="J256" s="19" t="s">
        <v>31</v>
      </c>
      <c r="K256" s="21" t="s">
        <v>15</v>
      </c>
      <c r="L256" s="33" t="str">
        <f t="shared" si="15"/>
        <v>1x LCD</v>
      </c>
      <c r="M256" s="21" t="s">
        <v>2</v>
      </c>
      <c r="N256" s="21" t="s">
        <v>166</v>
      </c>
      <c r="O256" s="27">
        <v>5.5</v>
      </c>
      <c r="P256" s="20">
        <v>3840</v>
      </c>
      <c r="Q256" s="20">
        <v>1832</v>
      </c>
      <c r="R256" s="29">
        <f t="shared" si="16"/>
        <v>773.56797048396322</v>
      </c>
      <c r="S256" s="20">
        <v>90</v>
      </c>
      <c r="T256" s="18">
        <v>44105</v>
      </c>
      <c r="U256" s="20">
        <v>1</v>
      </c>
      <c r="V256" s="120">
        <v>2.1175000000000002</v>
      </c>
      <c r="W256" s="69">
        <f t="shared" si="17"/>
        <v>122.01882000000001</v>
      </c>
      <c r="X256" s="106">
        <v>57.623999999999995</v>
      </c>
      <c r="Y256" s="72" t="str">
        <f t="shared" si="18"/>
        <v>VR_2021_1x LCD_Quest 2</v>
      </c>
      <c r="Z256" s="36" t="str">
        <f t="shared" si="19"/>
        <v>VR_2021_1x LCD</v>
      </c>
    </row>
    <row r="257" spans="3:26">
      <c r="C257" s="17">
        <v>249</v>
      </c>
      <c r="D257" s="109" t="s">
        <v>26</v>
      </c>
      <c r="E257" s="20" t="s">
        <v>10</v>
      </c>
      <c r="F257" s="20" t="s">
        <v>182</v>
      </c>
      <c r="G257" s="21" t="s">
        <v>110</v>
      </c>
      <c r="H257" s="21" t="s">
        <v>162</v>
      </c>
      <c r="I257" s="19" t="s">
        <v>26</v>
      </c>
      <c r="J257" s="19" t="s">
        <v>31</v>
      </c>
      <c r="K257" s="21" t="s">
        <v>15</v>
      </c>
      <c r="L257" s="33" t="str">
        <f t="shared" si="15"/>
        <v>1x LCD</v>
      </c>
      <c r="M257" s="21" t="s">
        <v>2</v>
      </c>
      <c r="N257" s="21" t="s">
        <v>146</v>
      </c>
      <c r="O257" s="27">
        <v>5.5</v>
      </c>
      <c r="P257" s="20">
        <v>3840</v>
      </c>
      <c r="Q257" s="20">
        <v>1832</v>
      </c>
      <c r="R257" s="29">
        <f t="shared" si="16"/>
        <v>773.56797048396322</v>
      </c>
      <c r="S257" s="20">
        <v>90</v>
      </c>
      <c r="T257" s="18">
        <v>44317</v>
      </c>
      <c r="U257" s="20">
        <v>1</v>
      </c>
      <c r="V257" s="120">
        <v>8.6624999999999994E-2</v>
      </c>
      <c r="W257" s="69">
        <f t="shared" si="17"/>
        <v>4.9916789999999995</v>
      </c>
      <c r="X257" s="106">
        <v>57.623999999999995</v>
      </c>
      <c r="Y257" s="72" t="str">
        <f t="shared" si="18"/>
        <v>VR_2021_1x LCD_Neo 3 / G3</v>
      </c>
      <c r="Z257" s="36" t="str">
        <f t="shared" si="19"/>
        <v>VR_2021_1x LCD</v>
      </c>
    </row>
    <row r="258" spans="3:26">
      <c r="C258" s="17">
        <v>250</v>
      </c>
      <c r="D258" s="109" t="s">
        <v>26</v>
      </c>
      <c r="E258" s="20" t="s">
        <v>10</v>
      </c>
      <c r="F258" s="20" t="s">
        <v>182</v>
      </c>
      <c r="G258" s="21" t="s">
        <v>108</v>
      </c>
      <c r="H258" s="21" t="s">
        <v>109</v>
      </c>
      <c r="I258" s="19" t="s">
        <v>26</v>
      </c>
      <c r="J258" s="19" t="s">
        <v>27</v>
      </c>
      <c r="K258" s="21" t="s">
        <v>15</v>
      </c>
      <c r="L258" s="33" t="str">
        <f t="shared" si="15"/>
        <v>2x LCD</v>
      </c>
      <c r="M258" s="21" t="s">
        <v>145</v>
      </c>
      <c r="N258" s="21" t="s">
        <v>146</v>
      </c>
      <c r="O258" s="27"/>
      <c r="P258" s="20"/>
      <c r="Q258" s="20"/>
      <c r="R258" s="29">
        <f t="shared" si="16"/>
        <v>0</v>
      </c>
      <c r="S258" s="20" t="s">
        <v>36</v>
      </c>
      <c r="T258" s="18" t="s">
        <v>143</v>
      </c>
      <c r="U258" s="20">
        <v>2</v>
      </c>
      <c r="V258" s="120">
        <v>1.925E-2</v>
      </c>
      <c r="W258" s="69">
        <f t="shared" si="17"/>
        <v>0.73950800000000005</v>
      </c>
      <c r="X258" s="106">
        <v>38.416000000000004</v>
      </c>
      <c r="Y258" s="72" t="str">
        <f t="shared" si="18"/>
        <v>VR_2021_2x LCD_Pimax VR</v>
      </c>
      <c r="Z258" s="36" t="str">
        <f t="shared" si="19"/>
        <v>VR_2021_2x LCD</v>
      </c>
    </row>
    <row r="259" spans="3:26">
      <c r="C259" s="17">
        <v>251</v>
      </c>
      <c r="D259" s="109" t="s">
        <v>26</v>
      </c>
      <c r="E259" s="20" t="s">
        <v>10</v>
      </c>
      <c r="F259" s="20" t="s">
        <v>182</v>
      </c>
      <c r="G259" s="21" t="s">
        <v>97</v>
      </c>
      <c r="H259" s="21" t="s">
        <v>111</v>
      </c>
      <c r="I259" s="19" t="s">
        <v>26</v>
      </c>
      <c r="J259" s="19" t="s">
        <v>36</v>
      </c>
      <c r="K259" s="21" t="s">
        <v>15</v>
      </c>
      <c r="L259" s="33" t="str">
        <f t="shared" si="15"/>
        <v>2x LCD</v>
      </c>
      <c r="M259" s="21" t="s">
        <v>36</v>
      </c>
      <c r="N259" s="21" t="s">
        <v>143</v>
      </c>
      <c r="O259" s="27"/>
      <c r="P259" s="20"/>
      <c r="Q259" s="20"/>
      <c r="R259" s="29">
        <f t="shared" si="16"/>
        <v>0</v>
      </c>
      <c r="S259" s="20" t="s">
        <v>36</v>
      </c>
      <c r="T259" s="18" t="s">
        <v>143</v>
      </c>
      <c r="U259" s="20">
        <v>2</v>
      </c>
      <c r="V259" s="120">
        <v>2.1999999999999999E-2</v>
      </c>
      <c r="W259" s="69">
        <f t="shared" si="17"/>
        <v>0.84515200000000001</v>
      </c>
      <c r="X259" s="106">
        <v>38.416000000000004</v>
      </c>
      <c r="Y259" s="72" t="str">
        <f t="shared" si="18"/>
        <v>VR_2021_2x LCD_Dual LCD VR headset</v>
      </c>
      <c r="Z259" s="36" t="str">
        <f t="shared" si="19"/>
        <v>VR_2021_2x LCD</v>
      </c>
    </row>
    <row r="260" spans="3:26">
      <c r="C260" s="17">
        <v>252</v>
      </c>
      <c r="D260" s="109" t="s">
        <v>26</v>
      </c>
      <c r="E260" s="20" t="s">
        <v>10</v>
      </c>
      <c r="F260" s="20" t="s">
        <v>182</v>
      </c>
      <c r="G260" s="21" t="s">
        <v>97</v>
      </c>
      <c r="H260" s="21" t="s">
        <v>161</v>
      </c>
      <c r="I260" s="19" t="s">
        <v>26</v>
      </c>
      <c r="J260" s="19" t="s">
        <v>36</v>
      </c>
      <c r="K260" s="21" t="s">
        <v>15</v>
      </c>
      <c r="L260" s="33" t="str">
        <f t="shared" si="15"/>
        <v>1x LCD</v>
      </c>
      <c r="M260" s="21" t="s">
        <v>36</v>
      </c>
      <c r="N260" s="21" t="s">
        <v>143</v>
      </c>
      <c r="O260" s="27"/>
      <c r="P260" s="20"/>
      <c r="Q260" s="20"/>
      <c r="R260" s="29">
        <f t="shared" si="16"/>
        <v>0</v>
      </c>
      <c r="S260" s="20" t="s">
        <v>36</v>
      </c>
      <c r="T260" s="18" t="s">
        <v>143</v>
      </c>
      <c r="U260" s="20">
        <v>1</v>
      </c>
      <c r="V260" s="120">
        <v>3.3000000000000002E-2</v>
      </c>
      <c r="W260" s="69">
        <f t="shared" si="17"/>
        <v>1.9015919999999999</v>
      </c>
      <c r="X260" s="106">
        <v>57.623999999999995</v>
      </c>
      <c r="Y260" s="72" t="str">
        <f t="shared" si="18"/>
        <v>VR_2021_1x LCD_Single LCD VR headset</v>
      </c>
      <c r="Z260" s="36" t="str">
        <f t="shared" si="19"/>
        <v>VR_2021_1x LCD</v>
      </c>
    </row>
    <row r="261" spans="3:26">
      <c r="C261" s="17">
        <v>253</v>
      </c>
      <c r="D261" s="109" t="s">
        <v>26</v>
      </c>
      <c r="E261" s="20" t="s">
        <v>10</v>
      </c>
      <c r="F261" s="20" t="s">
        <v>182</v>
      </c>
      <c r="G261" s="21" t="s">
        <v>38</v>
      </c>
      <c r="H261" s="21" t="s">
        <v>39</v>
      </c>
      <c r="I261" s="19" t="s">
        <v>26</v>
      </c>
      <c r="J261" s="19" t="s">
        <v>27</v>
      </c>
      <c r="K261" s="21" t="s">
        <v>15</v>
      </c>
      <c r="L261" s="33" t="str">
        <f t="shared" si="15"/>
        <v>2x LCD</v>
      </c>
      <c r="M261" s="21" t="s">
        <v>40</v>
      </c>
      <c r="N261" s="21" t="s">
        <v>143</v>
      </c>
      <c r="O261" s="27">
        <v>3.5</v>
      </c>
      <c r="P261" s="20">
        <v>1440</v>
      </c>
      <c r="Q261" s="20">
        <v>1600</v>
      </c>
      <c r="R261" s="29">
        <f t="shared" si="16"/>
        <v>615.02281358051255</v>
      </c>
      <c r="S261" s="20">
        <v>144</v>
      </c>
      <c r="T261" s="18">
        <v>43586</v>
      </c>
      <c r="U261" s="20">
        <v>2</v>
      </c>
      <c r="V261" s="120">
        <v>5.4999999999999997E-3</v>
      </c>
      <c r="W261" s="69">
        <f t="shared" si="17"/>
        <v>0.211288</v>
      </c>
      <c r="X261" s="106">
        <v>38.416000000000004</v>
      </c>
      <c r="Y261" s="72" t="str">
        <f t="shared" si="18"/>
        <v>VR_2021_2x LCD_Index</v>
      </c>
      <c r="Z261" s="36" t="str">
        <f t="shared" si="19"/>
        <v>VR_2021_2x LCD</v>
      </c>
    </row>
    <row r="262" spans="3:26">
      <c r="C262" s="17">
        <v>254</v>
      </c>
      <c r="D262" s="109" t="s">
        <v>129</v>
      </c>
      <c r="E262" s="20" t="s">
        <v>10</v>
      </c>
      <c r="F262" s="20" t="s">
        <v>182</v>
      </c>
      <c r="G262" s="21" t="s">
        <v>73</v>
      </c>
      <c r="H262" s="21" t="s">
        <v>74</v>
      </c>
      <c r="I262" s="19" t="s">
        <v>63</v>
      </c>
      <c r="J262" s="19" t="s">
        <v>31</v>
      </c>
      <c r="K262" s="21" t="s">
        <v>51</v>
      </c>
      <c r="L262" s="33" t="str">
        <f t="shared" si="15"/>
        <v>2x SiOLED</v>
      </c>
      <c r="M262" s="21" t="s">
        <v>73</v>
      </c>
      <c r="N262" s="21"/>
      <c r="O262" s="27">
        <v>0.43</v>
      </c>
      <c r="P262" s="20">
        <v>1280</v>
      </c>
      <c r="Q262" s="20">
        <v>720</v>
      </c>
      <c r="R262" s="29">
        <f t="shared" si="16"/>
        <v>3415.3599536159668</v>
      </c>
      <c r="S262" s="20" t="s">
        <v>36</v>
      </c>
      <c r="T262" s="18">
        <v>42401</v>
      </c>
      <c r="U262" s="20">
        <v>2</v>
      </c>
      <c r="V262" s="120">
        <v>3.3000000000000002E-2</v>
      </c>
      <c r="W262" s="69">
        <f t="shared" si="17"/>
        <v>2.6763263999999998</v>
      </c>
      <c r="X262" s="106">
        <v>81.100799999999992</v>
      </c>
      <c r="Y262" s="72" t="str">
        <f t="shared" si="18"/>
        <v>AR_2021_2x SiOLED_Moverio</v>
      </c>
      <c r="Z262" s="36" t="str">
        <f t="shared" si="19"/>
        <v>AR_2021_2x SiOLED</v>
      </c>
    </row>
    <row r="263" spans="3:26">
      <c r="C263" s="17">
        <v>255</v>
      </c>
      <c r="D263" s="109" t="s">
        <v>129</v>
      </c>
      <c r="E263" s="20" t="s">
        <v>10</v>
      </c>
      <c r="F263" s="20" t="s">
        <v>182</v>
      </c>
      <c r="G263" s="21" t="s">
        <v>71</v>
      </c>
      <c r="H263" s="21" t="s">
        <v>130</v>
      </c>
      <c r="I263" s="19" t="s">
        <v>63</v>
      </c>
      <c r="J263" s="19" t="s">
        <v>31</v>
      </c>
      <c r="K263" s="21" t="s">
        <v>168</v>
      </c>
      <c r="L263" s="33" t="str">
        <f t="shared" si="15"/>
        <v>1x Micro LCD</v>
      </c>
      <c r="M263" s="21" t="s">
        <v>72</v>
      </c>
      <c r="N263" s="21"/>
      <c r="O263" s="27"/>
      <c r="P263" s="20">
        <v>640</v>
      </c>
      <c r="Q263" s="20">
        <v>360</v>
      </c>
      <c r="R263" s="29">
        <f t="shared" si="16"/>
        <v>0</v>
      </c>
      <c r="S263" s="20" t="s">
        <v>36</v>
      </c>
      <c r="T263" s="18">
        <v>43586</v>
      </c>
      <c r="U263" s="20">
        <v>1</v>
      </c>
      <c r="V263" s="120">
        <v>6.875E-3</v>
      </c>
      <c r="W263" s="69">
        <f t="shared" si="17"/>
        <v>0.28300387500000002</v>
      </c>
      <c r="X263" s="106">
        <v>41.164200000000001</v>
      </c>
      <c r="Y263" s="72" t="str">
        <f t="shared" si="18"/>
        <v>AR_2021_1x Micro LCD_Glass</v>
      </c>
      <c r="Z263" s="36" t="str">
        <f t="shared" si="19"/>
        <v>AR_2021_1x Micro LCD</v>
      </c>
    </row>
    <row r="264" spans="3:26">
      <c r="C264" s="17">
        <v>256</v>
      </c>
      <c r="D264" s="109" t="s">
        <v>129</v>
      </c>
      <c r="E264" s="20" t="s">
        <v>10</v>
      </c>
      <c r="F264" s="20" t="s">
        <v>182</v>
      </c>
      <c r="G264" s="21" t="s">
        <v>77</v>
      </c>
      <c r="H264" s="21" t="s">
        <v>131</v>
      </c>
      <c r="I264" s="19" t="s">
        <v>63</v>
      </c>
      <c r="J264" s="19" t="s">
        <v>27</v>
      </c>
      <c r="K264" s="21" t="s">
        <v>51</v>
      </c>
      <c r="L264" s="33" t="str">
        <f t="shared" si="15"/>
        <v>2x SiOLED</v>
      </c>
      <c r="M264" s="21" t="s">
        <v>116</v>
      </c>
      <c r="N264" s="21"/>
      <c r="O264" s="27">
        <v>0.49</v>
      </c>
      <c r="P264" s="20">
        <v>1920</v>
      </c>
      <c r="Q264" s="20">
        <v>1080</v>
      </c>
      <c r="R264" s="29">
        <f t="shared" si="16"/>
        <v>4495.7289185353029</v>
      </c>
      <c r="S264" s="20">
        <v>60</v>
      </c>
      <c r="T264" s="18">
        <v>44866</v>
      </c>
      <c r="U264" s="20">
        <v>2</v>
      </c>
      <c r="V264" s="120">
        <v>2.7499999999999998E-3</v>
      </c>
      <c r="W264" s="69">
        <f t="shared" si="17"/>
        <v>0.15125</v>
      </c>
      <c r="X264" s="106">
        <v>55</v>
      </c>
      <c r="Y264" s="72" t="str">
        <f t="shared" si="18"/>
        <v>AR_2021_2x SiOLED_T1</v>
      </c>
      <c r="Z264" s="36" t="str">
        <f t="shared" si="19"/>
        <v>AR_2021_2x SiOLED</v>
      </c>
    </row>
    <row r="265" spans="3:26">
      <c r="C265" s="17">
        <v>257</v>
      </c>
      <c r="D265" s="109" t="s">
        <v>129</v>
      </c>
      <c r="E265" s="20" t="s">
        <v>10</v>
      </c>
      <c r="F265" s="20" t="s">
        <v>182</v>
      </c>
      <c r="G265" s="21" t="s">
        <v>77</v>
      </c>
      <c r="H265" s="21" t="s">
        <v>78</v>
      </c>
      <c r="I265" s="19" t="s">
        <v>63</v>
      </c>
      <c r="J265" s="19" t="s">
        <v>27</v>
      </c>
      <c r="K265" s="21" t="s">
        <v>51</v>
      </c>
      <c r="L265" s="33" t="str">
        <f t="shared" ref="L265:L328" si="20">IF(U265=0, "", U265&amp;"x "&amp;K265)</f>
        <v>2x SiOLED</v>
      </c>
      <c r="M265" s="21" t="s">
        <v>6</v>
      </c>
      <c r="N265" s="21"/>
      <c r="O265" s="27">
        <v>0.71</v>
      </c>
      <c r="P265" s="20">
        <v>1920</v>
      </c>
      <c r="Q265" s="20">
        <v>1080</v>
      </c>
      <c r="R265" s="29">
        <f t="shared" ref="R265:R328" si="21">IF(O265=0, 0, SQRT(Q265^2+P265^2)/O265)</f>
        <v>3102.6861550454905</v>
      </c>
      <c r="S265" s="20" t="s">
        <v>36</v>
      </c>
      <c r="T265" s="18">
        <v>44348</v>
      </c>
      <c r="U265" s="20">
        <v>2</v>
      </c>
      <c r="V265" s="120">
        <v>9.6249999999999999E-3</v>
      </c>
      <c r="W265" s="69">
        <f t="shared" ref="W265:W328" si="22">V265*X265</f>
        <v>0.78059519999999993</v>
      </c>
      <c r="X265" s="106">
        <v>81.100799999999992</v>
      </c>
      <c r="Y265" s="72" t="str">
        <f t="shared" ref="Y265:Y328" si="23">D265&amp;"_"&amp;E265&amp;"_"&amp;L265&amp;"_"&amp;H265</f>
        <v>AR_2021_2x SiOLED_ThinkReality A3</v>
      </c>
      <c r="Z265" s="36" t="str">
        <f t="shared" ref="Z265:Z328" si="24">D265&amp;"_"&amp;E265&amp;"_"&amp;L265</f>
        <v>AR_2021_2x SiOLED</v>
      </c>
    </row>
    <row r="266" spans="3:26">
      <c r="C266" s="17">
        <v>258</v>
      </c>
      <c r="D266" s="109" t="s">
        <v>129</v>
      </c>
      <c r="E266" s="20" t="s">
        <v>10</v>
      </c>
      <c r="F266" s="20" t="s">
        <v>182</v>
      </c>
      <c r="G266" s="21" t="s">
        <v>65</v>
      </c>
      <c r="H266" s="21" t="s">
        <v>117</v>
      </c>
      <c r="I266" s="19" t="s">
        <v>63</v>
      </c>
      <c r="J266" s="19" t="s">
        <v>31</v>
      </c>
      <c r="K266" s="21" t="s">
        <v>67</v>
      </c>
      <c r="L266" s="33" t="str">
        <f t="shared" si="20"/>
        <v>2x LCoS</v>
      </c>
      <c r="M266" s="21" t="s">
        <v>36</v>
      </c>
      <c r="N266" s="21"/>
      <c r="O266" s="27"/>
      <c r="P266" s="20">
        <v>1440</v>
      </c>
      <c r="Q266" s="20">
        <v>1760</v>
      </c>
      <c r="R266" s="29">
        <f t="shared" si="21"/>
        <v>0</v>
      </c>
      <c r="S266" s="20" t="s">
        <v>36</v>
      </c>
      <c r="T266" s="18">
        <v>44805</v>
      </c>
      <c r="U266" s="20">
        <v>2</v>
      </c>
      <c r="V266" s="120">
        <v>2.7499999999999998E-3</v>
      </c>
      <c r="W266" s="69">
        <f t="shared" si="22"/>
        <v>0.12398265</v>
      </c>
      <c r="X266" s="106">
        <v>45.084600000000002</v>
      </c>
      <c r="Y266" s="72" t="str">
        <f t="shared" si="23"/>
        <v>AR_2021_2x LCoS_ML 2</v>
      </c>
      <c r="Z266" s="36" t="str">
        <f t="shared" si="24"/>
        <v>AR_2021_2x LCoS</v>
      </c>
    </row>
    <row r="267" spans="3:26">
      <c r="C267" s="17">
        <v>259</v>
      </c>
      <c r="D267" s="109" t="s">
        <v>129</v>
      </c>
      <c r="E267" s="20" t="s">
        <v>10</v>
      </c>
      <c r="F267" s="20" t="s">
        <v>182</v>
      </c>
      <c r="G267" s="21" t="s">
        <v>61</v>
      </c>
      <c r="H267" s="21" t="s">
        <v>62</v>
      </c>
      <c r="I267" s="19" t="s">
        <v>63</v>
      </c>
      <c r="J267" s="19" t="s">
        <v>31</v>
      </c>
      <c r="K267" s="21" t="s">
        <v>64</v>
      </c>
      <c r="L267" s="33" t="str">
        <f t="shared" si="20"/>
        <v>2x LBS</v>
      </c>
      <c r="M267" s="21" t="s">
        <v>36</v>
      </c>
      <c r="N267" s="21"/>
      <c r="O267" s="27"/>
      <c r="P267" s="20"/>
      <c r="Q267" s="20"/>
      <c r="R267" s="29">
        <f t="shared" si="21"/>
        <v>0</v>
      </c>
      <c r="S267" s="20" t="s">
        <v>36</v>
      </c>
      <c r="T267" s="18">
        <v>43770</v>
      </c>
      <c r="U267" s="20">
        <v>2</v>
      </c>
      <c r="V267" s="120">
        <v>3.3000000000000002E-2</v>
      </c>
      <c r="W267" s="69">
        <f t="shared" si="22"/>
        <v>3.4775664000000002</v>
      </c>
      <c r="X267" s="106">
        <v>105.38079999999999</v>
      </c>
      <c r="Y267" s="72" t="str">
        <f t="shared" si="23"/>
        <v>AR_2021_2x LBS_HoloLens 2</v>
      </c>
      <c r="Z267" s="36" t="str">
        <f t="shared" si="24"/>
        <v>AR_2021_2x LBS</v>
      </c>
    </row>
    <row r="268" spans="3:26">
      <c r="C268" s="17">
        <v>260</v>
      </c>
      <c r="D268" s="109" t="s">
        <v>129</v>
      </c>
      <c r="E268" s="20" t="s">
        <v>10</v>
      </c>
      <c r="F268" s="20" t="s">
        <v>182</v>
      </c>
      <c r="G268" s="21" t="s">
        <v>186</v>
      </c>
      <c r="H268" s="21" t="s">
        <v>187</v>
      </c>
      <c r="I268" s="19" t="s">
        <v>63</v>
      </c>
      <c r="J268" s="19" t="s">
        <v>27</v>
      </c>
      <c r="K268" s="21" t="s">
        <v>51</v>
      </c>
      <c r="L268" s="33" t="str">
        <f t="shared" si="20"/>
        <v>2x SiOLED</v>
      </c>
      <c r="M268" s="21" t="s">
        <v>145</v>
      </c>
      <c r="N268" s="21"/>
      <c r="O268" s="27">
        <v>0.71</v>
      </c>
      <c r="P268" s="20">
        <v>1920</v>
      </c>
      <c r="Q268" s="20">
        <v>1080</v>
      </c>
      <c r="R268" s="29">
        <f t="shared" si="21"/>
        <v>3102.6861550454905</v>
      </c>
      <c r="S268" s="20">
        <v>90</v>
      </c>
      <c r="T268" s="18">
        <v>44044</v>
      </c>
      <c r="U268" s="20">
        <v>2</v>
      </c>
      <c r="V268" s="120">
        <v>4.1250000000000002E-2</v>
      </c>
      <c r="W268" s="69">
        <f t="shared" si="22"/>
        <v>3.3454079999999999</v>
      </c>
      <c r="X268" s="106">
        <v>81.100799999999992</v>
      </c>
      <c r="Y268" s="72" t="str">
        <f t="shared" si="23"/>
        <v>AR_2021_2x SiOLED_Light</v>
      </c>
      <c r="Z268" s="36" t="str">
        <f t="shared" si="24"/>
        <v>AR_2021_2x SiOLED</v>
      </c>
    </row>
    <row r="269" spans="3:26">
      <c r="C269" s="17">
        <v>261</v>
      </c>
      <c r="D269" s="109" t="s">
        <v>129</v>
      </c>
      <c r="E269" s="20" t="s">
        <v>10</v>
      </c>
      <c r="F269" s="20" t="s">
        <v>182</v>
      </c>
      <c r="G269" s="21" t="s">
        <v>118</v>
      </c>
      <c r="H269" s="21" t="s">
        <v>119</v>
      </c>
      <c r="I269" s="19" t="s">
        <v>63</v>
      </c>
      <c r="J269" s="19" t="s">
        <v>27</v>
      </c>
      <c r="K269" s="21" t="s">
        <v>120</v>
      </c>
      <c r="L269" s="33" t="str">
        <f t="shared" si="20"/>
        <v>1x MicroLED</v>
      </c>
      <c r="M269" s="21" t="s">
        <v>144</v>
      </c>
      <c r="N269" s="21"/>
      <c r="O269" s="27">
        <v>0.13</v>
      </c>
      <c r="P269" s="20">
        <v>640</v>
      </c>
      <c r="Q269" s="20">
        <v>480</v>
      </c>
      <c r="R269" s="29">
        <f t="shared" si="21"/>
        <v>6153.8461538461534</v>
      </c>
      <c r="S269" s="20" t="s">
        <v>36</v>
      </c>
      <c r="T269" s="18">
        <v>44562</v>
      </c>
      <c r="U269" s="20">
        <v>1</v>
      </c>
      <c r="V269" s="120">
        <v>6.8799999999999992E-4</v>
      </c>
      <c r="W269" s="69">
        <f t="shared" si="22"/>
        <v>5.7752095999999989E-2</v>
      </c>
      <c r="X269" s="106">
        <v>83.941999999999993</v>
      </c>
      <c r="Y269" s="72" t="str">
        <f t="shared" si="23"/>
        <v>AR_2021_1x MicroLED_Air Glass</v>
      </c>
      <c r="Z269" s="36" t="str">
        <f t="shared" si="24"/>
        <v>AR_2021_1x MicroLED</v>
      </c>
    </row>
    <row r="270" spans="3:26">
      <c r="C270" s="17">
        <v>262</v>
      </c>
      <c r="D270" s="109" t="s">
        <v>129</v>
      </c>
      <c r="E270" s="20" t="s">
        <v>10</v>
      </c>
      <c r="F270" s="20" t="s">
        <v>182</v>
      </c>
      <c r="G270" s="21" t="s">
        <v>132</v>
      </c>
      <c r="H270" s="21" t="s">
        <v>133</v>
      </c>
      <c r="I270" s="19" t="s">
        <v>63</v>
      </c>
      <c r="J270" s="19" t="s">
        <v>27</v>
      </c>
      <c r="K270" s="21" t="s">
        <v>51</v>
      </c>
      <c r="L270" s="33" t="str">
        <f t="shared" si="20"/>
        <v>2x SiOLED</v>
      </c>
      <c r="M270" s="21" t="s">
        <v>116</v>
      </c>
      <c r="N270" s="21"/>
      <c r="O270" s="27">
        <v>0.49</v>
      </c>
      <c r="P270" s="20">
        <v>1920</v>
      </c>
      <c r="Q270" s="20">
        <v>1080</v>
      </c>
      <c r="R270" s="29">
        <f t="shared" si="21"/>
        <v>4495.7289185353029</v>
      </c>
      <c r="S270" s="20">
        <v>75</v>
      </c>
      <c r="T270" s="18">
        <v>44501</v>
      </c>
      <c r="U270" s="20">
        <v>2</v>
      </c>
      <c r="V270" s="120">
        <v>8.2500000000000004E-3</v>
      </c>
      <c r="W270" s="69">
        <f t="shared" si="22"/>
        <v>0.45375000000000004</v>
      </c>
      <c r="X270" s="106">
        <v>55</v>
      </c>
      <c r="Y270" s="72" t="str">
        <f t="shared" si="23"/>
        <v>AR_2021_2x SiOLED_Air</v>
      </c>
      <c r="Z270" s="36" t="str">
        <f t="shared" si="24"/>
        <v>AR_2021_2x SiOLED</v>
      </c>
    </row>
    <row r="271" spans="3:26">
      <c r="C271" s="17">
        <v>263</v>
      </c>
      <c r="D271" s="109" t="s">
        <v>129</v>
      </c>
      <c r="E271" s="20" t="s">
        <v>10</v>
      </c>
      <c r="F271" s="20" t="s">
        <v>182</v>
      </c>
      <c r="G271" s="21" t="s">
        <v>68</v>
      </c>
      <c r="H271" s="21" t="s">
        <v>69</v>
      </c>
      <c r="I271" s="19" t="s">
        <v>63</v>
      </c>
      <c r="J271" s="19" t="s">
        <v>31</v>
      </c>
      <c r="K271" s="21" t="s">
        <v>70</v>
      </c>
      <c r="L271" s="33" t="str">
        <f t="shared" si="20"/>
        <v>1x DLP</v>
      </c>
      <c r="M271" s="21" t="s">
        <v>172</v>
      </c>
      <c r="N271" s="21"/>
      <c r="O271" s="27"/>
      <c r="P271" s="20">
        <v>853</v>
      </c>
      <c r="Q271" s="20">
        <v>480</v>
      </c>
      <c r="R271" s="29">
        <f t="shared" si="21"/>
        <v>0</v>
      </c>
      <c r="S271" s="20" t="s">
        <v>36</v>
      </c>
      <c r="T271" s="18">
        <v>43466</v>
      </c>
      <c r="U271" s="20">
        <v>1</v>
      </c>
      <c r="V271" s="120">
        <v>6.8799999999999992E-4</v>
      </c>
      <c r="W271" s="69">
        <f t="shared" si="22"/>
        <v>5.5967630399999989E-2</v>
      </c>
      <c r="X271" s="106">
        <v>81.348299999999995</v>
      </c>
      <c r="Y271" s="72" t="str">
        <f t="shared" si="23"/>
        <v>AR_2021_1x DLP_Blade</v>
      </c>
      <c r="Z271" s="36" t="str">
        <f t="shared" si="24"/>
        <v>AR_2021_1x DLP</v>
      </c>
    </row>
    <row r="272" spans="3:26">
      <c r="C272" s="17">
        <v>264</v>
      </c>
      <c r="D272" s="109" t="s">
        <v>129</v>
      </c>
      <c r="E272" s="20" t="s">
        <v>10</v>
      </c>
      <c r="F272" s="20" t="s">
        <v>182</v>
      </c>
      <c r="G272" s="21" t="s">
        <v>97</v>
      </c>
      <c r="H272" s="21" t="s">
        <v>76</v>
      </c>
      <c r="I272" s="19" t="s">
        <v>63</v>
      </c>
      <c r="J272" s="19" t="s">
        <v>36</v>
      </c>
      <c r="K272" s="21" t="s">
        <v>70</v>
      </c>
      <c r="L272" s="33" t="str">
        <f t="shared" si="20"/>
        <v>1x DLP</v>
      </c>
      <c r="M272" s="21" t="s">
        <v>36</v>
      </c>
      <c r="N272" s="21"/>
      <c r="O272" s="27"/>
      <c r="P272" s="20"/>
      <c r="Q272" s="20"/>
      <c r="R272" s="29">
        <f t="shared" si="21"/>
        <v>0</v>
      </c>
      <c r="S272" s="20" t="s">
        <v>36</v>
      </c>
      <c r="T272" s="18" t="s">
        <v>143</v>
      </c>
      <c r="U272" s="20">
        <v>1</v>
      </c>
      <c r="V272" s="120">
        <v>2.7500000000000002E-4</v>
      </c>
      <c r="W272" s="69">
        <f t="shared" si="22"/>
        <v>2.2370782499999999E-2</v>
      </c>
      <c r="X272" s="106">
        <v>81.348299999999995</v>
      </c>
      <c r="Y272" s="72" t="str">
        <f t="shared" si="23"/>
        <v>AR_2021_1x DLP_DLP glasses</v>
      </c>
      <c r="Z272" s="36" t="str">
        <f t="shared" si="24"/>
        <v>AR_2021_1x DLP</v>
      </c>
    </row>
    <row r="273" spans="3:26">
      <c r="C273" s="17">
        <v>265</v>
      </c>
      <c r="D273" s="109" t="s">
        <v>129</v>
      </c>
      <c r="E273" s="20" t="s">
        <v>10</v>
      </c>
      <c r="F273" s="20" t="s">
        <v>182</v>
      </c>
      <c r="G273" s="21" t="s">
        <v>97</v>
      </c>
      <c r="H273" s="21" t="s">
        <v>80</v>
      </c>
      <c r="I273" s="19" t="s">
        <v>63</v>
      </c>
      <c r="J273" s="19" t="s">
        <v>36</v>
      </c>
      <c r="K273" s="21" t="s">
        <v>64</v>
      </c>
      <c r="L273" s="33" t="str">
        <f t="shared" si="20"/>
        <v>2x LBS</v>
      </c>
      <c r="M273" s="21" t="s">
        <v>36</v>
      </c>
      <c r="N273" s="21"/>
      <c r="O273" s="27"/>
      <c r="P273" s="20"/>
      <c r="Q273" s="20"/>
      <c r="R273" s="29">
        <f t="shared" si="21"/>
        <v>0</v>
      </c>
      <c r="S273" s="20" t="s">
        <v>36</v>
      </c>
      <c r="T273" s="18" t="s">
        <v>143</v>
      </c>
      <c r="U273" s="20">
        <v>2</v>
      </c>
      <c r="V273" s="120">
        <v>2.7500000000000002E-4</v>
      </c>
      <c r="W273" s="69">
        <f t="shared" si="22"/>
        <v>2.897972E-2</v>
      </c>
      <c r="X273" s="106">
        <v>105.38079999999999</v>
      </c>
      <c r="Y273" s="72" t="str">
        <f t="shared" si="23"/>
        <v>AR_2021_2x LBS_LBS glasses</v>
      </c>
      <c r="Z273" s="36" t="str">
        <f t="shared" si="24"/>
        <v>AR_2021_2x LBS</v>
      </c>
    </row>
    <row r="274" spans="3:26">
      <c r="C274" s="17">
        <v>266</v>
      </c>
      <c r="D274" s="109" t="s">
        <v>129</v>
      </c>
      <c r="E274" s="20" t="s">
        <v>10</v>
      </c>
      <c r="F274" s="20" t="s">
        <v>182</v>
      </c>
      <c r="G274" s="21" t="s">
        <v>97</v>
      </c>
      <c r="H274" s="21" t="s">
        <v>75</v>
      </c>
      <c r="I274" s="19" t="s">
        <v>63</v>
      </c>
      <c r="J274" s="19" t="s">
        <v>36</v>
      </c>
      <c r="K274" s="21" t="s">
        <v>67</v>
      </c>
      <c r="L274" s="33" t="str">
        <f t="shared" si="20"/>
        <v>2x LCoS</v>
      </c>
      <c r="M274" s="21" t="s">
        <v>36</v>
      </c>
      <c r="N274" s="21"/>
      <c r="O274" s="27"/>
      <c r="P274" s="20"/>
      <c r="Q274" s="20"/>
      <c r="R274" s="29">
        <f t="shared" si="21"/>
        <v>0</v>
      </c>
      <c r="S274" s="20" t="s">
        <v>36</v>
      </c>
      <c r="T274" s="18" t="s">
        <v>143</v>
      </c>
      <c r="U274" s="20">
        <v>2</v>
      </c>
      <c r="V274" s="120">
        <v>2.7499999999999998E-3</v>
      </c>
      <c r="W274" s="69">
        <f t="shared" si="22"/>
        <v>0.12398265</v>
      </c>
      <c r="X274" s="106">
        <v>45.084600000000002</v>
      </c>
      <c r="Y274" s="72" t="str">
        <f t="shared" si="23"/>
        <v>AR_2021_2x LCoS_LCoS glasses</v>
      </c>
      <c r="Z274" s="36" t="str">
        <f t="shared" si="24"/>
        <v>AR_2021_2x LCoS</v>
      </c>
    </row>
    <row r="275" spans="3:26">
      <c r="C275" s="17">
        <v>267</v>
      </c>
      <c r="D275" s="109" t="s">
        <v>129</v>
      </c>
      <c r="E275" s="20" t="s">
        <v>10</v>
      </c>
      <c r="F275" s="20" t="s">
        <v>182</v>
      </c>
      <c r="G275" s="21" t="s">
        <v>97</v>
      </c>
      <c r="H275" s="21" t="s">
        <v>79</v>
      </c>
      <c r="I275" s="19" t="s">
        <v>63</v>
      </c>
      <c r="J275" s="19" t="s">
        <v>36</v>
      </c>
      <c r="K275" s="21" t="s">
        <v>51</v>
      </c>
      <c r="L275" s="33" t="str">
        <f t="shared" si="20"/>
        <v>2x SiOLED</v>
      </c>
      <c r="M275" s="21" t="s">
        <v>36</v>
      </c>
      <c r="N275" s="21"/>
      <c r="O275" s="27"/>
      <c r="P275" s="20"/>
      <c r="Q275" s="20"/>
      <c r="R275" s="29">
        <f t="shared" si="21"/>
        <v>0</v>
      </c>
      <c r="S275" s="20" t="s">
        <v>36</v>
      </c>
      <c r="T275" s="18" t="s">
        <v>143</v>
      </c>
      <c r="U275" s="20">
        <v>2</v>
      </c>
      <c r="V275" s="120">
        <v>2.2000000000000001E-3</v>
      </c>
      <c r="W275" s="69">
        <f t="shared" si="22"/>
        <v>0.17842175999999998</v>
      </c>
      <c r="X275" s="106">
        <v>81.100799999999992</v>
      </c>
      <c r="Y275" s="72" t="str">
        <f t="shared" si="23"/>
        <v>AR_2021_2x SiOLED_SiOLED glasses</v>
      </c>
      <c r="Z275" s="36" t="str">
        <f t="shared" si="24"/>
        <v>AR_2021_2x SiOLED</v>
      </c>
    </row>
    <row r="276" spans="3:26">
      <c r="C276" s="17">
        <v>268</v>
      </c>
      <c r="D276" s="109" t="s">
        <v>26</v>
      </c>
      <c r="E276" s="20" t="s">
        <v>11</v>
      </c>
      <c r="F276" s="20" t="s">
        <v>176</v>
      </c>
      <c r="G276" s="21" t="s">
        <v>114</v>
      </c>
      <c r="H276" s="21" t="s">
        <v>115</v>
      </c>
      <c r="I276" s="19" t="s">
        <v>26</v>
      </c>
      <c r="J276" s="19" t="s">
        <v>36</v>
      </c>
      <c r="K276" s="21" t="s">
        <v>51</v>
      </c>
      <c r="L276" s="33" t="str">
        <f t="shared" si="20"/>
        <v>2x SiOLED</v>
      </c>
      <c r="M276" s="21" t="s">
        <v>116</v>
      </c>
      <c r="N276" s="21" t="s">
        <v>143</v>
      </c>
      <c r="O276" s="27">
        <v>1.03</v>
      </c>
      <c r="P276" s="20">
        <v>2560</v>
      </c>
      <c r="Q276" s="20">
        <v>2560</v>
      </c>
      <c r="R276" s="29">
        <f t="shared" si="21"/>
        <v>3514.9385627913821</v>
      </c>
      <c r="S276" s="20" t="s">
        <v>36</v>
      </c>
      <c r="T276" s="18" t="s">
        <v>143</v>
      </c>
      <c r="U276" s="20">
        <v>2</v>
      </c>
      <c r="V276" s="120">
        <v>5.5000000000000003E-4</v>
      </c>
      <c r="W276" s="69">
        <f t="shared" si="22"/>
        <v>0.11026125000000001</v>
      </c>
      <c r="X276" s="106">
        <v>200.47499999999999</v>
      </c>
      <c r="Y276" s="72" t="str">
        <f t="shared" si="23"/>
        <v>VR_2022_2x SiOLED_5K VR</v>
      </c>
      <c r="Z276" s="36" t="str">
        <f t="shared" si="24"/>
        <v>VR_2022_2x SiOLED</v>
      </c>
    </row>
    <row r="277" spans="3:26">
      <c r="C277" s="17">
        <v>269</v>
      </c>
      <c r="D277" s="109" t="s">
        <v>26</v>
      </c>
      <c r="E277" s="20" t="s">
        <v>11</v>
      </c>
      <c r="F277" s="20" t="s">
        <v>176</v>
      </c>
      <c r="G277" s="21" t="s">
        <v>106</v>
      </c>
      <c r="H277" s="21" t="s">
        <v>107</v>
      </c>
      <c r="I277" s="19" t="s">
        <v>26</v>
      </c>
      <c r="J277" s="19" t="s">
        <v>31</v>
      </c>
      <c r="K277" s="21" t="s">
        <v>15</v>
      </c>
      <c r="L277" s="33" t="str">
        <f t="shared" si="20"/>
        <v>1x LCD</v>
      </c>
      <c r="M277" s="21" t="s">
        <v>36</v>
      </c>
      <c r="N277" s="21" t="s">
        <v>143</v>
      </c>
      <c r="O277" s="27"/>
      <c r="P277" s="20"/>
      <c r="Q277" s="20"/>
      <c r="R277" s="29">
        <f t="shared" si="21"/>
        <v>0</v>
      </c>
      <c r="S277" s="20" t="s">
        <v>36</v>
      </c>
      <c r="T277" s="18">
        <v>43770</v>
      </c>
      <c r="U277" s="20">
        <v>1</v>
      </c>
      <c r="V277" s="120">
        <v>0.11</v>
      </c>
      <c r="W277" s="69">
        <f t="shared" si="22"/>
        <v>6.2118671999999995</v>
      </c>
      <c r="X277" s="106">
        <v>56.471519999999991</v>
      </c>
      <c r="Y277" s="72" t="str">
        <f t="shared" si="23"/>
        <v>VR_2022_1x LCD_P1 family</v>
      </c>
      <c r="Z277" s="36" t="str">
        <f t="shared" si="24"/>
        <v>VR_2022_1x LCD</v>
      </c>
    </row>
    <row r="278" spans="3:26">
      <c r="C278" s="17">
        <v>270</v>
      </c>
      <c r="D278" s="109" t="s">
        <v>26</v>
      </c>
      <c r="E278" s="20" t="s">
        <v>11</v>
      </c>
      <c r="F278" s="20" t="s">
        <v>176</v>
      </c>
      <c r="G278" s="21" t="s">
        <v>41</v>
      </c>
      <c r="H278" s="21" t="s">
        <v>178</v>
      </c>
      <c r="I278" s="19" t="s">
        <v>26</v>
      </c>
      <c r="J278" s="19" t="s">
        <v>31</v>
      </c>
      <c r="K278" s="21" t="s">
        <v>15</v>
      </c>
      <c r="L278" s="33" t="str">
        <f t="shared" si="20"/>
        <v>2x LCD</v>
      </c>
      <c r="M278" s="21" t="s">
        <v>2</v>
      </c>
      <c r="N278" s="21" t="s">
        <v>143</v>
      </c>
      <c r="O278" s="27"/>
      <c r="P278" s="20"/>
      <c r="Q278" s="20"/>
      <c r="R278" s="29">
        <f t="shared" si="21"/>
        <v>0</v>
      </c>
      <c r="S278" s="20" t="s">
        <v>36</v>
      </c>
      <c r="T278" s="18">
        <v>43739</v>
      </c>
      <c r="U278" s="20">
        <v>2</v>
      </c>
      <c r="V278" s="120">
        <v>1.925E-2</v>
      </c>
      <c r="W278" s="69">
        <f t="shared" si="22"/>
        <v>0.72471784000000006</v>
      </c>
      <c r="X278" s="106">
        <v>37.647680000000001</v>
      </c>
      <c r="Y278" s="72" t="str">
        <f t="shared" si="23"/>
        <v>VR_2022_2x LCD_Vive LCD headsets</v>
      </c>
      <c r="Z278" s="36" t="str">
        <f t="shared" si="24"/>
        <v>VR_2022_2x LCD</v>
      </c>
    </row>
    <row r="279" spans="3:26">
      <c r="C279" s="17">
        <v>271</v>
      </c>
      <c r="D279" s="109" t="s">
        <v>26</v>
      </c>
      <c r="E279" s="20" t="s">
        <v>11</v>
      </c>
      <c r="F279" s="20" t="s">
        <v>176</v>
      </c>
      <c r="G279" s="21" t="s">
        <v>77</v>
      </c>
      <c r="H279" s="21" t="s">
        <v>163</v>
      </c>
      <c r="I279" s="19" t="s">
        <v>44</v>
      </c>
      <c r="J279" s="19" t="s">
        <v>31</v>
      </c>
      <c r="K279" s="21" t="s">
        <v>15</v>
      </c>
      <c r="L279" s="33" t="str">
        <f t="shared" si="20"/>
        <v>2x LCD</v>
      </c>
      <c r="M279" s="21" t="s">
        <v>36</v>
      </c>
      <c r="N279" s="21"/>
      <c r="O279" s="27"/>
      <c r="P279" s="20"/>
      <c r="Q279" s="20"/>
      <c r="R279" s="29">
        <f t="shared" si="21"/>
        <v>0</v>
      </c>
      <c r="S279" s="20" t="s">
        <v>36</v>
      </c>
      <c r="T279" s="18">
        <v>45078</v>
      </c>
      <c r="U279" s="20">
        <v>2</v>
      </c>
      <c r="V279" s="120">
        <v>5.4999999999999997E-3</v>
      </c>
      <c r="W279" s="69">
        <f t="shared" si="22"/>
        <v>0.20706223999999998</v>
      </c>
      <c r="X279" s="106">
        <v>37.647680000000001</v>
      </c>
      <c r="Y279" s="72" t="str">
        <f t="shared" si="23"/>
        <v>VR_2022_2x LCD_ThinkReality VRX</v>
      </c>
      <c r="Z279" s="36" t="str">
        <f t="shared" si="24"/>
        <v>VR_2022_2x LCD</v>
      </c>
    </row>
    <row r="280" spans="3:26">
      <c r="C280" s="17">
        <v>272</v>
      </c>
      <c r="D280" s="109" t="s">
        <v>26</v>
      </c>
      <c r="E280" s="20" t="s">
        <v>11</v>
      </c>
      <c r="F280" s="20" t="s">
        <v>176</v>
      </c>
      <c r="G280" s="21" t="s">
        <v>43</v>
      </c>
      <c r="H280" s="21" t="s">
        <v>7</v>
      </c>
      <c r="I280" s="19" t="s">
        <v>44</v>
      </c>
      <c r="J280" s="19" t="s">
        <v>31</v>
      </c>
      <c r="K280" s="21" t="s">
        <v>15</v>
      </c>
      <c r="L280" s="33" t="str">
        <f t="shared" si="20"/>
        <v>2x LCD</v>
      </c>
      <c r="M280" s="21" t="s">
        <v>2</v>
      </c>
      <c r="N280" s="21" t="s">
        <v>143</v>
      </c>
      <c r="O280" s="27">
        <v>2.1</v>
      </c>
      <c r="P280" s="20">
        <v>1600</v>
      </c>
      <c r="Q280" s="20">
        <v>1600</v>
      </c>
      <c r="R280" s="29">
        <f t="shared" si="21"/>
        <v>1077.4960475223581</v>
      </c>
      <c r="S280" s="20">
        <v>90</v>
      </c>
      <c r="T280" s="18" t="s">
        <v>143</v>
      </c>
      <c r="U280" s="20">
        <v>2</v>
      </c>
      <c r="V280" s="120">
        <v>8.2500000000000004E-3</v>
      </c>
      <c r="W280" s="69">
        <f t="shared" si="22"/>
        <v>0.31059336000000004</v>
      </c>
      <c r="X280" s="106">
        <v>37.647680000000001</v>
      </c>
      <c r="Y280" s="72" t="str">
        <f t="shared" si="23"/>
        <v>VR_2022_2x LCD_R1</v>
      </c>
      <c r="Z280" s="36" t="str">
        <f t="shared" si="24"/>
        <v>VR_2022_2x LCD</v>
      </c>
    </row>
    <row r="281" spans="3:26">
      <c r="C281" s="17">
        <v>273</v>
      </c>
      <c r="D281" s="109" t="s">
        <v>26</v>
      </c>
      <c r="E281" s="20" t="s">
        <v>11</v>
      </c>
      <c r="F281" s="20" t="s">
        <v>176</v>
      </c>
      <c r="G281" s="21" t="s">
        <v>112</v>
      </c>
      <c r="H281" s="21" t="s">
        <v>32</v>
      </c>
      <c r="I281" s="19" t="s">
        <v>26</v>
      </c>
      <c r="J281" s="19" t="s">
        <v>31</v>
      </c>
      <c r="K281" s="21" t="s">
        <v>15</v>
      </c>
      <c r="L281" s="33" t="str">
        <f t="shared" si="20"/>
        <v>1x LCD</v>
      </c>
      <c r="M281" s="21" t="s">
        <v>2</v>
      </c>
      <c r="N281" s="21" t="s">
        <v>166</v>
      </c>
      <c r="O281" s="27">
        <v>5.5</v>
      </c>
      <c r="P281" s="20">
        <v>3840</v>
      </c>
      <c r="Q281" s="20">
        <v>1832</v>
      </c>
      <c r="R281" s="29">
        <f t="shared" si="21"/>
        <v>773.56797048396322</v>
      </c>
      <c r="S281" s="20">
        <v>90</v>
      </c>
      <c r="T281" s="18">
        <v>44105</v>
      </c>
      <c r="U281" s="20">
        <v>1</v>
      </c>
      <c r="V281" s="120">
        <v>1.375</v>
      </c>
      <c r="W281" s="69">
        <f t="shared" si="22"/>
        <v>77.64833999999999</v>
      </c>
      <c r="X281" s="106">
        <v>56.471519999999991</v>
      </c>
      <c r="Y281" s="72" t="str">
        <f t="shared" si="23"/>
        <v>VR_2022_1x LCD_Quest 2</v>
      </c>
      <c r="Z281" s="36" t="str">
        <f t="shared" si="24"/>
        <v>VR_2022_1x LCD</v>
      </c>
    </row>
    <row r="282" spans="3:26">
      <c r="C282" s="17">
        <v>274</v>
      </c>
      <c r="D282" s="109" t="s">
        <v>26</v>
      </c>
      <c r="E282" s="20" t="s">
        <v>11</v>
      </c>
      <c r="F282" s="20" t="s">
        <v>176</v>
      </c>
      <c r="G282" s="21" t="s">
        <v>112</v>
      </c>
      <c r="H282" s="21" t="s">
        <v>113</v>
      </c>
      <c r="I282" s="19" t="s">
        <v>44</v>
      </c>
      <c r="J282" s="19" t="s">
        <v>31</v>
      </c>
      <c r="K282" s="21" t="s">
        <v>15</v>
      </c>
      <c r="L282" s="33" t="str">
        <f t="shared" si="20"/>
        <v>2x LCD</v>
      </c>
      <c r="M282" s="21" t="s">
        <v>145</v>
      </c>
      <c r="N282" s="21" t="s">
        <v>2</v>
      </c>
      <c r="O282" s="27">
        <v>2.5</v>
      </c>
      <c r="P282" s="20">
        <v>1920</v>
      </c>
      <c r="Q282" s="20">
        <v>1800</v>
      </c>
      <c r="R282" s="29">
        <f t="shared" si="21"/>
        <v>1052.7221855741429</v>
      </c>
      <c r="S282" s="20">
        <v>90</v>
      </c>
      <c r="T282" s="18">
        <v>44835</v>
      </c>
      <c r="U282" s="20">
        <v>2</v>
      </c>
      <c r="V282" s="120">
        <v>3.6299999999999999E-2</v>
      </c>
      <c r="W282" s="69">
        <f t="shared" si="22"/>
        <v>1.3666107839999999</v>
      </c>
      <c r="X282" s="106">
        <v>37.647680000000001</v>
      </c>
      <c r="Y282" s="72" t="str">
        <f t="shared" si="23"/>
        <v>VR_2022_2x LCD_Quest Pro</v>
      </c>
      <c r="Z282" s="36" t="str">
        <f t="shared" si="24"/>
        <v>VR_2022_2x LCD</v>
      </c>
    </row>
    <row r="283" spans="3:26">
      <c r="C283" s="17">
        <v>275</v>
      </c>
      <c r="D283" s="109" t="s">
        <v>26</v>
      </c>
      <c r="E283" s="20" t="s">
        <v>11</v>
      </c>
      <c r="F283" s="20" t="s">
        <v>176</v>
      </c>
      <c r="G283" s="21" t="s">
        <v>110</v>
      </c>
      <c r="H283" s="21" t="s">
        <v>162</v>
      </c>
      <c r="I283" s="19" t="s">
        <v>26</v>
      </c>
      <c r="J283" s="19" t="s">
        <v>31</v>
      </c>
      <c r="K283" s="21" t="s">
        <v>15</v>
      </c>
      <c r="L283" s="33" t="str">
        <f t="shared" si="20"/>
        <v>1x LCD</v>
      </c>
      <c r="M283" s="21" t="s">
        <v>2</v>
      </c>
      <c r="N283" s="21" t="s">
        <v>146</v>
      </c>
      <c r="O283" s="27">
        <v>5.5</v>
      </c>
      <c r="P283" s="20">
        <v>3840</v>
      </c>
      <c r="Q283" s="20">
        <v>1832</v>
      </c>
      <c r="R283" s="29">
        <f t="shared" si="21"/>
        <v>773.56797048396322</v>
      </c>
      <c r="S283" s="20">
        <v>90</v>
      </c>
      <c r="T283" s="18">
        <v>44317</v>
      </c>
      <c r="U283" s="20">
        <v>1</v>
      </c>
      <c r="V283" s="120">
        <v>0.12375</v>
      </c>
      <c r="W283" s="69">
        <f t="shared" si="22"/>
        <v>6.9883505999999986</v>
      </c>
      <c r="X283" s="106">
        <v>56.471519999999991</v>
      </c>
      <c r="Y283" s="72" t="str">
        <f t="shared" si="23"/>
        <v>VR_2022_1x LCD_Neo 3 / G3</v>
      </c>
      <c r="Z283" s="36" t="str">
        <f t="shared" si="24"/>
        <v>VR_2022_1x LCD</v>
      </c>
    </row>
    <row r="284" spans="3:26">
      <c r="C284" s="17">
        <v>276</v>
      </c>
      <c r="D284" s="109" t="s">
        <v>26</v>
      </c>
      <c r="E284" s="20" t="s">
        <v>11</v>
      </c>
      <c r="F284" s="20" t="s">
        <v>176</v>
      </c>
      <c r="G284" s="21" t="s">
        <v>110</v>
      </c>
      <c r="H284" s="21" t="s">
        <v>134</v>
      </c>
      <c r="I284" s="19" t="s">
        <v>26</v>
      </c>
      <c r="J284" s="19" t="s">
        <v>31</v>
      </c>
      <c r="K284" s="21" t="s">
        <v>15</v>
      </c>
      <c r="L284" s="33" t="str">
        <f t="shared" si="20"/>
        <v>2x LCD</v>
      </c>
      <c r="M284" s="21" t="s">
        <v>146</v>
      </c>
      <c r="N284" s="21"/>
      <c r="O284" s="27">
        <v>2.56</v>
      </c>
      <c r="P284" s="20">
        <v>2160</v>
      </c>
      <c r="Q284" s="20">
        <v>2160</v>
      </c>
      <c r="R284" s="29">
        <f t="shared" si="21"/>
        <v>1193.242693252299</v>
      </c>
      <c r="S284" s="20">
        <v>90</v>
      </c>
      <c r="T284" s="18">
        <v>44805</v>
      </c>
      <c r="U284" s="20">
        <v>2</v>
      </c>
      <c r="V284" s="120">
        <v>8.9099999999999999E-2</v>
      </c>
      <c r="W284" s="69">
        <f t="shared" si="22"/>
        <v>3.3544082880000001</v>
      </c>
      <c r="X284" s="106">
        <v>37.647680000000001</v>
      </c>
      <c r="Y284" s="72" t="str">
        <f t="shared" si="23"/>
        <v>VR_2022_2x LCD_Pico 4</v>
      </c>
      <c r="Z284" s="36" t="str">
        <f t="shared" si="24"/>
        <v>VR_2022_2x LCD</v>
      </c>
    </row>
    <row r="285" spans="3:26">
      <c r="C285" s="17">
        <v>277</v>
      </c>
      <c r="D285" s="109" t="s">
        <v>26</v>
      </c>
      <c r="E285" s="20" t="s">
        <v>11</v>
      </c>
      <c r="F285" s="20" t="s">
        <v>176</v>
      </c>
      <c r="G285" s="21" t="s">
        <v>108</v>
      </c>
      <c r="H285" s="21" t="s">
        <v>109</v>
      </c>
      <c r="I285" s="19" t="s">
        <v>26</v>
      </c>
      <c r="J285" s="19" t="s">
        <v>27</v>
      </c>
      <c r="K285" s="21" t="s">
        <v>15</v>
      </c>
      <c r="L285" s="33" t="str">
        <f t="shared" si="20"/>
        <v>2x LCD</v>
      </c>
      <c r="M285" s="21" t="s">
        <v>145</v>
      </c>
      <c r="N285" s="21" t="s">
        <v>146</v>
      </c>
      <c r="O285" s="27"/>
      <c r="P285" s="20"/>
      <c r="Q285" s="20"/>
      <c r="R285" s="29">
        <f t="shared" si="21"/>
        <v>0</v>
      </c>
      <c r="S285" s="20" t="s">
        <v>36</v>
      </c>
      <c r="T285" s="18" t="s">
        <v>143</v>
      </c>
      <c r="U285" s="20">
        <v>2</v>
      </c>
      <c r="V285" s="120">
        <v>5.4999999999999997E-3</v>
      </c>
      <c r="W285" s="69">
        <f t="shared" si="22"/>
        <v>0.20706223999999998</v>
      </c>
      <c r="X285" s="106">
        <v>37.647680000000001</v>
      </c>
      <c r="Y285" s="72" t="str">
        <f t="shared" si="23"/>
        <v>VR_2022_2x LCD_Pimax VR</v>
      </c>
      <c r="Z285" s="36" t="str">
        <f t="shared" si="24"/>
        <v>VR_2022_2x LCD</v>
      </c>
    </row>
    <row r="286" spans="3:26">
      <c r="C286" s="17">
        <v>278</v>
      </c>
      <c r="D286" s="109" t="s">
        <v>26</v>
      </c>
      <c r="E286" s="20" t="s">
        <v>11</v>
      </c>
      <c r="F286" s="20" t="s">
        <v>176</v>
      </c>
      <c r="G286" s="21" t="s">
        <v>139</v>
      </c>
      <c r="H286" s="21" t="s">
        <v>140</v>
      </c>
      <c r="I286" s="19" t="s">
        <v>26</v>
      </c>
      <c r="J286" s="19" t="s">
        <v>27</v>
      </c>
      <c r="K286" s="21" t="s">
        <v>51</v>
      </c>
      <c r="L286" s="33" t="str">
        <f t="shared" si="20"/>
        <v>2x SiOLED</v>
      </c>
      <c r="M286" s="21" t="s">
        <v>171</v>
      </c>
      <c r="N286" s="21"/>
      <c r="O286" s="27">
        <v>1.3</v>
      </c>
      <c r="P286" s="20">
        <v>2560</v>
      </c>
      <c r="Q286" s="20">
        <v>2560</v>
      </c>
      <c r="R286" s="29">
        <f t="shared" si="21"/>
        <v>2784.9128612885565</v>
      </c>
      <c r="S286" s="20">
        <v>120</v>
      </c>
      <c r="T286" s="18"/>
      <c r="U286" s="20">
        <v>2</v>
      </c>
      <c r="V286" s="120">
        <v>5.5000000000000003E-4</v>
      </c>
      <c r="W286" s="69">
        <f t="shared" si="22"/>
        <v>0.11026125000000001</v>
      </c>
      <c r="X286" s="106">
        <v>200.47499999999999</v>
      </c>
      <c r="Y286" s="72" t="str">
        <f t="shared" si="23"/>
        <v>VR_2022_2x SiOLED_MeganeX</v>
      </c>
      <c r="Z286" s="36" t="str">
        <f t="shared" si="24"/>
        <v>VR_2022_2x SiOLED</v>
      </c>
    </row>
    <row r="287" spans="3:26">
      <c r="C287" s="17">
        <v>279</v>
      </c>
      <c r="D287" s="109" t="s">
        <v>26</v>
      </c>
      <c r="E287" s="20" t="s">
        <v>11</v>
      </c>
      <c r="F287" s="20" t="s">
        <v>176</v>
      </c>
      <c r="G287" s="21" t="s">
        <v>97</v>
      </c>
      <c r="H287" s="21" t="s">
        <v>111</v>
      </c>
      <c r="I287" s="19" t="s">
        <v>26</v>
      </c>
      <c r="J287" s="19" t="s">
        <v>36</v>
      </c>
      <c r="K287" s="21" t="s">
        <v>15</v>
      </c>
      <c r="L287" s="33" t="str">
        <f t="shared" si="20"/>
        <v>2x LCD</v>
      </c>
      <c r="M287" s="21" t="s">
        <v>36</v>
      </c>
      <c r="N287" s="21" t="s">
        <v>143</v>
      </c>
      <c r="O287" s="27"/>
      <c r="P287" s="20"/>
      <c r="Q287" s="20"/>
      <c r="R287" s="29">
        <f t="shared" si="21"/>
        <v>0</v>
      </c>
      <c r="S287" s="20" t="s">
        <v>36</v>
      </c>
      <c r="T287" s="18" t="s">
        <v>143</v>
      </c>
      <c r="U287" s="20">
        <v>2</v>
      </c>
      <c r="V287" s="120">
        <v>1.375E-2</v>
      </c>
      <c r="W287" s="69">
        <f t="shared" si="22"/>
        <v>0.51765559999999999</v>
      </c>
      <c r="X287" s="106">
        <v>37.647680000000001</v>
      </c>
      <c r="Y287" s="72" t="str">
        <f t="shared" si="23"/>
        <v>VR_2022_2x LCD_Dual LCD VR headset</v>
      </c>
      <c r="Z287" s="36" t="str">
        <f t="shared" si="24"/>
        <v>VR_2022_2x LCD</v>
      </c>
    </row>
    <row r="288" spans="3:26">
      <c r="C288" s="17">
        <v>280</v>
      </c>
      <c r="D288" s="109" t="s">
        <v>26</v>
      </c>
      <c r="E288" s="20" t="s">
        <v>11</v>
      </c>
      <c r="F288" s="20" t="s">
        <v>176</v>
      </c>
      <c r="G288" s="21" t="s">
        <v>97</v>
      </c>
      <c r="H288" s="21" t="s">
        <v>161</v>
      </c>
      <c r="I288" s="19" t="s">
        <v>26</v>
      </c>
      <c r="J288" s="19" t="s">
        <v>36</v>
      </c>
      <c r="K288" s="21" t="s">
        <v>15</v>
      </c>
      <c r="L288" s="33" t="str">
        <f t="shared" si="20"/>
        <v>1x LCD</v>
      </c>
      <c r="M288" s="21" t="s">
        <v>36</v>
      </c>
      <c r="N288" s="21" t="s">
        <v>143</v>
      </c>
      <c r="O288" s="27"/>
      <c r="P288" s="20"/>
      <c r="Q288" s="20"/>
      <c r="R288" s="29">
        <f t="shared" si="21"/>
        <v>0</v>
      </c>
      <c r="S288" s="20" t="s">
        <v>36</v>
      </c>
      <c r="T288" s="18" t="s">
        <v>143</v>
      </c>
      <c r="U288" s="20">
        <v>1</v>
      </c>
      <c r="V288" s="120">
        <v>5.7750000000000003E-2</v>
      </c>
      <c r="W288" s="69">
        <f t="shared" si="22"/>
        <v>3.2612302799999995</v>
      </c>
      <c r="X288" s="106">
        <v>56.471519999999991</v>
      </c>
      <c r="Y288" s="72" t="str">
        <f t="shared" si="23"/>
        <v>VR_2022_1x LCD_Single LCD VR headset</v>
      </c>
      <c r="Z288" s="36" t="str">
        <f t="shared" si="24"/>
        <v>VR_2022_1x LCD</v>
      </c>
    </row>
    <row r="289" spans="3:26">
      <c r="C289" s="17">
        <v>281</v>
      </c>
      <c r="D289" s="109" t="s">
        <v>129</v>
      </c>
      <c r="E289" s="20" t="s">
        <v>11</v>
      </c>
      <c r="F289" s="20" t="s">
        <v>176</v>
      </c>
      <c r="G289" s="21" t="s">
        <v>73</v>
      </c>
      <c r="H289" s="21" t="s">
        <v>74</v>
      </c>
      <c r="I289" s="19" t="s">
        <v>63</v>
      </c>
      <c r="J289" s="19" t="s">
        <v>31</v>
      </c>
      <c r="K289" s="21" t="s">
        <v>51</v>
      </c>
      <c r="L289" s="33" t="str">
        <f t="shared" si="20"/>
        <v>2x SiOLED</v>
      </c>
      <c r="M289" s="21" t="s">
        <v>73</v>
      </c>
      <c r="N289" s="21"/>
      <c r="O289" s="27">
        <v>0.43</v>
      </c>
      <c r="P289" s="20">
        <v>1280</v>
      </c>
      <c r="Q289" s="20">
        <v>720</v>
      </c>
      <c r="R289" s="29">
        <f t="shared" si="21"/>
        <v>3415.3599536159668</v>
      </c>
      <c r="S289" s="20" t="s">
        <v>36</v>
      </c>
      <c r="T289" s="18">
        <v>42401</v>
      </c>
      <c r="U289" s="20">
        <v>2</v>
      </c>
      <c r="V289" s="120">
        <v>2.1999999999999999E-2</v>
      </c>
      <c r="W289" s="69">
        <f t="shared" si="22"/>
        <v>1.7128488959999997</v>
      </c>
      <c r="X289" s="106">
        <v>77.856767999999988</v>
      </c>
      <c r="Y289" s="72" t="str">
        <f t="shared" si="23"/>
        <v>AR_2022_2x SiOLED_Moverio</v>
      </c>
      <c r="Z289" s="36" t="str">
        <f t="shared" si="24"/>
        <v>AR_2022_2x SiOLED</v>
      </c>
    </row>
    <row r="290" spans="3:26">
      <c r="C290" s="17">
        <v>282</v>
      </c>
      <c r="D290" s="109" t="s">
        <v>129</v>
      </c>
      <c r="E290" s="20" t="s">
        <v>11</v>
      </c>
      <c r="F290" s="20" t="s">
        <v>176</v>
      </c>
      <c r="G290" s="21" t="s">
        <v>71</v>
      </c>
      <c r="H290" s="21" t="s">
        <v>130</v>
      </c>
      <c r="I290" s="19" t="s">
        <v>63</v>
      </c>
      <c r="J290" s="19" t="s">
        <v>31</v>
      </c>
      <c r="K290" s="21" t="s">
        <v>168</v>
      </c>
      <c r="L290" s="33" t="str">
        <f t="shared" si="20"/>
        <v>1x Micro LCD</v>
      </c>
      <c r="M290" s="21" t="s">
        <v>72</v>
      </c>
      <c r="N290" s="21"/>
      <c r="O290" s="27"/>
      <c r="P290" s="20">
        <v>640</v>
      </c>
      <c r="Q290" s="20">
        <v>360</v>
      </c>
      <c r="R290" s="29">
        <f t="shared" si="21"/>
        <v>0</v>
      </c>
      <c r="S290" s="20" t="s">
        <v>36</v>
      </c>
      <c r="T290" s="18">
        <v>43586</v>
      </c>
      <c r="U290" s="20">
        <v>1</v>
      </c>
      <c r="V290" s="120">
        <v>3.163E-3</v>
      </c>
      <c r="W290" s="69">
        <f t="shared" si="22"/>
        <v>0.12890034095399999</v>
      </c>
      <c r="X290" s="106">
        <v>40.752558000000001</v>
      </c>
      <c r="Y290" s="72" t="str">
        <f t="shared" si="23"/>
        <v>AR_2022_1x Micro LCD_Glass</v>
      </c>
      <c r="Z290" s="36" t="str">
        <f t="shared" si="24"/>
        <v>AR_2022_1x Micro LCD</v>
      </c>
    </row>
    <row r="291" spans="3:26">
      <c r="C291" s="17">
        <v>283</v>
      </c>
      <c r="D291" s="109" t="s">
        <v>129</v>
      </c>
      <c r="E291" s="20" t="s">
        <v>11</v>
      </c>
      <c r="F291" s="20" t="s">
        <v>176</v>
      </c>
      <c r="G291" s="21" t="s">
        <v>77</v>
      </c>
      <c r="H291" s="21" t="s">
        <v>131</v>
      </c>
      <c r="I291" s="19" t="s">
        <v>63</v>
      </c>
      <c r="J291" s="19" t="s">
        <v>27</v>
      </c>
      <c r="K291" s="21" t="s">
        <v>51</v>
      </c>
      <c r="L291" s="33" t="str">
        <f t="shared" si="20"/>
        <v>2x SiOLED</v>
      </c>
      <c r="M291" s="21" t="s">
        <v>116</v>
      </c>
      <c r="N291" s="21"/>
      <c r="O291" s="27">
        <v>0.49</v>
      </c>
      <c r="P291" s="20">
        <v>1920</v>
      </c>
      <c r="Q291" s="20">
        <v>1080</v>
      </c>
      <c r="R291" s="29">
        <f t="shared" si="21"/>
        <v>4495.7289185353029</v>
      </c>
      <c r="S291" s="20">
        <v>60</v>
      </c>
      <c r="T291" s="18">
        <v>44866</v>
      </c>
      <c r="U291" s="20">
        <v>2</v>
      </c>
      <c r="V291" s="120">
        <v>1.375E-2</v>
      </c>
      <c r="W291" s="69">
        <f t="shared" si="22"/>
        <v>0.71499999999999997</v>
      </c>
      <c r="X291" s="106">
        <v>52</v>
      </c>
      <c r="Y291" s="72" t="str">
        <f t="shared" si="23"/>
        <v>AR_2022_2x SiOLED_T1</v>
      </c>
      <c r="Z291" s="36" t="str">
        <f t="shared" si="24"/>
        <v>AR_2022_2x SiOLED</v>
      </c>
    </row>
    <row r="292" spans="3:26">
      <c r="C292" s="17">
        <v>284</v>
      </c>
      <c r="D292" s="109" t="s">
        <v>129</v>
      </c>
      <c r="E292" s="20" t="s">
        <v>11</v>
      </c>
      <c r="F292" s="20" t="s">
        <v>176</v>
      </c>
      <c r="G292" s="21" t="s">
        <v>77</v>
      </c>
      <c r="H292" s="21" t="s">
        <v>78</v>
      </c>
      <c r="I292" s="19" t="s">
        <v>63</v>
      </c>
      <c r="J292" s="19" t="s">
        <v>27</v>
      </c>
      <c r="K292" s="21" t="s">
        <v>51</v>
      </c>
      <c r="L292" s="33" t="str">
        <f t="shared" si="20"/>
        <v>2x SiOLED</v>
      </c>
      <c r="M292" s="21" t="s">
        <v>6</v>
      </c>
      <c r="N292" s="21"/>
      <c r="O292" s="27">
        <v>0.71</v>
      </c>
      <c r="P292" s="20">
        <v>1920</v>
      </c>
      <c r="Q292" s="20">
        <v>1080</v>
      </c>
      <c r="R292" s="29">
        <f t="shared" si="21"/>
        <v>3102.6861550454905</v>
      </c>
      <c r="S292" s="20" t="s">
        <v>36</v>
      </c>
      <c r="T292" s="18">
        <v>44348</v>
      </c>
      <c r="U292" s="20">
        <v>2</v>
      </c>
      <c r="V292" s="120">
        <v>1.9250000000000001E-3</v>
      </c>
      <c r="W292" s="69">
        <f t="shared" si="22"/>
        <v>0.14987427839999998</v>
      </c>
      <c r="X292" s="106">
        <v>77.856767999999988</v>
      </c>
      <c r="Y292" s="72" t="str">
        <f t="shared" si="23"/>
        <v>AR_2022_2x SiOLED_ThinkReality A3</v>
      </c>
      <c r="Z292" s="36" t="str">
        <f t="shared" si="24"/>
        <v>AR_2022_2x SiOLED</v>
      </c>
    </row>
    <row r="293" spans="3:26">
      <c r="C293" s="17">
        <v>285</v>
      </c>
      <c r="D293" s="109" t="s">
        <v>129</v>
      </c>
      <c r="E293" s="20" t="s">
        <v>11</v>
      </c>
      <c r="F293" s="20" t="s">
        <v>176</v>
      </c>
      <c r="G293" s="21" t="s">
        <v>65</v>
      </c>
      <c r="H293" s="21" t="s">
        <v>117</v>
      </c>
      <c r="I293" s="19" t="s">
        <v>63</v>
      </c>
      <c r="J293" s="19" t="s">
        <v>31</v>
      </c>
      <c r="K293" s="21" t="s">
        <v>67</v>
      </c>
      <c r="L293" s="33" t="str">
        <f t="shared" si="20"/>
        <v>2x LCoS</v>
      </c>
      <c r="M293" s="21" t="s">
        <v>36</v>
      </c>
      <c r="N293" s="21"/>
      <c r="O293" s="27"/>
      <c r="P293" s="20">
        <v>1440</v>
      </c>
      <c r="Q293" s="20">
        <v>1760</v>
      </c>
      <c r="R293" s="29">
        <f t="shared" si="21"/>
        <v>0</v>
      </c>
      <c r="S293" s="20" t="s">
        <v>36</v>
      </c>
      <c r="T293" s="18">
        <v>44805</v>
      </c>
      <c r="U293" s="20">
        <v>2</v>
      </c>
      <c r="V293" s="120">
        <v>5.4999999999999997E-3</v>
      </c>
      <c r="W293" s="69">
        <f t="shared" si="22"/>
        <v>0.245485647</v>
      </c>
      <c r="X293" s="106">
        <v>44.633754000000003</v>
      </c>
      <c r="Y293" s="72" t="str">
        <f t="shared" si="23"/>
        <v>AR_2022_2x LCoS_ML 2</v>
      </c>
      <c r="Z293" s="36" t="str">
        <f t="shared" si="24"/>
        <v>AR_2022_2x LCoS</v>
      </c>
    </row>
    <row r="294" spans="3:26">
      <c r="C294" s="17">
        <v>286</v>
      </c>
      <c r="D294" s="109" t="s">
        <v>129</v>
      </c>
      <c r="E294" s="20" t="s">
        <v>11</v>
      </c>
      <c r="F294" s="20" t="s">
        <v>176</v>
      </c>
      <c r="G294" s="21" t="s">
        <v>61</v>
      </c>
      <c r="H294" s="21" t="s">
        <v>62</v>
      </c>
      <c r="I294" s="19" t="s">
        <v>63</v>
      </c>
      <c r="J294" s="19" t="s">
        <v>31</v>
      </c>
      <c r="K294" s="21" t="s">
        <v>64</v>
      </c>
      <c r="L294" s="33" t="str">
        <f t="shared" si="20"/>
        <v>2x LBS</v>
      </c>
      <c r="M294" s="21" t="s">
        <v>36</v>
      </c>
      <c r="N294" s="21"/>
      <c r="O294" s="27"/>
      <c r="P294" s="20"/>
      <c r="Q294" s="20"/>
      <c r="R294" s="29">
        <f t="shared" si="21"/>
        <v>0</v>
      </c>
      <c r="S294" s="20" t="s">
        <v>36</v>
      </c>
      <c r="T294" s="18">
        <v>43770</v>
      </c>
      <c r="U294" s="20">
        <v>2</v>
      </c>
      <c r="V294" s="120">
        <v>6.875E-3</v>
      </c>
      <c r="W294" s="69">
        <f t="shared" si="22"/>
        <v>0.70275820999999994</v>
      </c>
      <c r="X294" s="106">
        <v>102.219376</v>
      </c>
      <c r="Y294" s="72" t="str">
        <f t="shared" si="23"/>
        <v>AR_2022_2x LBS_HoloLens 2</v>
      </c>
      <c r="Z294" s="36" t="str">
        <f t="shared" si="24"/>
        <v>AR_2022_2x LBS</v>
      </c>
    </row>
    <row r="295" spans="3:26">
      <c r="C295" s="17">
        <v>287</v>
      </c>
      <c r="D295" s="109" t="s">
        <v>129</v>
      </c>
      <c r="E295" s="20" t="s">
        <v>11</v>
      </c>
      <c r="F295" s="20" t="s">
        <v>176</v>
      </c>
      <c r="G295" s="21" t="s">
        <v>186</v>
      </c>
      <c r="H295" s="21" t="s">
        <v>187</v>
      </c>
      <c r="I295" s="19" t="s">
        <v>63</v>
      </c>
      <c r="J295" s="19" t="s">
        <v>27</v>
      </c>
      <c r="K295" s="21" t="s">
        <v>51</v>
      </c>
      <c r="L295" s="33" t="str">
        <f t="shared" si="20"/>
        <v>2x SiOLED</v>
      </c>
      <c r="M295" s="21" t="s">
        <v>145</v>
      </c>
      <c r="N295" s="21"/>
      <c r="O295" s="27">
        <v>0.71</v>
      </c>
      <c r="P295" s="20">
        <v>1920</v>
      </c>
      <c r="Q295" s="20">
        <v>1080</v>
      </c>
      <c r="R295" s="29">
        <f t="shared" si="21"/>
        <v>3102.6861550454905</v>
      </c>
      <c r="S295" s="20">
        <v>90</v>
      </c>
      <c r="T295" s="18">
        <v>44044</v>
      </c>
      <c r="U295" s="20">
        <v>2</v>
      </c>
      <c r="V295" s="120">
        <v>8.2500000000000004E-2</v>
      </c>
      <c r="W295" s="69">
        <f t="shared" si="22"/>
        <v>6.4231833599999995</v>
      </c>
      <c r="X295" s="106">
        <v>77.856767999999988</v>
      </c>
      <c r="Y295" s="72" t="str">
        <f t="shared" si="23"/>
        <v>AR_2022_2x SiOLED_Light</v>
      </c>
      <c r="Z295" s="36" t="str">
        <f t="shared" si="24"/>
        <v>AR_2022_2x SiOLED</v>
      </c>
    </row>
    <row r="296" spans="3:26">
      <c r="C296" s="17">
        <v>288</v>
      </c>
      <c r="D296" s="109" t="s">
        <v>129</v>
      </c>
      <c r="E296" s="20" t="s">
        <v>11</v>
      </c>
      <c r="F296" s="20" t="s">
        <v>176</v>
      </c>
      <c r="G296" s="21" t="s">
        <v>118</v>
      </c>
      <c r="H296" s="21" t="s">
        <v>119</v>
      </c>
      <c r="I296" s="19" t="s">
        <v>63</v>
      </c>
      <c r="J296" s="19" t="s">
        <v>27</v>
      </c>
      <c r="K296" s="21" t="s">
        <v>120</v>
      </c>
      <c r="L296" s="33" t="str">
        <f t="shared" si="20"/>
        <v>1x MicroLED</v>
      </c>
      <c r="M296" s="21" t="s">
        <v>144</v>
      </c>
      <c r="N296" s="21"/>
      <c r="O296" s="27">
        <v>0.13</v>
      </c>
      <c r="P296" s="20">
        <v>640</v>
      </c>
      <c r="Q296" s="20">
        <v>480</v>
      </c>
      <c r="R296" s="29">
        <f t="shared" si="21"/>
        <v>6153.8461538461534</v>
      </c>
      <c r="S296" s="20" t="s">
        <v>36</v>
      </c>
      <c r="T296" s="18">
        <v>44562</v>
      </c>
      <c r="U296" s="20">
        <v>1</v>
      </c>
      <c r="V296" s="120">
        <v>6.8799999999999992E-4</v>
      </c>
      <c r="W296" s="69">
        <f t="shared" si="22"/>
        <v>5.4286970239999982E-2</v>
      </c>
      <c r="X296" s="106">
        <v>78.905479999999983</v>
      </c>
      <c r="Y296" s="72" t="str">
        <f t="shared" si="23"/>
        <v>AR_2022_1x MicroLED_Air Glass</v>
      </c>
      <c r="Z296" s="36" t="str">
        <f t="shared" si="24"/>
        <v>AR_2022_1x MicroLED</v>
      </c>
    </row>
    <row r="297" spans="3:26">
      <c r="C297" s="17">
        <v>289</v>
      </c>
      <c r="D297" s="109" t="s">
        <v>129</v>
      </c>
      <c r="E297" s="20" t="s">
        <v>11</v>
      </c>
      <c r="F297" s="20" t="s">
        <v>176</v>
      </c>
      <c r="G297" s="21" t="s">
        <v>132</v>
      </c>
      <c r="H297" s="21" t="s">
        <v>133</v>
      </c>
      <c r="I297" s="19" t="s">
        <v>63</v>
      </c>
      <c r="J297" s="19" t="s">
        <v>27</v>
      </c>
      <c r="K297" s="21" t="s">
        <v>51</v>
      </c>
      <c r="L297" s="33" t="str">
        <f t="shared" si="20"/>
        <v>2x SiOLED</v>
      </c>
      <c r="M297" s="21" t="s">
        <v>116</v>
      </c>
      <c r="N297" s="21"/>
      <c r="O297" s="27">
        <v>0.49</v>
      </c>
      <c r="P297" s="20">
        <v>1920</v>
      </c>
      <c r="Q297" s="20">
        <v>1080</v>
      </c>
      <c r="R297" s="29">
        <f t="shared" si="21"/>
        <v>4495.7289185353029</v>
      </c>
      <c r="S297" s="20">
        <v>75</v>
      </c>
      <c r="T297" s="18">
        <v>44501</v>
      </c>
      <c r="U297" s="20">
        <v>2</v>
      </c>
      <c r="V297" s="120">
        <v>1.0999999999999999E-2</v>
      </c>
      <c r="W297" s="69">
        <f t="shared" si="22"/>
        <v>0.57199999999999995</v>
      </c>
      <c r="X297" s="106">
        <v>52</v>
      </c>
      <c r="Y297" s="72" t="str">
        <f t="shared" si="23"/>
        <v>AR_2022_2x SiOLED_Air</v>
      </c>
      <c r="Z297" s="36" t="str">
        <f t="shared" si="24"/>
        <v>AR_2022_2x SiOLED</v>
      </c>
    </row>
    <row r="298" spans="3:26">
      <c r="C298" s="17">
        <v>290</v>
      </c>
      <c r="D298" s="109" t="s">
        <v>129</v>
      </c>
      <c r="E298" s="20" t="s">
        <v>11</v>
      </c>
      <c r="F298" s="20" t="s">
        <v>176</v>
      </c>
      <c r="G298" s="21" t="s">
        <v>135</v>
      </c>
      <c r="H298" s="21" t="s">
        <v>136</v>
      </c>
      <c r="I298" s="19" t="s">
        <v>63</v>
      </c>
      <c r="J298" s="19" t="s">
        <v>27</v>
      </c>
      <c r="K298" s="21" t="s">
        <v>51</v>
      </c>
      <c r="L298" s="33" t="str">
        <f t="shared" si="20"/>
        <v>2x SiOLED</v>
      </c>
      <c r="M298" s="21" t="s">
        <v>6</v>
      </c>
      <c r="N298" s="21"/>
      <c r="O298" s="27">
        <v>0.55000000000000004</v>
      </c>
      <c r="P298" s="20">
        <v>1920</v>
      </c>
      <c r="Q298" s="20">
        <v>1080</v>
      </c>
      <c r="R298" s="29">
        <f t="shared" si="21"/>
        <v>4005.2857637859966</v>
      </c>
      <c r="S298" s="20" t="s">
        <v>36</v>
      </c>
      <c r="T298" s="18">
        <v>44866</v>
      </c>
      <c r="U298" s="20">
        <v>2</v>
      </c>
      <c r="V298" s="120">
        <v>8.2500000000000004E-3</v>
      </c>
      <c r="W298" s="69">
        <f t="shared" si="22"/>
        <v>0.47850000000000004</v>
      </c>
      <c r="X298" s="106">
        <v>58</v>
      </c>
      <c r="Y298" s="72" t="str">
        <f t="shared" si="23"/>
        <v>AR_2022_2x SiOLED_NXTWear</v>
      </c>
      <c r="Z298" s="36" t="str">
        <f t="shared" si="24"/>
        <v>AR_2022_2x SiOLED</v>
      </c>
    </row>
    <row r="299" spans="3:26">
      <c r="C299" s="17">
        <v>291</v>
      </c>
      <c r="D299" s="109" t="s">
        <v>129</v>
      </c>
      <c r="E299" s="20" t="s">
        <v>11</v>
      </c>
      <c r="F299" s="20" t="s">
        <v>176</v>
      </c>
      <c r="G299" s="21" t="s">
        <v>68</v>
      </c>
      <c r="H299" s="21" t="s">
        <v>69</v>
      </c>
      <c r="I299" s="19" t="s">
        <v>63</v>
      </c>
      <c r="J299" s="19" t="s">
        <v>31</v>
      </c>
      <c r="K299" s="21" t="s">
        <v>70</v>
      </c>
      <c r="L299" s="33" t="str">
        <f t="shared" si="20"/>
        <v>1x DLP</v>
      </c>
      <c r="M299" s="21" t="s">
        <v>172</v>
      </c>
      <c r="N299" s="21"/>
      <c r="O299" s="27"/>
      <c r="P299" s="20">
        <v>853</v>
      </c>
      <c r="Q299" s="20">
        <v>480</v>
      </c>
      <c r="R299" s="29">
        <f t="shared" si="21"/>
        <v>0</v>
      </c>
      <c r="S299" s="20" t="s">
        <v>36</v>
      </c>
      <c r="T299" s="18">
        <v>43466</v>
      </c>
      <c r="U299" s="20">
        <v>1</v>
      </c>
      <c r="V299" s="120">
        <v>4.1299999999999996E-4</v>
      </c>
      <c r="W299" s="69">
        <f t="shared" si="22"/>
        <v>3.3260879420999992E-2</v>
      </c>
      <c r="X299" s="106">
        <v>80.53481699999999</v>
      </c>
      <c r="Y299" s="72" t="str">
        <f t="shared" si="23"/>
        <v>AR_2022_1x DLP_Blade</v>
      </c>
      <c r="Z299" s="36" t="str">
        <f t="shared" si="24"/>
        <v>AR_2022_1x DLP</v>
      </c>
    </row>
    <row r="300" spans="3:26">
      <c r="C300" s="17">
        <v>292</v>
      </c>
      <c r="D300" s="109" t="s">
        <v>129</v>
      </c>
      <c r="E300" s="20" t="s">
        <v>11</v>
      </c>
      <c r="F300" s="20" t="s">
        <v>176</v>
      </c>
      <c r="G300" s="21" t="s">
        <v>68</v>
      </c>
      <c r="H300" s="21" t="s">
        <v>122</v>
      </c>
      <c r="I300" s="19" t="s">
        <v>63</v>
      </c>
      <c r="J300" s="19" t="s">
        <v>31</v>
      </c>
      <c r="K300" s="21" t="s">
        <v>120</v>
      </c>
      <c r="L300" s="33" t="str">
        <f t="shared" si="20"/>
        <v>2x MicroLED</v>
      </c>
      <c r="M300" s="21" t="s">
        <v>144</v>
      </c>
      <c r="N300" s="21"/>
      <c r="O300" s="27">
        <v>0.13</v>
      </c>
      <c r="P300" s="20">
        <v>640</v>
      </c>
      <c r="Q300" s="20">
        <v>480</v>
      </c>
      <c r="R300" s="29">
        <f t="shared" si="21"/>
        <v>6153.8461538461534</v>
      </c>
      <c r="S300" s="20" t="s">
        <v>36</v>
      </c>
      <c r="T300" s="18">
        <v>44896</v>
      </c>
      <c r="U300" s="20">
        <v>2</v>
      </c>
      <c r="V300" s="120">
        <v>5.5000000000000003E-4</v>
      </c>
      <c r="W300" s="69">
        <f t="shared" si="22"/>
        <v>4.3398013999999992E-2</v>
      </c>
      <c r="X300" s="106">
        <v>78.905479999999983</v>
      </c>
      <c r="Y300" s="72" t="str">
        <f t="shared" si="23"/>
        <v>AR_2022_2x MicroLED_Shield</v>
      </c>
      <c r="Z300" s="36" t="str">
        <f t="shared" si="24"/>
        <v>AR_2022_2x MicroLED</v>
      </c>
    </row>
    <row r="301" spans="3:26">
      <c r="C301" s="17">
        <v>293</v>
      </c>
      <c r="D301" s="109" t="s">
        <v>129</v>
      </c>
      <c r="E301" s="20" t="s">
        <v>11</v>
      </c>
      <c r="F301" s="20" t="s">
        <v>176</v>
      </c>
      <c r="G301" s="21" t="s">
        <v>97</v>
      </c>
      <c r="H301" s="21" t="s">
        <v>123</v>
      </c>
      <c r="I301" s="19" t="s">
        <v>63</v>
      </c>
      <c r="J301" s="19" t="s">
        <v>36</v>
      </c>
      <c r="K301" s="21" t="s">
        <v>120</v>
      </c>
      <c r="L301" s="33" t="str">
        <f t="shared" si="20"/>
        <v>2x MicroLED</v>
      </c>
      <c r="M301" s="21" t="s">
        <v>36</v>
      </c>
      <c r="N301" s="21"/>
      <c r="O301" s="27"/>
      <c r="P301" s="20"/>
      <c r="Q301" s="20"/>
      <c r="R301" s="29">
        <f t="shared" si="21"/>
        <v>0</v>
      </c>
      <c r="S301" s="20" t="s">
        <v>36</v>
      </c>
      <c r="T301" s="18" t="s">
        <v>143</v>
      </c>
      <c r="U301" s="20">
        <v>2</v>
      </c>
      <c r="V301" s="120">
        <v>2.7500000000000002E-4</v>
      </c>
      <c r="W301" s="69">
        <f t="shared" si="22"/>
        <v>2.1699006999999996E-2</v>
      </c>
      <c r="X301" s="106">
        <v>78.905479999999983</v>
      </c>
      <c r="Y301" s="72" t="str">
        <f t="shared" si="23"/>
        <v>AR_2022_2x MicroLED_Binocular MicroLED</v>
      </c>
      <c r="Z301" s="36" t="str">
        <f t="shared" si="24"/>
        <v>AR_2022_2x MicroLED</v>
      </c>
    </row>
    <row r="302" spans="3:26">
      <c r="C302" s="17">
        <v>294</v>
      </c>
      <c r="D302" s="109" t="s">
        <v>129</v>
      </c>
      <c r="E302" s="20" t="s">
        <v>11</v>
      </c>
      <c r="F302" s="20" t="s">
        <v>176</v>
      </c>
      <c r="G302" s="21" t="s">
        <v>97</v>
      </c>
      <c r="H302" s="21" t="s">
        <v>76</v>
      </c>
      <c r="I302" s="19" t="s">
        <v>63</v>
      </c>
      <c r="J302" s="19" t="s">
        <v>36</v>
      </c>
      <c r="K302" s="21" t="s">
        <v>70</v>
      </c>
      <c r="L302" s="33" t="str">
        <f t="shared" si="20"/>
        <v>1x DLP</v>
      </c>
      <c r="M302" s="21" t="s">
        <v>36</v>
      </c>
      <c r="N302" s="21"/>
      <c r="O302" s="27"/>
      <c r="P302" s="20"/>
      <c r="Q302" s="20"/>
      <c r="R302" s="29">
        <f t="shared" si="21"/>
        <v>0</v>
      </c>
      <c r="S302" s="20" t="s">
        <v>36</v>
      </c>
      <c r="T302" s="18" t="s">
        <v>143</v>
      </c>
      <c r="U302" s="20">
        <v>1</v>
      </c>
      <c r="V302" s="120">
        <v>2.7500000000000002E-4</v>
      </c>
      <c r="W302" s="69">
        <f t="shared" si="22"/>
        <v>2.2147074675E-2</v>
      </c>
      <c r="X302" s="106">
        <v>80.53481699999999</v>
      </c>
      <c r="Y302" s="72" t="str">
        <f t="shared" si="23"/>
        <v>AR_2022_1x DLP_DLP glasses</v>
      </c>
      <c r="Z302" s="36" t="str">
        <f t="shared" si="24"/>
        <v>AR_2022_1x DLP</v>
      </c>
    </row>
    <row r="303" spans="3:26">
      <c r="C303" s="17">
        <v>295</v>
      </c>
      <c r="D303" s="109" t="s">
        <v>129</v>
      </c>
      <c r="E303" s="20" t="s">
        <v>11</v>
      </c>
      <c r="F303" s="20" t="s">
        <v>176</v>
      </c>
      <c r="G303" s="21" t="s">
        <v>97</v>
      </c>
      <c r="H303" s="21" t="s">
        <v>80</v>
      </c>
      <c r="I303" s="19" t="s">
        <v>63</v>
      </c>
      <c r="J303" s="19" t="s">
        <v>36</v>
      </c>
      <c r="K303" s="21" t="s">
        <v>64</v>
      </c>
      <c r="L303" s="33" t="str">
        <f t="shared" si="20"/>
        <v>2x LBS</v>
      </c>
      <c r="M303" s="21" t="s">
        <v>36</v>
      </c>
      <c r="N303" s="21"/>
      <c r="O303" s="27"/>
      <c r="P303" s="20"/>
      <c r="Q303" s="20"/>
      <c r="R303" s="29">
        <f t="shared" si="21"/>
        <v>0</v>
      </c>
      <c r="S303" s="20" t="s">
        <v>36</v>
      </c>
      <c r="T303" s="18" t="s">
        <v>143</v>
      </c>
      <c r="U303" s="20">
        <v>2</v>
      </c>
      <c r="V303" s="120">
        <v>8.25E-4</v>
      </c>
      <c r="W303" s="69">
        <f t="shared" si="22"/>
        <v>8.43309852E-2</v>
      </c>
      <c r="X303" s="106">
        <v>102.219376</v>
      </c>
      <c r="Y303" s="72" t="str">
        <f t="shared" si="23"/>
        <v>AR_2022_2x LBS_LBS glasses</v>
      </c>
      <c r="Z303" s="36" t="str">
        <f t="shared" si="24"/>
        <v>AR_2022_2x LBS</v>
      </c>
    </row>
    <row r="304" spans="3:26">
      <c r="C304" s="17">
        <v>296</v>
      </c>
      <c r="D304" s="109" t="s">
        <v>129</v>
      </c>
      <c r="E304" s="20" t="s">
        <v>11</v>
      </c>
      <c r="F304" s="20" t="s">
        <v>176</v>
      </c>
      <c r="G304" s="21" t="s">
        <v>97</v>
      </c>
      <c r="H304" s="21" t="s">
        <v>75</v>
      </c>
      <c r="I304" s="19" t="s">
        <v>63</v>
      </c>
      <c r="J304" s="19" t="s">
        <v>36</v>
      </c>
      <c r="K304" s="21" t="s">
        <v>67</v>
      </c>
      <c r="L304" s="33" t="str">
        <f t="shared" si="20"/>
        <v>2x LCoS</v>
      </c>
      <c r="M304" s="21" t="s">
        <v>36</v>
      </c>
      <c r="N304" s="21"/>
      <c r="O304" s="27"/>
      <c r="P304" s="20"/>
      <c r="Q304" s="20"/>
      <c r="R304" s="29">
        <f t="shared" si="21"/>
        <v>0</v>
      </c>
      <c r="S304" s="20" t="s">
        <v>36</v>
      </c>
      <c r="T304" s="18" t="s">
        <v>143</v>
      </c>
      <c r="U304" s="20">
        <v>2</v>
      </c>
      <c r="V304" s="120">
        <v>4.1250000000000002E-3</v>
      </c>
      <c r="W304" s="69">
        <f t="shared" si="22"/>
        <v>0.18411423525000004</v>
      </c>
      <c r="X304" s="106">
        <v>44.633754000000003</v>
      </c>
      <c r="Y304" s="72" t="str">
        <f t="shared" si="23"/>
        <v>AR_2022_2x LCoS_LCoS glasses</v>
      </c>
      <c r="Z304" s="36" t="str">
        <f t="shared" si="24"/>
        <v>AR_2022_2x LCoS</v>
      </c>
    </row>
    <row r="305" spans="3:26">
      <c r="C305" s="17">
        <v>297</v>
      </c>
      <c r="D305" s="109" t="s">
        <v>129</v>
      </c>
      <c r="E305" s="20" t="s">
        <v>11</v>
      </c>
      <c r="F305" s="20" t="s">
        <v>176</v>
      </c>
      <c r="G305" s="21" t="s">
        <v>97</v>
      </c>
      <c r="H305" s="21" t="s">
        <v>121</v>
      </c>
      <c r="I305" s="19" t="s">
        <v>63</v>
      </c>
      <c r="J305" s="19" t="s">
        <v>36</v>
      </c>
      <c r="K305" s="21" t="s">
        <v>120</v>
      </c>
      <c r="L305" s="33" t="str">
        <f t="shared" si="20"/>
        <v>1x MicroLED</v>
      </c>
      <c r="M305" s="21" t="s">
        <v>36</v>
      </c>
      <c r="N305" s="21"/>
      <c r="O305" s="27"/>
      <c r="P305" s="20"/>
      <c r="Q305" s="20"/>
      <c r="R305" s="29">
        <f t="shared" si="21"/>
        <v>0</v>
      </c>
      <c r="S305" s="20" t="s">
        <v>36</v>
      </c>
      <c r="T305" s="18" t="s">
        <v>143</v>
      </c>
      <c r="U305" s="20">
        <v>1</v>
      </c>
      <c r="V305" s="120">
        <v>1.3800000000000002E-4</v>
      </c>
      <c r="W305" s="69">
        <f t="shared" si="22"/>
        <v>1.0888956239999999E-2</v>
      </c>
      <c r="X305" s="106">
        <v>78.905479999999983</v>
      </c>
      <c r="Y305" s="72" t="str">
        <f t="shared" si="23"/>
        <v>AR_2022_1x MicroLED_Monocular MicroLED</v>
      </c>
      <c r="Z305" s="36" t="str">
        <f t="shared" si="24"/>
        <v>AR_2022_1x MicroLED</v>
      </c>
    </row>
    <row r="306" spans="3:26">
      <c r="C306" s="17">
        <v>298</v>
      </c>
      <c r="D306" s="109" t="s">
        <v>129</v>
      </c>
      <c r="E306" s="20" t="s">
        <v>11</v>
      </c>
      <c r="F306" s="20" t="s">
        <v>176</v>
      </c>
      <c r="G306" s="21" t="s">
        <v>97</v>
      </c>
      <c r="H306" s="21" t="s">
        <v>79</v>
      </c>
      <c r="I306" s="19" t="s">
        <v>63</v>
      </c>
      <c r="J306" s="19" t="s">
        <v>36</v>
      </c>
      <c r="K306" s="21" t="s">
        <v>51</v>
      </c>
      <c r="L306" s="33" t="str">
        <f t="shared" si="20"/>
        <v>2x SiOLED</v>
      </c>
      <c r="M306" s="21" t="s">
        <v>36</v>
      </c>
      <c r="N306" s="21"/>
      <c r="O306" s="27"/>
      <c r="P306" s="20"/>
      <c r="Q306" s="20"/>
      <c r="R306" s="29">
        <f t="shared" si="21"/>
        <v>0</v>
      </c>
      <c r="S306" s="20" t="s">
        <v>36</v>
      </c>
      <c r="T306" s="18" t="s">
        <v>143</v>
      </c>
      <c r="U306" s="20">
        <v>2</v>
      </c>
      <c r="V306" s="120">
        <v>3.8500000000000001E-3</v>
      </c>
      <c r="W306" s="69">
        <f t="shared" si="22"/>
        <v>0.29974855679999995</v>
      </c>
      <c r="X306" s="106">
        <v>77.856767999999988</v>
      </c>
      <c r="Y306" s="72" t="str">
        <f t="shared" si="23"/>
        <v>AR_2022_2x SiOLED_SiOLED glasses</v>
      </c>
      <c r="Z306" s="36" t="str">
        <f t="shared" si="24"/>
        <v>AR_2022_2x SiOLED</v>
      </c>
    </row>
    <row r="307" spans="3:26">
      <c r="C307" s="17">
        <v>299</v>
      </c>
      <c r="D307" s="109" t="s">
        <v>26</v>
      </c>
      <c r="E307" s="20" t="s">
        <v>11</v>
      </c>
      <c r="F307" s="20" t="s">
        <v>177</v>
      </c>
      <c r="G307" s="21" t="s">
        <v>114</v>
      </c>
      <c r="H307" s="21" t="s">
        <v>115</v>
      </c>
      <c r="I307" s="19" t="s">
        <v>26</v>
      </c>
      <c r="J307" s="19" t="s">
        <v>36</v>
      </c>
      <c r="K307" s="21" t="s">
        <v>51</v>
      </c>
      <c r="L307" s="33" t="str">
        <f t="shared" si="20"/>
        <v>2x SiOLED</v>
      </c>
      <c r="M307" s="21" t="s">
        <v>116</v>
      </c>
      <c r="N307" s="21" t="s">
        <v>143</v>
      </c>
      <c r="O307" s="27">
        <v>1.03</v>
      </c>
      <c r="P307" s="20">
        <v>2560</v>
      </c>
      <c r="Q307" s="20">
        <v>2560</v>
      </c>
      <c r="R307" s="29">
        <f t="shared" si="21"/>
        <v>3514.9385627913821</v>
      </c>
      <c r="S307" s="20" t="s">
        <v>36</v>
      </c>
      <c r="T307" s="18" t="s">
        <v>143</v>
      </c>
      <c r="U307" s="20">
        <v>2</v>
      </c>
      <c r="V307" s="120">
        <v>5.5000000000000003E-4</v>
      </c>
      <c r="W307" s="69">
        <f t="shared" si="22"/>
        <v>0.11026125000000001</v>
      </c>
      <c r="X307" s="106">
        <v>200.47499999999999</v>
      </c>
      <c r="Y307" s="72" t="str">
        <f t="shared" si="23"/>
        <v>VR_2022_2x SiOLED_5K VR</v>
      </c>
      <c r="Z307" s="36" t="str">
        <f t="shared" si="24"/>
        <v>VR_2022_2x SiOLED</v>
      </c>
    </row>
    <row r="308" spans="3:26">
      <c r="C308" s="17">
        <v>300</v>
      </c>
      <c r="D308" s="109" t="s">
        <v>26</v>
      </c>
      <c r="E308" s="20" t="s">
        <v>11</v>
      </c>
      <c r="F308" s="20" t="s">
        <v>177</v>
      </c>
      <c r="G308" s="21" t="s">
        <v>106</v>
      </c>
      <c r="H308" s="21" t="s">
        <v>107</v>
      </c>
      <c r="I308" s="19" t="s">
        <v>26</v>
      </c>
      <c r="J308" s="19" t="s">
        <v>31</v>
      </c>
      <c r="K308" s="21" t="s">
        <v>15</v>
      </c>
      <c r="L308" s="33" t="str">
        <f t="shared" si="20"/>
        <v>1x LCD</v>
      </c>
      <c r="M308" s="21" t="s">
        <v>36</v>
      </c>
      <c r="N308" s="21" t="s">
        <v>143</v>
      </c>
      <c r="O308" s="27"/>
      <c r="P308" s="20"/>
      <c r="Q308" s="20"/>
      <c r="R308" s="29">
        <f t="shared" si="21"/>
        <v>0</v>
      </c>
      <c r="S308" s="20" t="s">
        <v>36</v>
      </c>
      <c r="T308" s="18">
        <v>43770</v>
      </c>
      <c r="U308" s="20">
        <v>1</v>
      </c>
      <c r="V308" s="120">
        <v>0.11</v>
      </c>
      <c r="W308" s="69">
        <f t="shared" si="22"/>
        <v>6.2118671999999995</v>
      </c>
      <c r="X308" s="106">
        <v>56.471519999999991</v>
      </c>
      <c r="Y308" s="72" t="str">
        <f t="shared" si="23"/>
        <v>VR_2022_1x LCD_P1 family</v>
      </c>
      <c r="Z308" s="36" t="str">
        <f t="shared" si="24"/>
        <v>VR_2022_1x LCD</v>
      </c>
    </row>
    <row r="309" spans="3:26">
      <c r="C309" s="17">
        <v>301</v>
      </c>
      <c r="D309" s="109" t="s">
        <v>26</v>
      </c>
      <c r="E309" s="20" t="s">
        <v>11</v>
      </c>
      <c r="F309" s="20" t="s">
        <v>177</v>
      </c>
      <c r="G309" s="21" t="s">
        <v>41</v>
      </c>
      <c r="H309" s="21" t="s">
        <v>178</v>
      </c>
      <c r="I309" s="19" t="s">
        <v>26</v>
      </c>
      <c r="J309" s="19" t="s">
        <v>31</v>
      </c>
      <c r="K309" s="21" t="s">
        <v>15</v>
      </c>
      <c r="L309" s="33" t="str">
        <f t="shared" si="20"/>
        <v>2x LCD</v>
      </c>
      <c r="M309" s="21" t="s">
        <v>2</v>
      </c>
      <c r="N309" s="21" t="s">
        <v>143</v>
      </c>
      <c r="O309" s="27"/>
      <c r="P309" s="20"/>
      <c r="Q309" s="20"/>
      <c r="R309" s="29">
        <f t="shared" si="21"/>
        <v>0</v>
      </c>
      <c r="S309" s="20" t="s">
        <v>36</v>
      </c>
      <c r="T309" s="18">
        <v>43739</v>
      </c>
      <c r="U309" s="20">
        <v>2</v>
      </c>
      <c r="V309" s="120">
        <v>1.925E-2</v>
      </c>
      <c r="W309" s="69">
        <f t="shared" si="22"/>
        <v>0.72471784000000006</v>
      </c>
      <c r="X309" s="106">
        <v>37.647680000000001</v>
      </c>
      <c r="Y309" s="72" t="str">
        <f t="shared" si="23"/>
        <v>VR_2022_2x LCD_Vive LCD headsets</v>
      </c>
      <c r="Z309" s="36" t="str">
        <f t="shared" si="24"/>
        <v>VR_2022_2x LCD</v>
      </c>
    </row>
    <row r="310" spans="3:26">
      <c r="C310" s="17">
        <v>302</v>
      </c>
      <c r="D310" s="109" t="s">
        <v>26</v>
      </c>
      <c r="E310" s="20" t="s">
        <v>11</v>
      </c>
      <c r="F310" s="20" t="s">
        <v>177</v>
      </c>
      <c r="G310" s="21" t="s">
        <v>77</v>
      </c>
      <c r="H310" s="21" t="s">
        <v>163</v>
      </c>
      <c r="I310" s="19" t="s">
        <v>44</v>
      </c>
      <c r="J310" s="19" t="s">
        <v>31</v>
      </c>
      <c r="K310" s="21" t="s">
        <v>15</v>
      </c>
      <c r="L310" s="33" t="str">
        <f t="shared" si="20"/>
        <v>2x LCD</v>
      </c>
      <c r="M310" s="21" t="s">
        <v>36</v>
      </c>
      <c r="N310" s="21"/>
      <c r="O310" s="27"/>
      <c r="P310" s="20"/>
      <c r="Q310" s="20"/>
      <c r="R310" s="29">
        <f t="shared" si="21"/>
        <v>0</v>
      </c>
      <c r="S310" s="20" t="s">
        <v>36</v>
      </c>
      <c r="T310" s="18">
        <v>45078</v>
      </c>
      <c r="U310" s="20">
        <v>2</v>
      </c>
      <c r="V310" s="120">
        <v>5.4999999999999997E-3</v>
      </c>
      <c r="W310" s="69">
        <f t="shared" si="22"/>
        <v>0.20706223999999998</v>
      </c>
      <c r="X310" s="106">
        <v>37.647680000000001</v>
      </c>
      <c r="Y310" s="72" t="str">
        <f t="shared" si="23"/>
        <v>VR_2022_2x LCD_ThinkReality VRX</v>
      </c>
      <c r="Z310" s="36" t="str">
        <f t="shared" si="24"/>
        <v>VR_2022_2x LCD</v>
      </c>
    </row>
    <row r="311" spans="3:26">
      <c r="C311" s="17">
        <v>303</v>
      </c>
      <c r="D311" s="109" t="s">
        <v>26</v>
      </c>
      <c r="E311" s="20" t="s">
        <v>11</v>
      </c>
      <c r="F311" s="20" t="s">
        <v>177</v>
      </c>
      <c r="G311" s="21" t="s">
        <v>43</v>
      </c>
      <c r="H311" s="21" t="s">
        <v>7</v>
      </c>
      <c r="I311" s="19" t="s">
        <v>44</v>
      </c>
      <c r="J311" s="19" t="s">
        <v>31</v>
      </c>
      <c r="K311" s="21" t="s">
        <v>15</v>
      </c>
      <c r="L311" s="33" t="str">
        <f t="shared" si="20"/>
        <v>2x LCD</v>
      </c>
      <c r="M311" s="21" t="s">
        <v>2</v>
      </c>
      <c r="N311" s="21" t="s">
        <v>143</v>
      </c>
      <c r="O311" s="27">
        <v>2.1</v>
      </c>
      <c r="P311" s="20">
        <v>1600</v>
      </c>
      <c r="Q311" s="20">
        <v>1600</v>
      </c>
      <c r="R311" s="29">
        <f t="shared" si="21"/>
        <v>1077.4960475223581</v>
      </c>
      <c r="S311" s="20">
        <v>90</v>
      </c>
      <c r="T311" s="18" t="s">
        <v>143</v>
      </c>
      <c r="U311" s="20">
        <v>2</v>
      </c>
      <c r="V311" s="120">
        <v>8.2500000000000004E-3</v>
      </c>
      <c r="W311" s="69">
        <f t="shared" si="22"/>
        <v>0.31059336000000004</v>
      </c>
      <c r="X311" s="106">
        <v>37.647680000000001</v>
      </c>
      <c r="Y311" s="72" t="str">
        <f t="shared" si="23"/>
        <v>VR_2022_2x LCD_R1</v>
      </c>
      <c r="Z311" s="36" t="str">
        <f t="shared" si="24"/>
        <v>VR_2022_2x LCD</v>
      </c>
    </row>
    <row r="312" spans="3:26">
      <c r="C312" s="17">
        <v>304</v>
      </c>
      <c r="D312" s="109" t="s">
        <v>26</v>
      </c>
      <c r="E312" s="20" t="s">
        <v>11</v>
      </c>
      <c r="F312" s="20" t="s">
        <v>177</v>
      </c>
      <c r="G312" s="21" t="s">
        <v>112</v>
      </c>
      <c r="H312" s="21" t="s">
        <v>32</v>
      </c>
      <c r="I312" s="19" t="s">
        <v>26</v>
      </c>
      <c r="J312" s="19" t="s">
        <v>31</v>
      </c>
      <c r="K312" s="21" t="s">
        <v>15</v>
      </c>
      <c r="L312" s="33" t="str">
        <f t="shared" si="20"/>
        <v>1x LCD</v>
      </c>
      <c r="M312" s="21" t="s">
        <v>2</v>
      </c>
      <c r="N312" s="21" t="s">
        <v>166</v>
      </c>
      <c r="O312" s="27">
        <v>5.5</v>
      </c>
      <c r="P312" s="20">
        <v>3840</v>
      </c>
      <c r="Q312" s="20">
        <v>1832</v>
      </c>
      <c r="R312" s="29">
        <f t="shared" si="21"/>
        <v>773.56797048396322</v>
      </c>
      <c r="S312" s="20">
        <v>90</v>
      </c>
      <c r="T312" s="18">
        <v>44105</v>
      </c>
      <c r="U312" s="20">
        <v>1</v>
      </c>
      <c r="V312" s="120">
        <v>1.375</v>
      </c>
      <c r="W312" s="69">
        <f t="shared" si="22"/>
        <v>77.64833999999999</v>
      </c>
      <c r="X312" s="106">
        <v>56.471519999999991</v>
      </c>
      <c r="Y312" s="72" t="str">
        <f t="shared" si="23"/>
        <v>VR_2022_1x LCD_Quest 2</v>
      </c>
      <c r="Z312" s="36" t="str">
        <f t="shared" si="24"/>
        <v>VR_2022_1x LCD</v>
      </c>
    </row>
    <row r="313" spans="3:26">
      <c r="C313" s="17">
        <v>305</v>
      </c>
      <c r="D313" s="109" t="s">
        <v>26</v>
      </c>
      <c r="E313" s="20" t="s">
        <v>11</v>
      </c>
      <c r="F313" s="20" t="s">
        <v>177</v>
      </c>
      <c r="G313" s="21" t="s">
        <v>112</v>
      </c>
      <c r="H313" s="21" t="s">
        <v>113</v>
      </c>
      <c r="I313" s="19" t="s">
        <v>44</v>
      </c>
      <c r="J313" s="19" t="s">
        <v>31</v>
      </c>
      <c r="K313" s="21" t="s">
        <v>15</v>
      </c>
      <c r="L313" s="33" t="str">
        <f t="shared" si="20"/>
        <v>2x LCD</v>
      </c>
      <c r="M313" s="21" t="s">
        <v>145</v>
      </c>
      <c r="N313" s="21" t="s">
        <v>2</v>
      </c>
      <c r="O313" s="27">
        <v>2.5</v>
      </c>
      <c r="P313" s="20">
        <v>1920</v>
      </c>
      <c r="Q313" s="20">
        <v>1800</v>
      </c>
      <c r="R313" s="29">
        <f t="shared" si="21"/>
        <v>1052.7221855741429</v>
      </c>
      <c r="S313" s="20">
        <v>90</v>
      </c>
      <c r="T313" s="18">
        <v>44835</v>
      </c>
      <c r="U313" s="20">
        <v>2</v>
      </c>
      <c r="V313" s="120">
        <v>3.6299999999999999E-2</v>
      </c>
      <c r="W313" s="69">
        <f t="shared" si="22"/>
        <v>1.3666107839999999</v>
      </c>
      <c r="X313" s="106">
        <v>37.647680000000001</v>
      </c>
      <c r="Y313" s="72" t="str">
        <f t="shared" si="23"/>
        <v>VR_2022_2x LCD_Quest Pro</v>
      </c>
      <c r="Z313" s="36" t="str">
        <f t="shared" si="24"/>
        <v>VR_2022_2x LCD</v>
      </c>
    </row>
    <row r="314" spans="3:26">
      <c r="C314" s="17">
        <v>306</v>
      </c>
      <c r="D314" s="109" t="s">
        <v>26</v>
      </c>
      <c r="E314" s="20" t="s">
        <v>11</v>
      </c>
      <c r="F314" s="20" t="s">
        <v>177</v>
      </c>
      <c r="G314" s="21" t="s">
        <v>110</v>
      </c>
      <c r="H314" s="21" t="s">
        <v>162</v>
      </c>
      <c r="I314" s="19" t="s">
        <v>26</v>
      </c>
      <c r="J314" s="19" t="s">
        <v>31</v>
      </c>
      <c r="K314" s="21" t="s">
        <v>15</v>
      </c>
      <c r="L314" s="33" t="str">
        <f t="shared" si="20"/>
        <v>1x LCD</v>
      </c>
      <c r="M314" s="21" t="s">
        <v>2</v>
      </c>
      <c r="N314" s="21" t="s">
        <v>146</v>
      </c>
      <c r="O314" s="27">
        <v>5.5</v>
      </c>
      <c r="P314" s="20">
        <v>3840</v>
      </c>
      <c r="Q314" s="20">
        <v>1832</v>
      </c>
      <c r="R314" s="29">
        <f t="shared" si="21"/>
        <v>773.56797048396322</v>
      </c>
      <c r="S314" s="20">
        <v>90</v>
      </c>
      <c r="T314" s="18">
        <v>44317</v>
      </c>
      <c r="U314" s="20">
        <v>1</v>
      </c>
      <c r="V314" s="120">
        <v>0.12375</v>
      </c>
      <c r="W314" s="69">
        <f t="shared" si="22"/>
        <v>6.9883505999999986</v>
      </c>
      <c r="X314" s="106">
        <v>56.471519999999991</v>
      </c>
      <c r="Y314" s="72" t="str">
        <f t="shared" si="23"/>
        <v>VR_2022_1x LCD_Neo 3 / G3</v>
      </c>
      <c r="Z314" s="36" t="str">
        <f t="shared" si="24"/>
        <v>VR_2022_1x LCD</v>
      </c>
    </row>
    <row r="315" spans="3:26">
      <c r="C315" s="17">
        <v>307</v>
      </c>
      <c r="D315" s="109" t="s">
        <v>26</v>
      </c>
      <c r="E315" s="20" t="s">
        <v>11</v>
      </c>
      <c r="F315" s="20" t="s">
        <v>177</v>
      </c>
      <c r="G315" s="21" t="s">
        <v>110</v>
      </c>
      <c r="H315" s="21" t="s">
        <v>134</v>
      </c>
      <c r="I315" s="19" t="s">
        <v>26</v>
      </c>
      <c r="J315" s="19" t="s">
        <v>31</v>
      </c>
      <c r="K315" s="21" t="s">
        <v>15</v>
      </c>
      <c r="L315" s="33" t="str">
        <f t="shared" si="20"/>
        <v>2x LCD</v>
      </c>
      <c r="M315" s="21" t="s">
        <v>146</v>
      </c>
      <c r="N315" s="21"/>
      <c r="O315" s="27">
        <v>2.56</v>
      </c>
      <c r="P315" s="20">
        <v>2160</v>
      </c>
      <c r="Q315" s="20">
        <v>2160</v>
      </c>
      <c r="R315" s="29">
        <f t="shared" si="21"/>
        <v>1193.242693252299</v>
      </c>
      <c r="S315" s="20">
        <v>90</v>
      </c>
      <c r="T315" s="18">
        <v>44805</v>
      </c>
      <c r="U315" s="20">
        <v>2</v>
      </c>
      <c r="V315" s="120">
        <v>8.9099999999999999E-2</v>
      </c>
      <c r="W315" s="69">
        <f t="shared" si="22"/>
        <v>3.3544082880000001</v>
      </c>
      <c r="X315" s="106">
        <v>37.647680000000001</v>
      </c>
      <c r="Y315" s="72" t="str">
        <f t="shared" si="23"/>
        <v>VR_2022_2x LCD_Pico 4</v>
      </c>
      <c r="Z315" s="36" t="str">
        <f t="shared" si="24"/>
        <v>VR_2022_2x LCD</v>
      </c>
    </row>
    <row r="316" spans="3:26">
      <c r="C316" s="17">
        <v>308</v>
      </c>
      <c r="D316" s="109" t="s">
        <v>26</v>
      </c>
      <c r="E316" s="20" t="s">
        <v>11</v>
      </c>
      <c r="F316" s="20" t="s">
        <v>177</v>
      </c>
      <c r="G316" s="21" t="s">
        <v>108</v>
      </c>
      <c r="H316" s="21" t="s">
        <v>109</v>
      </c>
      <c r="I316" s="19" t="s">
        <v>26</v>
      </c>
      <c r="J316" s="19" t="s">
        <v>27</v>
      </c>
      <c r="K316" s="21" t="s">
        <v>15</v>
      </c>
      <c r="L316" s="33" t="str">
        <f t="shared" si="20"/>
        <v>2x LCD</v>
      </c>
      <c r="M316" s="21" t="s">
        <v>145</v>
      </c>
      <c r="N316" s="21" t="s">
        <v>146</v>
      </c>
      <c r="O316" s="27"/>
      <c r="P316" s="20"/>
      <c r="Q316" s="20"/>
      <c r="R316" s="29">
        <f t="shared" si="21"/>
        <v>0</v>
      </c>
      <c r="S316" s="20" t="s">
        <v>36</v>
      </c>
      <c r="T316" s="18" t="s">
        <v>143</v>
      </c>
      <c r="U316" s="20">
        <v>2</v>
      </c>
      <c r="V316" s="120">
        <v>5.4999999999999997E-3</v>
      </c>
      <c r="W316" s="69">
        <f t="shared" si="22"/>
        <v>0.20706223999999998</v>
      </c>
      <c r="X316" s="106">
        <v>37.647680000000001</v>
      </c>
      <c r="Y316" s="72" t="str">
        <f t="shared" si="23"/>
        <v>VR_2022_2x LCD_Pimax VR</v>
      </c>
      <c r="Z316" s="36" t="str">
        <f t="shared" si="24"/>
        <v>VR_2022_2x LCD</v>
      </c>
    </row>
    <row r="317" spans="3:26">
      <c r="C317" s="17">
        <v>309</v>
      </c>
      <c r="D317" s="109" t="s">
        <v>26</v>
      </c>
      <c r="E317" s="20" t="s">
        <v>11</v>
      </c>
      <c r="F317" s="20" t="s">
        <v>177</v>
      </c>
      <c r="G317" s="21" t="s">
        <v>139</v>
      </c>
      <c r="H317" s="21" t="s">
        <v>140</v>
      </c>
      <c r="I317" s="19" t="s">
        <v>26</v>
      </c>
      <c r="J317" s="19" t="s">
        <v>27</v>
      </c>
      <c r="K317" s="21" t="s">
        <v>51</v>
      </c>
      <c r="L317" s="33" t="str">
        <f t="shared" si="20"/>
        <v>2x SiOLED</v>
      </c>
      <c r="M317" s="21" t="s">
        <v>171</v>
      </c>
      <c r="N317" s="21"/>
      <c r="O317" s="27">
        <v>1.3</v>
      </c>
      <c r="P317" s="20">
        <v>2560</v>
      </c>
      <c r="Q317" s="20">
        <v>2560</v>
      </c>
      <c r="R317" s="29">
        <f t="shared" si="21"/>
        <v>2784.9128612885565</v>
      </c>
      <c r="S317" s="20">
        <v>120</v>
      </c>
      <c r="T317" s="18"/>
      <c r="U317" s="20">
        <v>2</v>
      </c>
      <c r="V317" s="120">
        <v>5.5000000000000003E-4</v>
      </c>
      <c r="W317" s="69">
        <f t="shared" si="22"/>
        <v>0.11026125000000001</v>
      </c>
      <c r="X317" s="106">
        <v>200.47499999999999</v>
      </c>
      <c r="Y317" s="72" t="str">
        <f t="shared" si="23"/>
        <v>VR_2022_2x SiOLED_MeganeX</v>
      </c>
      <c r="Z317" s="36" t="str">
        <f t="shared" si="24"/>
        <v>VR_2022_2x SiOLED</v>
      </c>
    </row>
    <row r="318" spans="3:26">
      <c r="C318" s="17">
        <v>310</v>
      </c>
      <c r="D318" s="109" t="s">
        <v>26</v>
      </c>
      <c r="E318" s="20" t="s">
        <v>11</v>
      </c>
      <c r="F318" s="20" t="s">
        <v>177</v>
      </c>
      <c r="G318" s="21" t="s">
        <v>6</v>
      </c>
      <c r="H318" s="21" t="s">
        <v>126</v>
      </c>
      <c r="I318" s="19" t="s">
        <v>26</v>
      </c>
      <c r="J318" s="19" t="s">
        <v>27</v>
      </c>
      <c r="K318" s="21" t="s">
        <v>28</v>
      </c>
      <c r="L318" s="33" t="str">
        <f t="shared" si="20"/>
        <v>2x AMOLED</v>
      </c>
      <c r="M318" s="21" t="s">
        <v>3</v>
      </c>
      <c r="N318" s="21"/>
      <c r="O318" s="27">
        <v>3.36</v>
      </c>
      <c r="P318" s="20">
        <v>2040</v>
      </c>
      <c r="Q318" s="20">
        <v>2000</v>
      </c>
      <c r="R318" s="29">
        <f t="shared" si="21"/>
        <v>850.25339693662363</v>
      </c>
      <c r="S318" s="20">
        <v>120</v>
      </c>
      <c r="T318" s="18">
        <v>44958</v>
      </c>
      <c r="U318" s="20">
        <v>2</v>
      </c>
      <c r="V318" s="120">
        <v>0.4</v>
      </c>
      <c r="W318" s="69">
        <f t="shared" si="22"/>
        <v>20</v>
      </c>
      <c r="X318" s="106">
        <v>50</v>
      </c>
      <c r="Y318" s="72" t="str">
        <f t="shared" si="23"/>
        <v>VR_2022_2x AMOLED_PlayStation VR2</v>
      </c>
      <c r="Z318" s="36" t="str">
        <f t="shared" si="24"/>
        <v>VR_2022_2x AMOLED</v>
      </c>
    </row>
    <row r="319" spans="3:26">
      <c r="C319" s="17">
        <v>311</v>
      </c>
      <c r="D319" s="109" t="s">
        <v>26</v>
      </c>
      <c r="E319" s="20" t="s">
        <v>11</v>
      </c>
      <c r="F319" s="20" t="s">
        <v>177</v>
      </c>
      <c r="G319" s="21" t="s">
        <v>97</v>
      </c>
      <c r="H319" s="21" t="s">
        <v>111</v>
      </c>
      <c r="I319" s="19" t="s">
        <v>26</v>
      </c>
      <c r="J319" s="19" t="s">
        <v>36</v>
      </c>
      <c r="K319" s="21" t="s">
        <v>15</v>
      </c>
      <c r="L319" s="33" t="str">
        <f t="shared" si="20"/>
        <v>2x LCD</v>
      </c>
      <c r="M319" s="21" t="s">
        <v>36</v>
      </c>
      <c r="N319" s="21" t="s">
        <v>143</v>
      </c>
      <c r="O319" s="27"/>
      <c r="P319" s="20"/>
      <c r="Q319" s="20"/>
      <c r="R319" s="29">
        <f t="shared" si="21"/>
        <v>0</v>
      </c>
      <c r="S319" s="20" t="s">
        <v>36</v>
      </c>
      <c r="T319" s="18" t="s">
        <v>143</v>
      </c>
      <c r="U319" s="20">
        <v>2</v>
      </c>
      <c r="V319" s="120">
        <v>1.375E-2</v>
      </c>
      <c r="W319" s="69">
        <f t="shared" si="22"/>
        <v>0.51765559999999999</v>
      </c>
      <c r="X319" s="106">
        <v>37.647680000000001</v>
      </c>
      <c r="Y319" s="72" t="str">
        <f t="shared" si="23"/>
        <v>VR_2022_2x LCD_Dual LCD VR headset</v>
      </c>
      <c r="Z319" s="36" t="str">
        <f t="shared" si="24"/>
        <v>VR_2022_2x LCD</v>
      </c>
    </row>
    <row r="320" spans="3:26">
      <c r="C320" s="17">
        <v>312</v>
      </c>
      <c r="D320" s="109" t="s">
        <v>26</v>
      </c>
      <c r="E320" s="20" t="s">
        <v>11</v>
      </c>
      <c r="F320" s="20" t="s">
        <v>177</v>
      </c>
      <c r="G320" s="21" t="s">
        <v>97</v>
      </c>
      <c r="H320" s="21" t="s">
        <v>161</v>
      </c>
      <c r="I320" s="19" t="s">
        <v>26</v>
      </c>
      <c r="J320" s="19" t="s">
        <v>36</v>
      </c>
      <c r="K320" s="21" t="s">
        <v>15</v>
      </c>
      <c r="L320" s="33" t="str">
        <f t="shared" si="20"/>
        <v>1x LCD</v>
      </c>
      <c r="M320" s="21" t="s">
        <v>36</v>
      </c>
      <c r="N320" s="21" t="s">
        <v>143</v>
      </c>
      <c r="O320" s="27"/>
      <c r="P320" s="20"/>
      <c r="Q320" s="20"/>
      <c r="R320" s="29">
        <f t="shared" si="21"/>
        <v>0</v>
      </c>
      <c r="S320" s="20" t="s">
        <v>36</v>
      </c>
      <c r="T320" s="18" t="s">
        <v>143</v>
      </c>
      <c r="U320" s="20">
        <v>1</v>
      </c>
      <c r="V320" s="120">
        <v>5.7750000000000003E-2</v>
      </c>
      <c r="W320" s="69">
        <f t="shared" si="22"/>
        <v>3.2612302799999995</v>
      </c>
      <c r="X320" s="106">
        <v>56.471519999999991</v>
      </c>
      <c r="Y320" s="72" t="str">
        <f t="shared" si="23"/>
        <v>VR_2022_1x LCD_Single LCD VR headset</v>
      </c>
      <c r="Z320" s="36" t="str">
        <f t="shared" si="24"/>
        <v>VR_2022_1x LCD</v>
      </c>
    </row>
    <row r="321" spans="3:26">
      <c r="C321" s="17">
        <v>313</v>
      </c>
      <c r="D321" s="109" t="s">
        <v>129</v>
      </c>
      <c r="E321" s="20" t="s">
        <v>11</v>
      </c>
      <c r="F321" s="20" t="s">
        <v>177</v>
      </c>
      <c r="G321" s="21" t="s">
        <v>73</v>
      </c>
      <c r="H321" s="21" t="s">
        <v>74</v>
      </c>
      <c r="I321" s="19" t="s">
        <v>63</v>
      </c>
      <c r="J321" s="19" t="s">
        <v>31</v>
      </c>
      <c r="K321" s="21" t="s">
        <v>51</v>
      </c>
      <c r="L321" s="33" t="str">
        <f t="shared" si="20"/>
        <v>2x SiOLED</v>
      </c>
      <c r="M321" s="21" t="s">
        <v>73</v>
      </c>
      <c r="N321" s="21"/>
      <c r="O321" s="27">
        <v>0.43</v>
      </c>
      <c r="P321" s="20">
        <v>1280</v>
      </c>
      <c r="Q321" s="20">
        <v>720</v>
      </c>
      <c r="R321" s="29">
        <f t="shared" si="21"/>
        <v>3415.3599536159668</v>
      </c>
      <c r="S321" s="20" t="s">
        <v>36</v>
      </c>
      <c r="T321" s="18">
        <v>42401</v>
      </c>
      <c r="U321" s="20">
        <v>2</v>
      </c>
      <c r="V321" s="120">
        <v>2.1999999999999999E-2</v>
      </c>
      <c r="W321" s="69">
        <f t="shared" si="22"/>
        <v>1.7128488959999997</v>
      </c>
      <c r="X321" s="106">
        <v>77.856767999999988</v>
      </c>
      <c r="Y321" s="72" t="str">
        <f t="shared" si="23"/>
        <v>AR_2022_2x SiOLED_Moverio</v>
      </c>
      <c r="Z321" s="36" t="str">
        <f t="shared" si="24"/>
        <v>AR_2022_2x SiOLED</v>
      </c>
    </row>
    <row r="322" spans="3:26">
      <c r="C322" s="17">
        <v>314</v>
      </c>
      <c r="D322" s="109" t="s">
        <v>129</v>
      </c>
      <c r="E322" s="20" t="s">
        <v>11</v>
      </c>
      <c r="F322" s="20" t="s">
        <v>177</v>
      </c>
      <c r="G322" s="21" t="s">
        <v>71</v>
      </c>
      <c r="H322" s="21" t="s">
        <v>130</v>
      </c>
      <c r="I322" s="19" t="s">
        <v>63</v>
      </c>
      <c r="J322" s="19" t="s">
        <v>31</v>
      </c>
      <c r="K322" s="21" t="s">
        <v>168</v>
      </c>
      <c r="L322" s="33" t="str">
        <f t="shared" si="20"/>
        <v>1x Micro LCD</v>
      </c>
      <c r="M322" s="21" t="s">
        <v>72</v>
      </c>
      <c r="N322" s="21"/>
      <c r="O322" s="27"/>
      <c r="P322" s="20">
        <v>640</v>
      </c>
      <c r="Q322" s="20">
        <v>360</v>
      </c>
      <c r="R322" s="29">
        <f t="shared" si="21"/>
        <v>0</v>
      </c>
      <c r="S322" s="20" t="s">
        <v>36</v>
      </c>
      <c r="T322" s="18">
        <v>43586</v>
      </c>
      <c r="U322" s="20">
        <v>1</v>
      </c>
      <c r="V322" s="120">
        <v>3.163E-3</v>
      </c>
      <c r="W322" s="69">
        <f t="shared" si="22"/>
        <v>0.12890034095399999</v>
      </c>
      <c r="X322" s="106">
        <v>40.752558000000001</v>
      </c>
      <c r="Y322" s="72" t="str">
        <f t="shared" si="23"/>
        <v>AR_2022_1x Micro LCD_Glass</v>
      </c>
      <c r="Z322" s="36" t="str">
        <f t="shared" si="24"/>
        <v>AR_2022_1x Micro LCD</v>
      </c>
    </row>
    <row r="323" spans="3:26">
      <c r="C323" s="17">
        <v>315</v>
      </c>
      <c r="D323" s="109" t="s">
        <v>129</v>
      </c>
      <c r="E323" s="20" t="s">
        <v>11</v>
      </c>
      <c r="F323" s="20" t="s">
        <v>177</v>
      </c>
      <c r="G323" s="21" t="s">
        <v>77</v>
      </c>
      <c r="H323" s="21" t="s">
        <v>131</v>
      </c>
      <c r="I323" s="19" t="s">
        <v>63</v>
      </c>
      <c r="J323" s="19" t="s">
        <v>27</v>
      </c>
      <c r="K323" s="21" t="s">
        <v>51</v>
      </c>
      <c r="L323" s="33" t="str">
        <f t="shared" si="20"/>
        <v>2x SiOLED</v>
      </c>
      <c r="M323" s="21" t="s">
        <v>116</v>
      </c>
      <c r="N323" s="21"/>
      <c r="O323" s="27">
        <v>0.49</v>
      </c>
      <c r="P323" s="20">
        <v>1920</v>
      </c>
      <c r="Q323" s="20">
        <v>1080</v>
      </c>
      <c r="R323" s="29">
        <f t="shared" si="21"/>
        <v>4495.7289185353029</v>
      </c>
      <c r="S323" s="20">
        <v>60</v>
      </c>
      <c r="T323" s="18">
        <v>44866</v>
      </c>
      <c r="U323" s="20">
        <v>2</v>
      </c>
      <c r="V323" s="120">
        <v>1.375E-2</v>
      </c>
      <c r="W323" s="69">
        <f t="shared" si="22"/>
        <v>0.71499999999999997</v>
      </c>
      <c r="X323" s="106">
        <v>52</v>
      </c>
      <c r="Y323" s="72" t="str">
        <f t="shared" si="23"/>
        <v>AR_2022_2x SiOLED_T1</v>
      </c>
      <c r="Z323" s="36" t="str">
        <f t="shared" si="24"/>
        <v>AR_2022_2x SiOLED</v>
      </c>
    </row>
    <row r="324" spans="3:26">
      <c r="C324" s="17">
        <v>316</v>
      </c>
      <c r="D324" s="109" t="s">
        <v>129</v>
      </c>
      <c r="E324" s="20" t="s">
        <v>11</v>
      </c>
      <c r="F324" s="20" t="s">
        <v>177</v>
      </c>
      <c r="G324" s="21" t="s">
        <v>77</v>
      </c>
      <c r="H324" s="21" t="s">
        <v>78</v>
      </c>
      <c r="I324" s="19" t="s">
        <v>63</v>
      </c>
      <c r="J324" s="19" t="s">
        <v>27</v>
      </c>
      <c r="K324" s="21" t="s">
        <v>51</v>
      </c>
      <c r="L324" s="33" t="str">
        <f t="shared" si="20"/>
        <v>2x SiOLED</v>
      </c>
      <c r="M324" s="21" t="s">
        <v>6</v>
      </c>
      <c r="N324" s="21"/>
      <c r="O324" s="27">
        <v>0.71</v>
      </c>
      <c r="P324" s="20">
        <v>1920</v>
      </c>
      <c r="Q324" s="20">
        <v>1080</v>
      </c>
      <c r="R324" s="29">
        <f t="shared" si="21"/>
        <v>3102.6861550454905</v>
      </c>
      <c r="S324" s="20" t="s">
        <v>36</v>
      </c>
      <c r="T324" s="18">
        <v>44348</v>
      </c>
      <c r="U324" s="20">
        <v>2</v>
      </c>
      <c r="V324" s="120">
        <v>1.9250000000000001E-3</v>
      </c>
      <c r="W324" s="69">
        <f t="shared" si="22"/>
        <v>0.14987427839999998</v>
      </c>
      <c r="X324" s="106">
        <v>77.856767999999988</v>
      </c>
      <c r="Y324" s="72" t="str">
        <f t="shared" si="23"/>
        <v>AR_2022_2x SiOLED_ThinkReality A3</v>
      </c>
      <c r="Z324" s="36" t="str">
        <f t="shared" si="24"/>
        <v>AR_2022_2x SiOLED</v>
      </c>
    </row>
    <row r="325" spans="3:26">
      <c r="C325" s="17">
        <v>317</v>
      </c>
      <c r="D325" s="109" t="s">
        <v>129</v>
      </c>
      <c r="E325" s="20" t="s">
        <v>11</v>
      </c>
      <c r="F325" s="20" t="s">
        <v>177</v>
      </c>
      <c r="G325" s="21" t="s">
        <v>65</v>
      </c>
      <c r="H325" s="21" t="s">
        <v>117</v>
      </c>
      <c r="I325" s="19" t="s">
        <v>63</v>
      </c>
      <c r="J325" s="19" t="s">
        <v>31</v>
      </c>
      <c r="K325" s="21" t="s">
        <v>67</v>
      </c>
      <c r="L325" s="33" t="str">
        <f t="shared" si="20"/>
        <v>2x LCoS</v>
      </c>
      <c r="M325" s="21" t="s">
        <v>36</v>
      </c>
      <c r="N325" s="21"/>
      <c r="O325" s="27"/>
      <c r="P325" s="20">
        <v>1440</v>
      </c>
      <c r="Q325" s="20">
        <v>1760</v>
      </c>
      <c r="R325" s="29">
        <f t="shared" si="21"/>
        <v>0</v>
      </c>
      <c r="S325" s="20" t="s">
        <v>36</v>
      </c>
      <c r="T325" s="18">
        <v>44805</v>
      </c>
      <c r="U325" s="20">
        <v>2</v>
      </c>
      <c r="V325" s="120">
        <v>5.4999999999999997E-3</v>
      </c>
      <c r="W325" s="69">
        <f t="shared" si="22"/>
        <v>0.245485647</v>
      </c>
      <c r="X325" s="106">
        <v>44.633754000000003</v>
      </c>
      <c r="Y325" s="72" t="str">
        <f t="shared" si="23"/>
        <v>AR_2022_2x LCoS_ML 2</v>
      </c>
      <c r="Z325" s="36" t="str">
        <f t="shared" si="24"/>
        <v>AR_2022_2x LCoS</v>
      </c>
    </row>
    <row r="326" spans="3:26">
      <c r="C326" s="17">
        <v>318</v>
      </c>
      <c r="D326" s="109" t="s">
        <v>129</v>
      </c>
      <c r="E326" s="20" t="s">
        <v>11</v>
      </c>
      <c r="F326" s="20" t="s">
        <v>177</v>
      </c>
      <c r="G326" s="21" t="s">
        <v>61</v>
      </c>
      <c r="H326" s="21" t="s">
        <v>62</v>
      </c>
      <c r="I326" s="19" t="s">
        <v>63</v>
      </c>
      <c r="J326" s="19" t="s">
        <v>31</v>
      </c>
      <c r="K326" s="21" t="s">
        <v>64</v>
      </c>
      <c r="L326" s="33" t="str">
        <f t="shared" si="20"/>
        <v>2x LBS</v>
      </c>
      <c r="M326" s="21" t="s">
        <v>36</v>
      </c>
      <c r="N326" s="21"/>
      <c r="O326" s="27"/>
      <c r="P326" s="20"/>
      <c r="Q326" s="20"/>
      <c r="R326" s="29">
        <f t="shared" si="21"/>
        <v>0</v>
      </c>
      <c r="S326" s="20" t="s">
        <v>36</v>
      </c>
      <c r="T326" s="18">
        <v>43770</v>
      </c>
      <c r="U326" s="20">
        <v>2</v>
      </c>
      <c r="V326" s="120">
        <v>6.875E-3</v>
      </c>
      <c r="W326" s="69">
        <f t="shared" si="22"/>
        <v>0.70275820999999994</v>
      </c>
      <c r="X326" s="106">
        <v>102.219376</v>
      </c>
      <c r="Y326" s="72" t="str">
        <f t="shared" si="23"/>
        <v>AR_2022_2x LBS_HoloLens 2</v>
      </c>
      <c r="Z326" s="36" t="str">
        <f t="shared" si="24"/>
        <v>AR_2022_2x LBS</v>
      </c>
    </row>
    <row r="327" spans="3:26">
      <c r="C327" s="17">
        <v>319</v>
      </c>
      <c r="D327" s="109" t="s">
        <v>129</v>
      </c>
      <c r="E327" s="20" t="s">
        <v>11</v>
      </c>
      <c r="F327" s="20" t="s">
        <v>177</v>
      </c>
      <c r="G327" s="21" t="s">
        <v>186</v>
      </c>
      <c r="H327" s="21" t="s">
        <v>187</v>
      </c>
      <c r="I327" s="19" t="s">
        <v>63</v>
      </c>
      <c r="J327" s="19" t="s">
        <v>27</v>
      </c>
      <c r="K327" s="21" t="s">
        <v>51</v>
      </c>
      <c r="L327" s="33" t="str">
        <f t="shared" si="20"/>
        <v>2x SiOLED</v>
      </c>
      <c r="M327" s="21" t="s">
        <v>145</v>
      </c>
      <c r="N327" s="21"/>
      <c r="O327" s="27">
        <v>0.71</v>
      </c>
      <c r="P327" s="20">
        <v>1920</v>
      </c>
      <c r="Q327" s="20">
        <v>1080</v>
      </c>
      <c r="R327" s="29">
        <f t="shared" si="21"/>
        <v>3102.6861550454905</v>
      </c>
      <c r="S327" s="20">
        <v>90</v>
      </c>
      <c r="T327" s="18">
        <v>44044</v>
      </c>
      <c r="U327" s="20">
        <v>2</v>
      </c>
      <c r="V327" s="120">
        <v>8.2500000000000004E-2</v>
      </c>
      <c r="W327" s="69">
        <f t="shared" si="22"/>
        <v>6.4231833599999995</v>
      </c>
      <c r="X327" s="106">
        <v>77.856767999999988</v>
      </c>
      <c r="Y327" s="72" t="str">
        <f t="shared" si="23"/>
        <v>AR_2022_2x SiOLED_Light</v>
      </c>
      <c r="Z327" s="36" t="str">
        <f t="shared" si="24"/>
        <v>AR_2022_2x SiOLED</v>
      </c>
    </row>
    <row r="328" spans="3:26">
      <c r="C328" s="17">
        <v>320</v>
      </c>
      <c r="D328" s="109" t="s">
        <v>129</v>
      </c>
      <c r="E328" s="20" t="s">
        <v>11</v>
      </c>
      <c r="F328" s="20" t="s">
        <v>177</v>
      </c>
      <c r="G328" s="21" t="s">
        <v>118</v>
      </c>
      <c r="H328" s="21" t="s">
        <v>119</v>
      </c>
      <c r="I328" s="19" t="s">
        <v>63</v>
      </c>
      <c r="J328" s="19" t="s">
        <v>27</v>
      </c>
      <c r="K328" s="21" t="s">
        <v>120</v>
      </c>
      <c r="L328" s="33" t="str">
        <f t="shared" si="20"/>
        <v>1x MicroLED</v>
      </c>
      <c r="M328" s="21" t="s">
        <v>144</v>
      </c>
      <c r="N328" s="21"/>
      <c r="O328" s="27">
        <v>0.13</v>
      </c>
      <c r="P328" s="20">
        <v>640</v>
      </c>
      <c r="Q328" s="20">
        <v>480</v>
      </c>
      <c r="R328" s="29">
        <f t="shared" si="21"/>
        <v>6153.8461538461534</v>
      </c>
      <c r="S328" s="20" t="s">
        <v>36</v>
      </c>
      <c r="T328" s="18">
        <v>44562</v>
      </c>
      <c r="U328" s="20">
        <v>1</v>
      </c>
      <c r="V328" s="120">
        <v>6.8799999999999992E-4</v>
      </c>
      <c r="W328" s="69">
        <f t="shared" si="22"/>
        <v>5.4286970239999982E-2</v>
      </c>
      <c r="X328" s="106">
        <v>78.905479999999983</v>
      </c>
      <c r="Y328" s="72" t="str">
        <f t="shared" si="23"/>
        <v>AR_2022_1x MicroLED_Air Glass</v>
      </c>
      <c r="Z328" s="36" t="str">
        <f t="shared" si="24"/>
        <v>AR_2022_1x MicroLED</v>
      </c>
    </row>
    <row r="329" spans="3:26">
      <c r="C329" s="17">
        <v>321</v>
      </c>
      <c r="D329" s="109" t="s">
        <v>129</v>
      </c>
      <c r="E329" s="20" t="s">
        <v>11</v>
      </c>
      <c r="F329" s="20" t="s">
        <v>177</v>
      </c>
      <c r="G329" s="21" t="s">
        <v>132</v>
      </c>
      <c r="H329" s="21" t="s">
        <v>133</v>
      </c>
      <c r="I329" s="19" t="s">
        <v>63</v>
      </c>
      <c r="J329" s="19" t="s">
        <v>27</v>
      </c>
      <c r="K329" s="21" t="s">
        <v>51</v>
      </c>
      <c r="L329" s="33" t="str">
        <f t="shared" ref="L329:L392" si="25">IF(U329=0, "", U329&amp;"x "&amp;K329)</f>
        <v>2x SiOLED</v>
      </c>
      <c r="M329" s="21" t="s">
        <v>116</v>
      </c>
      <c r="N329" s="21"/>
      <c r="O329" s="27">
        <v>0.49</v>
      </c>
      <c r="P329" s="20">
        <v>1920</v>
      </c>
      <c r="Q329" s="20">
        <v>1080</v>
      </c>
      <c r="R329" s="29">
        <f t="shared" ref="R329:R392" si="26">IF(O329=0, 0, SQRT(Q329^2+P329^2)/O329)</f>
        <v>4495.7289185353029</v>
      </c>
      <c r="S329" s="20">
        <v>75</v>
      </c>
      <c r="T329" s="18">
        <v>44501</v>
      </c>
      <c r="U329" s="20">
        <v>2</v>
      </c>
      <c r="V329" s="120">
        <v>1.0999999999999999E-2</v>
      </c>
      <c r="W329" s="69">
        <f t="shared" ref="W329:W392" si="27">V329*X329</f>
        <v>0.57199999999999995</v>
      </c>
      <c r="X329" s="106">
        <v>52</v>
      </c>
      <c r="Y329" s="72" t="str">
        <f t="shared" ref="Y329:Y392" si="28">D329&amp;"_"&amp;E329&amp;"_"&amp;L329&amp;"_"&amp;H329</f>
        <v>AR_2022_2x SiOLED_Air</v>
      </c>
      <c r="Z329" s="36" t="str">
        <f t="shared" ref="Z329:Z392" si="29">D329&amp;"_"&amp;E329&amp;"_"&amp;L329</f>
        <v>AR_2022_2x SiOLED</v>
      </c>
    </row>
    <row r="330" spans="3:26">
      <c r="C330" s="17">
        <v>322</v>
      </c>
      <c r="D330" s="109" t="s">
        <v>129</v>
      </c>
      <c r="E330" s="20" t="s">
        <v>11</v>
      </c>
      <c r="F330" s="20" t="s">
        <v>177</v>
      </c>
      <c r="G330" s="21" t="s">
        <v>135</v>
      </c>
      <c r="H330" s="21" t="s">
        <v>136</v>
      </c>
      <c r="I330" s="19" t="s">
        <v>63</v>
      </c>
      <c r="J330" s="19" t="s">
        <v>27</v>
      </c>
      <c r="K330" s="21" t="s">
        <v>51</v>
      </c>
      <c r="L330" s="33" t="str">
        <f t="shared" si="25"/>
        <v>2x SiOLED</v>
      </c>
      <c r="M330" s="21" t="s">
        <v>6</v>
      </c>
      <c r="N330" s="21"/>
      <c r="O330" s="27">
        <v>0.55000000000000004</v>
      </c>
      <c r="P330" s="20">
        <v>1920</v>
      </c>
      <c r="Q330" s="20">
        <v>1080</v>
      </c>
      <c r="R330" s="29">
        <f t="shared" si="26"/>
        <v>4005.2857637859966</v>
      </c>
      <c r="S330" s="20" t="s">
        <v>36</v>
      </c>
      <c r="T330" s="18">
        <v>44866</v>
      </c>
      <c r="U330" s="20">
        <v>2</v>
      </c>
      <c r="V330" s="120">
        <v>8.2500000000000004E-3</v>
      </c>
      <c r="W330" s="69">
        <f t="shared" si="27"/>
        <v>0.47850000000000004</v>
      </c>
      <c r="X330" s="106">
        <v>58</v>
      </c>
      <c r="Y330" s="72" t="str">
        <f t="shared" si="28"/>
        <v>AR_2022_2x SiOLED_NXTWear</v>
      </c>
      <c r="Z330" s="36" t="str">
        <f t="shared" si="29"/>
        <v>AR_2022_2x SiOLED</v>
      </c>
    </row>
    <row r="331" spans="3:26">
      <c r="C331" s="17">
        <v>323</v>
      </c>
      <c r="D331" s="109" t="s">
        <v>129</v>
      </c>
      <c r="E331" s="20" t="s">
        <v>11</v>
      </c>
      <c r="F331" s="20" t="s">
        <v>177</v>
      </c>
      <c r="G331" s="21" t="s">
        <v>68</v>
      </c>
      <c r="H331" s="21" t="s">
        <v>69</v>
      </c>
      <c r="I331" s="19" t="s">
        <v>63</v>
      </c>
      <c r="J331" s="19" t="s">
        <v>31</v>
      </c>
      <c r="K331" s="21" t="s">
        <v>70</v>
      </c>
      <c r="L331" s="33" t="str">
        <f t="shared" si="25"/>
        <v>1x DLP</v>
      </c>
      <c r="M331" s="21" t="s">
        <v>172</v>
      </c>
      <c r="N331" s="21"/>
      <c r="O331" s="27"/>
      <c r="P331" s="20">
        <v>853</v>
      </c>
      <c r="Q331" s="20">
        <v>480</v>
      </c>
      <c r="R331" s="29">
        <f t="shared" si="26"/>
        <v>0</v>
      </c>
      <c r="S331" s="20" t="s">
        <v>36</v>
      </c>
      <c r="T331" s="18">
        <v>43466</v>
      </c>
      <c r="U331" s="20">
        <v>1</v>
      </c>
      <c r="V331" s="120">
        <v>4.1299999999999996E-4</v>
      </c>
      <c r="W331" s="69">
        <f t="shared" si="27"/>
        <v>3.3260879420999992E-2</v>
      </c>
      <c r="X331" s="106">
        <v>80.53481699999999</v>
      </c>
      <c r="Y331" s="72" t="str">
        <f t="shared" si="28"/>
        <v>AR_2022_1x DLP_Blade</v>
      </c>
      <c r="Z331" s="36" t="str">
        <f t="shared" si="29"/>
        <v>AR_2022_1x DLP</v>
      </c>
    </row>
    <row r="332" spans="3:26">
      <c r="C332" s="17">
        <v>324</v>
      </c>
      <c r="D332" s="109" t="s">
        <v>129</v>
      </c>
      <c r="E332" s="20" t="s">
        <v>11</v>
      </c>
      <c r="F332" s="20" t="s">
        <v>177</v>
      </c>
      <c r="G332" s="21" t="s">
        <v>68</v>
      </c>
      <c r="H332" s="21" t="s">
        <v>122</v>
      </c>
      <c r="I332" s="19" t="s">
        <v>63</v>
      </c>
      <c r="J332" s="19" t="s">
        <v>31</v>
      </c>
      <c r="K332" s="21" t="s">
        <v>120</v>
      </c>
      <c r="L332" s="33" t="str">
        <f t="shared" si="25"/>
        <v>2x MicroLED</v>
      </c>
      <c r="M332" s="21" t="s">
        <v>144</v>
      </c>
      <c r="N332" s="21"/>
      <c r="O332" s="27">
        <v>0.13</v>
      </c>
      <c r="P332" s="20">
        <v>640</v>
      </c>
      <c r="Q332" s="20">
        <v>480</v>
      </c>
      <c r="R332" s="29">
        <f t="shared" si="26"/>
        <v>6153.8461538461534</v>
      </c>
      <c r="S332" s="20" t="s">
        <v>36</v>
      </c>
      <c r="T332" s="18">
        <v>44896</v>
      </c>
      <c r="U332" s="20">
        <v>2</v>
      </c>
      <c r="V332" s="120">
        <v>5.5000000000000003E-4</v>
      </c>
      <c r="W332" s="69">
        <f t="shared" si="27"/>
        <v>4.3398013999999992E-2</v>
      </c>
      <c r="X332" s="106">
        <v>78.905479999999983</v>
      </c>
      <c r="Y332" s="72" t="str">
        <f t="shared" si="28"/>
        <v>AR_2022_2x MicroLED_Shield</v>
      </c>
      <c r="Z332" s="36" t="str">
        <f t="shared" si="29"/>
        <v>AR_2022_2x MicroLED</v>
      </c>
    </row>
    <row r="333" spans="3:26">
      <c r="C333" s="17">
        <v>325</v>
      </c>
      <c r="D333" s="109" t="s">
        <v>129</v>
      </c>
      <c r="E333" s="20" t="s">
        <v>11</v>
      </c>
      <c r="F333" s="20" t="s">
        <v>177</v>
      </c>
      <c r="G333" s="21" t="s">
        <v>97</v>
      </c>
      <c r="H333" s="21" t="s">
        <v>123</v>
      </c>
      <c r="I333" s="19" t="s">
        <v>63</v>
      </c>
      <c r="J333" s="19" t="s">
        <v>36</v>
      </c>
      <c r="K333" s="21" t="s">
        <v>120</v>
      </c>
      <c r="L333" s="33" t="str">
        <f t="shared" si="25"/>
        <v>2x MicroLED</v>
      </c>
      <c r="M333" s="21" t="s">
        <v>36</v>
      </c>
      <c r="N333" s="21"/>
      <c r="O333" s="27"/>
      <c r="P333" s="20"/>
      <c r="Q333" s="20"/>
      <c r="R333" s="29">
        <f t="shared" si="26"/>
        <v>0</v>
      </c>
      <c r="S333" s="20" t="s">
        <v>36</v>
      </c>
      <c r="T333" s="18" t="s">
        <v>143</v>
      </c>
      <c r="U333" s="20">
        <v>2</v>
      </c>
      <c r="V333" s="120">
        <v>2.7500000000000002E-4</v>
      </c>
      <c r="W333" s="69">
        <f t="shared" si="27"/>
        <v>2.1699006999999996E-2</v>
      </c>
      <c r="X333" s="106">
        <v>78.905479999999983</v>
      </c>
      <c r="Y333" s="72" t="str">
        <f t="shared" si="28"/>
        <v>AR_2022_2x MicroLED_Binocular MicroLED</v>
      </c>
      <c r="Z333" s="36" t="str">
        <f t="shared" si="29"/>
        <v>AR_2022_2x MicroLED</v>
      </c>
    </row>
    <row r="334" spans="3:26">
      <c r="C334" s="17">
        <v>326</v>
      </c>
      <c r="D334" s="109" t="s">
        <v>129</v>
      </c>
      <c r="E334" s="20" t="s">
        <v>11</v>
      </c>
      <c r="F334" s="20" t="s">
        <v>177</v>
      </c>
      <c r="G334" s="21" t="s">
        <v>97</v>
      </c>
      <c r="H334" s="21" t="s">
        <v>76</v>
      </c>
      <c r="I334" s="19" t="s">
        <v>63</v>
      </c>
      <c r="J334" s="19" t="s">
        <v>36</v>
      </c>
      <c r="K334" s="21" t="s">
        <v>70</v>
      </c>
      <c r="L334" s="33" t="str">
        <f t="shared" si="25"/>
        <v>1x DLP</v>
      </c>
      <c r="M334" s="21" t="s">
        <v>36</v>
      </c>
      <c r="N334" s="21"/>
      <c r="O334" s="27"/>
      <c r="P334" s="20"/>
      <c r="Q334" s="20"/>
      <c r="R334" s="29">
        <f t="shared" si="26"/>
        <v>0</v>
      </c>
      <c r="S334" s="20" t="s">
        <v>36</v>
      </c>
      <c r="T334" s="18" t="s">
        <v>143</v>
      </c>
      <c r="U334" s="20">
        <v>1</v>
      </c>
      <c r="V334" s="120">
        <v>2.7500000000000002E-4</v>
      </c>
      <c r="W334" s="69">
        <f t="shared" si="27"/>
        <v>2.2147074675E-2</v>
      </c>
      <c r="X334" s="106">
        <v>80.53481699999999</v>
      </c>
      <c r="Y334" s="72" t="str">
        <f t="shared" si="28"/>
        <v>AR_2022_1x DLP_DLP glasses</v>
      </c>
      <c r="Z334" s="36" t="str">
        <f t="shared" si="29"/>
        <v>AR_2022_1x DLP</v>
      </c>
    </row>
    <row r="335" spans="3:26">
      <c r="C335" s="17">
        <v>327</v>
      </c>
      <c r="D335" s="109" t="s">
        <v>129</v>
      </c>
      <c r="E335" s="20" t="s">
        <v>11</v>
      </c>
      <c r="F335" s="20" t="s">
        <v>177</v>
      </c>
      <c r="G335" s="21" t="s">
        <v>97</v>
      </c>
      <c r="H335" s="21" t="s">
        <v>80</v>
      </c>
      <c r="I335" s="19" t="s">
        <v>63</v>
      </c>
      <c r="J335" s="19" t="s">
        <v>36</v>
      </c>
      <c r="K335" s="21" t="s">
        <v>64</v>
      </c>
      <c r="L335" s="33" t="str">
        <f t="shared" si="25"/>
        <v>2x LBS</v>
      </c>
      <c r="M335" s="21" t="s">
        <v>36</v>
      </c>
      <c r="N335" s="21"/>
      <c r="O335" s="27"/>
      <c r="P335" s="20"/>
      <c r="Q335" s="20"/>
      <c r="R335" s="29">
        <f t="shared" si="26"/>
        <v>0</v>
      </c>
      <c r="S335" s="20" t="s">
        <v>36</v>
      </c>
      <c r="T335" s="18" t="s">
        <v>143</v>
      </c>
      <c r="U335" s="20">
        <v>2</v>
      </c>
      <c r="V335" s="120">
        <v>8.25E-4</v>
      </c>
      <c r="W335" s="69">
        <f t="shared" si="27"/>
        <v>8.43309852E-2</v>
      </c>
      <c r="X335" s="106">
        <v>102.219376</v>
      </c>
      <c r="Y335" s="72" t="str">
        <f t="shared" si="28"/>
        <v>AR_2022_2x LBS_LBS glasses</v>
      </c>
      <c r="Z335" s="36" t="str">
        <f t="shared" si="29"/>
        <v>AR_2022_2x LBS</v>
      </c>
    </row>
    <row r="336" spans="3:26">
      <c r="C336" s="17">
        <v>328</v>
      </c>
      <c r="D336" s="109" t="s">
        <v>129</v>
      </c>
      <c r="E336" s="20" t="s">
        <v>11</v>
      </c>
      <c r="F336" s="20" t="s">
        <v>177</v>
      </c>
      <c r="G336" s="21" t="s">
        <v>97</v>
      </c>
      <c r="H336" s="21" t="s">
        <v>75</v>
      </c>
      <c r="I336" s="19" t="s">
        <v>63</v>
      </c>
      <c r="J336" s="19" t="s">
        <v>36</v>
      </c>
      <c r="K336" s="21" t="s">
        <v>67</v>
      </c>
      <c r="L336" s="33" t="str">
        <f t="shared" si="25"/>
        <v>2x LCoS</v>
      </c>
      <c r="M336" s="21" t="s">
        <v>36</v>
      </c>
      <c r="N336" s="21"/>
      <c r="O336" s="27"/>
      <c r="P336" s="20"/>
      <c r="Q336" s="20"/>
      <c r="R336" s="29">
        <f t="shared" si="26"/>
        <v>0</v>
      </c>
      <c r="S336" s="20" t="s">
        <v>36</v>
      </c>
      <c r="T336" s="18" t="s">
        <v>143</v>
      </c>
      <c r="U336" s="20">
        <v>2</v>
      </c>
      <c r="V336" s="120">
        <v>4.1250000000000002E-3</v>
      </c>
      <c r="W336" s="69">
        <f t="shared" si="27"/>
        <v>0.18411423525000004</v>
      </c>
      <c r="X336" s="106">
        <v>44.633754000000003</v>
      </c>
      <c r="Y336" s="72" t="str">
        <f t="shared" si="28"/>
        <v>AR_2022_2x LCoS_LCoS glasses</v>
      </c>
      <c r="Z336" s="36" t="str">
        <f t="shared" si="29"/>
        <v>AR_2022_2x LCoS</v>
      </c>
    </row>
    <row r="337" spans="3:26">
      <c r="C337" s="17">
        <v>329</v>
      </c>
      <c r="D337" s="109" t="s">
        <v>129</v>
      </c>
      <c r="E337" s="20" t="s">
        <v>11</v>
      </c>
      <c r="F337" s="20" t="s">
        <v>177</v>
      </c>
      <c r="G337" s="21" t="s">
        <v>97</v>
      </c>
      <c r="H337" s="21" t="s">
        <v>121</v>
      </c>
      <c r="I337" s="19" t="s">
        <v>63</v>
      </c>
      <c r="J337" s="19" t="s">
        <v>36</v>
      </c>
      <c r="K337" s="21" t="s">
        <v>120</v>
      </c>
      <c r="L337" s="33" t="str">
        <f t="shared" si="25"/>
        <v>1x MicroLED</v>
      </c>
      <c r="M337" s="21" t="s">
        <v>36</v>
      </c>
      <c r="N337" s="21"/>
      <c r="O337" s="27"/>
      <c r="P337" s="20"/>
      <c r="Q337" s="20"/>
      <c r="R337" s="29">
        <f t="shared" si="26"/>
        <v>0</v>
      </c>
      <c r="S337" s="20" t="s">
        <v>36</v>
      </c>
      <c r="T337" s="18" t="s">
        <v>143</v>
      </c>
      <c r="U337" s="20">
        <v>1</v>
      </c>
      <c r="V337" s="120">
        <v>1.3800000000000002E-4</v>
      </c>
      <c r="W337" s="69">
        <f t="shared" si="27"/>
        <v>1.0888956239999999E-2</v>
      </c>
      <c r="X337" s="106">
        <v>78.905479999999983</v>
      </c>
      <c r="Y337" s="72" t="str">
        <f t="shared" si="28"/>
        <v>AR_2022_1x MicroLED_Monocular MicroLED</v>
      </c>
      <c r="Z337" s="36" t="str">
        <f t="shared" si="29"/>
        <v>AR_2022_1x MicroLED</v>
      </c>
    </row>
    <row r="338" spans="3:26">
      <c r="C338" s="17">
        <v>330</v>
      </c>
      <c r="D338" s="109" t="s">
        <v>129</v>
      </c>
      <c r="E338" s="20" t="s">
        <v>11</v>
      </c>
      <c r="F338" s="20" t="s">
        <v>177</v>
      </c>
      <c r="G338" s="21" t="s">
        <v>97</v>
      </c>
      <c r="H338" s="21" t="s">
        <v>79</v>
      </c>
      <c r="I338" s="19" t="s">
        <v>63</v>
      </c>
      <c r="J338" s="19" t="s">
        <v>36</v>
      </c>
      <c r="K338" s="21" t="s">
        <v>51</v>
      </c>
      <c r="L338" s="33" t="str">
        <f t="shared" si="25"/>
        <v>2x SiOLED</v>
      </c>
      <c r="M338" s="21" t="s">
        <v>36</v>
      </c>
      <c r="N338" s="21"/>
      <c r="O338" s="27"/>
      <c r="P338" s="20"/>
      <c r="Q338" s="20"/>
      <c r="R338" s="29">
        <f t="shared" si="26"/>
        <v>0</v>
      </c>
      <c r="S338" s="20" t="s">
        <v>36</v>
      </c>
      <c r="T338" s="18" t="s">
        <v>143</v>
      </c>
      <c r="U338" s="20">
        <v>2</v>
      </c>
      <c r="V338" s="120">
        <v>3.8500000000000001E-3</v>
      </c>
      <c r="W338" s="69">
        <f t="shared" si="27"/>
        <v>0.29974855679999995</v>
      </c>
      <c r="X338" s="106">
        <v>77.856767999999988</v>
      </c>
      <c r="Y338" s="72" t="str">
        <f t="shared" si="28"/>
        <v>AR_2022_2x SiOLED_SiOLED glasses</v>
      </c>
      <c r="Z338" s="36" t="str">
        <f t="shared" si="29"/>
        <v>AR_2022_2x SiOLED</v>
      </c>
    </row>
    <row r="339" spans="3:26">
      <c r="C339" s="17">
        <v>331</v>
      </c>
      <c r="D339" s="109" t="s">
        <v>26</v>
      </c>
      <c r="E339" s="20" t="s">
        <v>11</v>
      </c>
      <c r="F339" s="20" t="s">
        <v>179</v>
      </c>
      <c r="G339" s="21" t="s">
        <v>114</v>
      </c>
      <c r="H339" s="21" t="s">
        <v>115</v>
      </c>
      <c r="I339" s="19" t="s">
        <v>26</v>
      </c>
      <c r="J339" s="19" t="s">
        <v>36</v>
      </c>
      <c r="K339" s="21" t="s">
        <v>51</v>
      </c>
      <c r="L339" s="33" t="str">
        <f t="shared" si="25"/>
        <v>2x SiOLED</v>
      </c>
      <c r="M339" s="21" t="s">
        <v>116</v>
      </c>
      <c r="N339" s="21" t="s">
        <v>143</v>
      </c>
      <c r="O339" s="27">
        <v>1.03</v>
      </c>
      <c r="P339" s="20">
        <v>2560</v>
      </c>
      <c r="Q339" s="20">
        <v>2560</v>
      </c>
      <c r="R339" s="29">
        <f t="shared" si="26"/>
        <v>3514.9385627913821</v>
      </c>
      <c r="S339" s="20" t="s">
        <v>36</v>
      </c>
      <c r="T339" s="18" t="s">
        <v>143</v>
      </c>
      <c r="U339" s="20">
        <v>2</v>
      </c>
      <c r="V339" s="120">
        <v>5.5000000000000003E-4</v>
      </c>
      <c r="W339" s="69">
        <f t="shared" si="27"/>
        <v>0.11026125000000001</v>
      </c>
      <c r="X339" s="106">
        <v>200.47499999999999</v>
      </c>
      <c r="Y339" s="72" t="str">
        <f t="shared" si="28"/>
        <v>VR_2022_2x SiOLED_5K VR</v>
      </c>
      <c r="Z339" s="36" t="str">
        <f t="shared" si="29"/>
        <v>VR_2022_2x SiOLED</v>
      </c>
    </row>
    <row r="340" spans="3:26">
      <c r="C340" s="17">
        <v>332</v>
      </c>
      <c r="D340" s="109" t="s">
        <v>26</v>
      </c>
      <c r="E340" s="20" t="s">
        <v>11</v>
      </c>
      <c r="F340" s="20" t="s">
        <v>179</v>
      </c>
      <c r="G340" s="21" t="s">
        <v>106</v>
      </c>
      <c r="H340" s="21" t="s">
        <v>107</v>
      </c>
      <c r="I340" s="19" t="s">
        <v>26</v>
      </c>
      <c r="J340" s="19" t="s">
        <v>31</v>
      </c>
      <c r="K340" s="21" t="s">
        <v>15</v>
      </c>
      <c r="L340" s="33" t="str">
        <f t="shared" si="25"/>
        <v>1x LCD</v>
      </c>
      <c r="M340" s="21" t="s">
        <v>36</v>
      </c>
      <c r="N340" s="21" t="s">
        <v>143</v>
      </c>
      <c r="O340" s="27"/>
      <c r="P340" s="20"/>
      <c r="Q340" s="20"/>
      <c r="R340" s="29">
        <f t="shared" si="26"/>
        <v>0</v>
      </c>
      <c r="S340" s="20" t="s">
        <v>36</v>
      </c>
      <c r="T340" s="18">
        <v>43770</v>
      </c>
      <c r="U340" s="20">
        <v>1</v>
      </c>
      <c r="V340" s="120">
        <v>0.11</v>
      </c>
      <c r="W340" s="69">
        <f t="shared" si="27"/>
        <v>6.2118671999999995</v>
      </c>
      <c r="X340" s="106">
        <v>56.471519999999991</v>
      </c>
      <c r="Y340" s="72" t="str">
        <f t="shared" si="28"/>
        <v>VR_2022_1x LCD_P1 family</v>
      </c>
      <c r="Z340" s="36" t="str">
        <f t="shared" si="29"/>
        <v>VR_2022_1x LCD</v>
      </c>
    </row>
    <row r="341" spans="3:26">
      <c r="C341" s="17">
        <v>333</v>
      </c>
      <c r="D341" s="109" t="s">
        <v>26</v>
      </c>
      <c r="E341" s="20" t="s">
        <v>11</v>
      </c>
      <c r="F341" s="20" t="s">
        <v>179</v>
      </c>
      <c r="G341" s="21" t="s">
        <v>41</v>
      </c>
      <c r="H341" s="21" t="s">
        <v>178</v>
      </c>
      <c r="I341" s="19" t="s">
        <v>26</v>
      </c>
      <c r="J341" s="19" t="s">
        <v>31</v>
      </c>
      <c r="K341" s="21" t="s">
        <v>15</v>
      </c>
      <c r="L341" s="33" t="str">
        <f t="shared" si="25"/>
        <v>2x LCD</v>
      </c>
      <c r="M341" s="21" t="s">
        <v>2</v>
      </c>
      <c r="N341" s="21" t="s">
        <v>143</v>
      </c>
      <c r="O341" s="27"/>
      <c r="P341" s="20"/>
      <c r="Q341" s="20"/>
      <c r="R341" s="29">
        <f t="shared" si="26"/>
        <v>0</v>
      </c>
      <c r="S341" s="20" t="s">
        <v>36</v>
      </c>
      <c r="T341" s="18">
        <v>43739</v>
      </c>
      <c r="U341" s="20">
        <v>2</v>
      </c>
      <c r="V341" s="120">
        <v>1.925E-2</v>
      </c>
      <c r="W341" s="69">
        <f t="shared" si="27"/>
        <v>0.72471784000000006</v>
      </c>
      <c r="X341" s="106">
        <v>37.647680000000001</v>
      </c>
      <c r="Y341" s="72" t="str">
        <f t="shared" si="28"/>
        <v>VR_2022_2x LCD_Vive LCD headsets</v>
      </c>
      <c r="Z341" s="36" t="str">
        <f t="shared" si="29"/>
        <v>VR_2022_2x LCD</v>
      </c>
    </row>
    <row r="342" spans="3:26">
      <c r="C342" s="17">
        <v>334</v>
      </c>
      <c r="D342" s="109" t="s">
        <v>26</v>
      </c>
      <c r="E342" s="20" t="s">
        <v>11</v>
      </c>
      <c r="F342" s="20" t="s">
        <v>179</v>
      </c>
      <c r="G342" s="21" t="s">
        <v>77</v>
      </c>
      <c r="H342" s="21" t="s">
        <v>163</v>
      </c>
      <c r="I342" s="19" t="s">
        <v>44</v>
      </c>
      <c r="J342" s="19" t="s">
        <v>31</v>
      </c>
      <c r="K342" s="21" t="s">
        <v>15</v>
      </c>
      <c r="L342" s="33" t="str">
        <f t="shared" si="25"/>
        <v>2x LCD</v>
      </c>
      <c r="M342" s="21" t="s">
        <v>36</v>
      </c>
      <c r="N342" s="21"/>
      <c r="O342" s="27"/>
      <c r="P342" s="20"/>
      <c r="Q342" s="20"/>
      <c r="R342" s="29">
        <f t="shared" si="26"/>
        <v>0</v>
      </c>
      <c r="S342" s="20" t="s">
        <v>36</v>
      </c>
      <c r="T342" s="18">
        <v>45078</v>
      </c>
      <c r="U342" s="20">
        <v>2</v>
      </c>
      <c r="V342" s="120">
        <v>5.4999999999999997E-3</v>
      </c>
      <c r="W342" s="69">
        <f t="shared" si="27"/>
        <v>0.20706223999999998</v>
      </c>
      <c r="X342" s="106">
        <v>37.647680000000001</v>
      </c>
      <c r="Y342" s="72" t="str">
        <f t="shared" si="28"/>
        <v>VR_2022_2x LCD_ThinkReality VRX</v>
      </c>
      <c r="Z342" s="36" t="str">
        <f t="shared" si="29"/>
        <v>VR_2022_2x LCD</v>
      </c>
    </row>
    <row r="343" spans="3:26">
      <c r="C343" s="17">
        <v>335</v>
      </c>
      <c r="D343" s="109" t="s">
        <v>26</v>
      </c>
      <c r="E343" s="20" t="s">
        <v>11</v>
      </c>
      <c r="F343" s="20" t="s">
        <v>179</v>
      </c>
      <c r="G343" s="21" t="s">
        <v>43</v>
      </c>
      <c r="H343" s="21" t="s">
        <v>7</v>
      </c>
      <c r="I343" s="19" t="s">
        <v>44</v>
      </c>
      <c r="J343" s="19" t="s">
        <v>31</v>
      </c>
      <c r="K343" s="21" t="s">
        <v>15</v>
      </c>
      <c r="L343" s="33" t="str">
        <f t="shared" si="25"/>
        <v>2x LCD</v>
      </c>
      <c r="M343" s="21" t="s">
        <v>2</v>
      </c>
      <c r="N343" s="21" t="s">
        <v>143</v>
      </c>
      <c r="O343" s="27">
        <v>2.1</v>
      </c>
      <c r="P343" s="20">
        <v>1600</v>
      </c>
      <c r="Q343" s="20">
        <v>1600</v>
      </c>
      <c r="R343" s="29">
        <f t="shared" si="26"/>
        <v>1077.4960475223581</v>
      </c>
      <c r="S343" s="20">
        <v>90</v>
      </c>
      <c r="T343" s="18" t="s">
        <v>143</v>
      </c>
      <c r="U343" s="20">
        <v>2</v>
      </c>
      <c r="V343" s="120">
        <v>8.2500000000000004E-3</v>
      </c>
      <c r="W343" s="69">
        <f t="shared" si="27"/>
        <v>0.31059336000000004</v>
      </c>
      <c r="X343" s="106">
        <v>37.647680000000001</v>
      </c>
      <c r="Y343" s="72" t="str">
        <f t="shared" si="28"/>
        <v>VR_2022_2x LCD_R1</v>
      </c>
      <c r="Z343" s="36" t="str">
        <f t="shared" si="29"/>
        <v>VR_2022_2x LCD</v>
      </c>
    </row>
    <row r="344" spans="3:26">
      <c r="C344" s="17">
        <v>336</v>
      </c>
      <c r="D344" s="109" t="s">
        <v>26</v>
      </c>
      <c r="E344" s="20" t="s">
        <v>11</v>
      </c>
      <c r="F344" s="20" t="s">
        <v>179</v>
      </c>
      <c r="G344" s="21" t="s">
        <v>112</v>
      </c>
      <c r="H344" s="21" t="s">
        <v>32</v>
      </c>
      <c r="I344" s="19" t="s">
        <v>26</v>
      </c>
      <c r="J344" s="19" t="s">
        <v>31</v>
      </c>
      <c r="K344" s="21" t="s">
        <v>15</v>
      </c>
      <c r="L344" s="33" t="str">
        <f t="shared" si="25"/>
        <v>1x LCD</v>
      </c>
      <c r="M344" s="21" t="s">
        <v>2</v>
      </c>
      <c r="N344" s="21" t="s">
        <v>166</v>
      </c>
      <c r="O344" s="27">
        <v>5.5</v>
      </c>
      <c r="P344" s="20">
        <v>3840</v>
      </c>
      <c r="Q344" s="20">
        <v>1832</v>
      </c>
      <c r="R344" s="29">
        <f t="shared" si="26"/>
        <v>773.56797048396322</v>
      </c>
      <c r="S344" s="20">
        <v>90</v>
      </c>
      <c r="T344" s="18">
        <v>44105</v>
      </c>
      <c r="U344" s="20">
        <v>1</v>
      </c>
      <c r="V344" s="120">
        <v>1.375</v>
      </c>
      <c r="W344" s="69">
        <f t="shared" si="27"/>
        <v>77.64833999999999</v>
      </c>
      <c r="X344" s="106">
        <v>56.471519999999991</v>
      </c>
      <c r="Y344" s="72" t="str">
        <f t="shared" si="28"/>
        <v>VR_2022_1x LCD_Quest 2</v>
      </c>
      <c r="Z344" s="36" t="str">
        <f t="shared" si="29"/>
        <v>VR_2022_1x LCD</v>
      </c>
    </row>
    <row r="345" spans="3:26">
      <c r="C345" s="17">
        <v>337</v>
      </c>
      <c r="D345" s="109" t="s">
        <v>26</v>
      </c>
      <c r="E345" s="20" t="s">
        <v>11</v>
      </c>
      <c r="F345" s="20" t="s">
        <v>179</v>
      </c>
      <c r="G345" s="21" t="s">
        <v>112</v>
      </c>
      <c r="H345" s="21" t="s">
        <v>113</v>
      </c>
      <c r="I345" s="19" t="s">
        <v>44</v>
      </c>
      <c r="J345" s="19" t="s">
        <v>31</v>
      </c>
      <c r="K345" s="21" t="s">
        <v>15</v>
      </c>
      <c r="L345" s="33" t="str">
        <f t="shared" si="25"/>
        <v>2x LCD</v>
      </c>
      <c r="M345" s="21" t="s">
        <v>145</v>
      </c>
      <c r="N345" s="21" t="s">
        <v>2</v>
      </c>
      <c r="O345" s="27">
        <v>2.5</v>
      </c>
      <c r="P345" s="20">
        <v>1920</v>
      </c>
      <c r="Q345" s="20">
        <v>1800</v>
      </c>
      <c r="R345" s="29">
        <f t="shared" si="26"/>
        <v>1052.7221855741429</v>
      </c>
      <c r="S345" s="20">
        <v>90</v>
      </c>
      <c r="T345" s="18">
        <v>44835</v>
      </c>
      <c r="U345" s="20">
        <v>2</v>
      </c>
      <c r="V345" s="120">
        <v>3.6299999999999999E-2</v>
      </c>
      <c r="W345" s="69">
        <f t="shared" si="27"/>
        <v>1.3666107839999999</v>
      </c>
      <c r="X345" s="106">
        <v>37.647680000000001</v>
      </c>
      <c r="Y345" s="72" t="str">
        <f t="shared" si="28"/>
        <v>VR_2022_2x LCD_Quest Pro</v>
      </c>
      <c r="Z345" s="36" t="str">
        <f t="shared" si="29"/>
        <v>VR_2022_2x LCD</v>
      </c>
    </row>
    <row r="346" spans="3:26">
      <c r="C346" s="17">
        <v>338</v>
      </c>
      <c r="D346" s="109" t="s">
        <v>26</v>
      </c>
      <c r="E346" s="20" t="s">
        <v>11</v>
      </c>
      <c r="F346" s="20" t="s">
        <v>179</v>
      </c>
      <c r="G346" s="21" t="s">
        <v>110</v>
      </c>
      <c r="H346" s="21" t="s">
        <v>162</v>
      </c>
      <c r="I346" s="19" t="s">
        <v>26</v>
      </c>
      <c r="J346" s="19" t="s">
        <v>31</v>
      </c>
      <c r="K346" s="21" t="s">
        <v>15</v>
      </c>
      <c r="L346" s="33" t="str">
        <f t="shared" si="25"/>
        <v>1x LCD</v>
      </c>
      <c r="M346" s="21" t="s">
        <v>2</v>
      </c>
      <c r="N346" s="21" t="s">
        <v>146</v>
      </c>
      <c r="O346" s="27">
        <v>5.5</v>
      </c>
      <c r="P346" s="20">
        <v>3840</v>
      </c>
      <c r="Q346" s="20">
        <v>1832</v>
      </c>
      <c r="R346" s="29">
        <f t="shared" si="26"/>
        <v>773.56797048396322</v>
      </c>
      <c r="S346" s="20">
        <v>90</v>
      </c>
      <c r="T346" s="18">
        <v>44317</v>
      </c>
      <c r="U346" s="20">
        <v>1</v>
      </c>
      <c r="V346" s="120">
        <v>0.12375</v>
      </c>
      <c r="W346" s="69">
        <f t="shared" si="27"/>
        <v>6.9883505999999986</v>
      </c>
      <c r="X346" s="106">
        <v>56.471519999999991</v>
      </c>
      <c r="Y346" s="72" t="str">
        <f t="shared" si="28"/>
        <v>VR_2022_1x LCD_Neo 3 / G3</v>
      </c>
      <c r="Z346" s="36" t="str">
        <f t="shared" si="29"/>
        <v>VR_2022_1x LCD</v>
      </c>
    </row>
    <row r="347" spans="3:26">
      <c r="C347" s="17">
        <v>339</v>
      </c>
      <c r="D347" s="109" t="s">
        <v>26</v>
      </c>
      <c r="E347" s="20" t="s">
        <v>11</v>
      </c>
      <c r="F347" s="20" t="s">
        <v>179</v>
      </c>
      <c r="G347" s="21" t="s">
        <v>110</v>
      </c>
      <c r="H347" s="21" t="s">
        <v>134</v>
      </c>
      <c r="I347" s="19" t="s">
        <v>26</v>
      </c>
      <c r="J347" s="19" t="s">
        <v>31</v>
      </c>
      <c r="K347" s="21" t="s">
        <v>15</v>
      </c>
      <c r="L347" s="33" t="str">
        <f t="shared" si="25"/>
        <v>2x LCD</v>
      </c>
      <c r="M347" s="21" t="s">
        <v>146</v>
      </c>
      <c r="N347" s="21"/>
      <c r="O347" s="27">
        <v>2.56</v>
      </c>
      <c r="P347" s="20">
        <v>2160</v>
      </c>
      <c r="Q347" s="20">
        <v>2160</v>
      </c>
      <c r="R347" s="29">
        <f t="shared" si="26"/>
        <v>1193.242693252299</v>
      </c>
      <c r="S347" s="20">
        <v>90</v>
      </c>
      <c r="T347" s="18">
        <v>44805</v>
      </c>
      <c r="U347" s="20">
        <v>2</v>
      </c>
      <c r="V347" s="120">
        <v>8.9099999999999999E-2</v>
      </c>
      <c r="W347" s="69">
        <f t="shared" si="27"/>
        <v>3.3544082880000001</v>
      </c>
      <c r="X347" s="106">
        <v>37.647680000000001</v>
      </c>
      <c r="Y347" s="72" t="str">
        <f t="shared" si="28"/>
        <v>VR_2022_2x LCD_Pico 4</v>
      </c>
      <c r="Z347" s="36" t="str">
        <f t="shared" si="29"/>
        <v>VR_2022_2x LCD</v>
      </c>
    </row>
    <row r="348" spans="3:26">
      <c r="C348" s="17">
        <v>340</v>
      </c>
      <c r="D348" s="109" t="s">
        <v>26</v>
      </c>
      <c r="E348" s="20" t="s">
        <v>11</v>
      </c>
      <c r="F348" s="20" t="s">
        <v>179</v>
      </c>
      <c r="G348" s="21" t="s">
        <v>108</v>
      </c>
      <c r="H348" s="21" t="s">
        <v>109</v>
      </c>
      <c r="I348" s="19" t="s">
        <v>26</v>
      </c>
      <c r="J348" s="19" t="s">
        <v>27</v>
      </c>
      <c r="K348" s="21" t="s">
        <v>15</v>
      </c>
      <c r="L348" s="33" t="str">
        <f t="shared" si="25"/>
        <v>2x LCD</v>
      </c>
      <c r="M348" s="21" t="s">
        <v>145</v>
      </c>
      <c r="N348" s="21" t="s">
        <v>146</v>
      </c>
      <c r="O348" s="27"/>
      <c r="P348" s="20"/>
      <c r="Q348" s="20"/>
      <c r="R348" s="29">
        <f t="shared" si="26"/>
        <v>0</v>
      </c>
      <c r="S348" s="20" t="s">
        <v>36</v>
      </c>
      <c r="T348" s="18" t="s">
        <v>143</v>
      </c>
      <c r="U348" s="20">
        <v>2</v>
      </c>
      <c r="V348" s="120">
        <v>5.4999999999999997E-3</v>
      </c>
      <c r="W348" s="69">
        <f t="shared" si="27"/>
        <v>0.20706223999999998</v>
      </c>
      <c r="X348" s="106">
        <v>37.647680000000001</v>
      </c>
      <c r="Y348" s="72" t="str">
        <f t="shared" si="28"/>
        <v>VR_2022_2x LCD_Pimax VR</v>
      </c>
      <c r="Z348" s="36" t="str">
        <f t="shared" si="29"/>
        <v>VR_2022_2x LCD</v>
      </c>
    </row>
    <row r="349" spans="3:26">
      <c r="C349" s="17">
        <v>341</v>
      </c>
      <c r="D349" s="109" t="s">
        <v>26</v>
      </c>
      <c r="E349" s="20" t="s">
        <v>11</v>
      </c>
      <c r="F349" s="20" t="s">
        <v>179</v>
      </c>
      <c r="G349" s="21" t="s">
        <v>139</v>
      </c>
      <c r="H349" s="21" t="s">
        <v>140</v>
      </c>
      <c r="I349" s="19" t="s">
        <v>26</v>
      </c>
      <c r="J349" s="19" t="s">
        <v>27</v>
      </c>
      <c r="K349" s="21" t="s">
        <v>51</v>
      </c>
      <c r="L349" s="33" t="str">
        <f t="shared" si="25"/>
        <v>2x SiOLED</v>
      </c>
      <c r="M349" s="21" t="s">
        <v>171</v>
      </c>
      <c r="N349" s="21"/>
      <c r="O349" s="27">
        <v>1.3</v>
      </c>
      <c r="P349" s="20">
        <v>2560</v>
      </c>
      <c r="Q349" s="20">
        <v>2560</v>
      </c>
      <c r="R349" s="29">
        <f t="shared" si="26"/>
        <v>2784.9128612885565</v>
      </c>
      <c r="S349" s="20">
        <v>120</v>
      </c>
      <c r="T349" s="18"/>
      <c r="U349" s="20">
        <v>2</v>
      </c>
      <c r="V349" s="120">
        <v>5.5000000000000003E-4</v>
      </c>
      <c r="W349" s="69">
        <f t="shared" si="27"/>
        <v>0.11026125000000001</v>
      </c>
      <c r="X349" s="106">
        <v>200.47499999999999</v>
      </c>
      <c r="Y349" s="72" t="str">
        <f t="shared" si="28"/>
        <v>VR_2022_2x SiOLED_MeganeX</v>
      </c>
      <c r="Z349" s="36" t="str">
        <f t="shared" si="29"/>
        <v>VR_2022_2x SiOLED</v>
      </c>
    </row>
    <row r="350" spans="3:26">
      <c r="C350" s="17">
        <v>342</v>
      </c>
      <c r="D350" s="109" t="s">
        <v>26</v>
      </c>
      <c r="E350" s="20" t="s">
        <v>11</v>
      </c>
      <c r="F350" s="20" t="s">
        <v>179</v>
      </c>
      <c r="G350" s="21" t="s">
        <v>6</v>
      </c>
      <c r="H350" s="21" t="s">
        <v>126</v>
      </c>
      <c r="I350" s="19" t="s">
        <v>26</v>
      </c>
      <c r="J350" s="19" t="s">
        <v>27</v>
      </c>
      <c r="K350" s="21" t="s">
        <v>28</v>
      </c>
      <c r="L350" s="33" t="str">
        <f t="shared" si="25"/>
        <v>2x AMOLED</v>
      </c>
      <c r="M350" s="21" t="s">
        <v>3</v>
      </c>
      <c r="N350" s="21"/>
      <c r="O350" s="27">
        <v>3.36</v>
      </c>
      <c r="P350" s="20">
        <v>2040</v>
      </c>
      <c r="Q350" s="20">
        <v>2000</v>
      </c>
      <c r="R350" s="29">
        <f t="shared" si="26"/>
        <v>850.25339693662363</v>
      </c>
      <c r="S350" s="20">
        <v>120</v>
      </c>
      <c r="T350" s="18">
        <v>44958</v>
      </c>
      <c r="U350" s="20">
        <v>2</v>
      </c>
      <c r="V350" s="120">
        <v>1.6</v>
      </c>
      <c r="W350" s="69">
        <f t="shared" si="27"/>
        <v>78.400000000000006</v>
      </c>
      <c r="X350" s="106">
        <v>49</v>
      </c>
      <c r="Y350" s="72" t="str">
        <f t="shared" si="28"/>
        <v>VR_2022_2x AMOLED_PlayStation VR2</v>
      </c>
      <c r="Z350" s="36" t="str">
        <f t="shared" si="29"/>
        <v>VR_2022_2x AMOLED</v>
      </c>
    </row>
    <row r="351" spans="3:26">
      <c r="C351" s="17">
        <v>343</v>
      </c>
      <c r="D351" s="109" t="s">
        <v>26</v>
      </c>
      <c r="E351" s="20" t="s">
        <v>11</v>
      </c>
      <c r="F351" s="20" t="s">
        <v>179</v>
      </c>
      <c r="G351" s="21" t="s">
        <v>97</v>
      </c>
      <c r="H351" s="21" t="s">
        <v>111</v>
      </c>
      <c r="I351" s="19" t="s">
        <v>26</v>
      </c>
      <c r="J351" s="19" t="s">
        <v>36</v>
      </c>
      <c r="K351" s="21" t="s">
        <v>15</v>
      </c>
      <c r="L351" s="33" t="str">
        <f t="shared" si="25"/>
        <v>2x LCD</v>
      </c>
      <c r="M351" s="21" t="s">
        <v>36</v>
      </c>
      <c r="N351" s="21" t="s">
        <v>143</v>
      </c>
      <c r="O351" s="27"/>
      <c r="P351" s="20"/>
      <c r="Q351" s="20"/>
      <c r="R351" s="29">
        <f t="shared" si="26"/>
        <v>0</v>
      </c>
      <c r="S351" s="20" t="s">
        <v>36</v>
      </c>
      <c r="T351" s="18" t="s">
        <v>143</v>
      </c>
      <c r="U351" s="20">
        <v>2</v>
      </c>
      <c r="V351" s="120">
        <v>1.375E-2</v>
      </c>
      <c r="W351" s="69">
        <f t="shared" si="27"/>
        <v>0.51765559999999999</v>
      </c>
      <c r="X351" s="106">
        <v>37.647680000000001</v>
      </c>
      <c r="Y351" s="72" t="str">
        <f t="shared" si="28"/>
        <v>VR_2022_2x LCD_Dual LCD VR headset</v>
      </c>
      <c r="Z351" s="36" t="str">
        <f t="shared" si="29"/>
        <v>VR_2022_2x LCD</v>
      </c>
    </row>
    <row r="352" spans="3:26">
      <c r="C352" s="17">
        <v>344</v>
      </c>
      <c r="D352" s="109" t="s">
        <v>26</v>
      </c>
      <c r="E352" s="20" t="s">
        <v>11</v>
      </c>
      <c r="F352" s="20" t="s">
        <v>179</v>
      </c>
      <c r="G352" s="21" t="s">
        <v>97</v>
      </c>
      <c r="H352" s="21" t="s">
        <v>161</v>
      </c>
      <c r="I352" s="19" t="s">
        <v>26</v>
      </c>
      <c r="J352" s="19" t="s">
        <v>36</v>
      </c>
      <c r="K352" s="21" t="s">
        <v>15</v>
      </c>
      <c r="L352" s="33" t="str">
        <f t="shared" si="25"/>
        <v>1x LCD</v>
      </c>
      <c r="M352" s="21" t="s">
        <v>36</v>
      </c>
      <c r="N352" s="21" t="s">
        <v>143</v>
      </c>
      <c r="O352" s="27"/>
      <c r="P352" s="20"/>
      <c r="Q352" s="20"/>
      <c r="R352" s="29">
        <f t="shared" si="26"/>
        <v>0</v>
      </c>
      <c r="S352" s="20" t="s">
        <v>36</v>
      </c>
      <c r="T352" s="18" t="s">
        <v>143</v>
      </c>
      <c r="U352" s="20">
        <v>1</v>
      </c>
      <c r="V352" s="120">
        <v>5.7750000000000003E-2</v>
      </c>
      <c r="W352" s="69">
        <f t="shared" si="27"/>
        <v>3.2612302799999995</v>
      </c>
      <c r="X352" s="106">
        <v>56.471519999999991</v>
      </c>
      <c r="Y352" s="72" t="str">
        <f t="shared" si="28"/>
        <v>VR_2022_1x LCD_Single LCD VR headset</v>
      </c>
      <c r="Z352" s="36" t="str">
        <f t="shared" si="29"/>
        <v>VR_2022_1x LCD</v>
      </c>
    </row>
    <row r="353" spans="3:26">
      <c r="C353" s="17">
        <v>345</v>
      </c>
      <c r="D353" s="109" t="s">
        <v>129</v>
      </c>
      <c r="E353" s="20" t="s">
        <v>11</v>
      </c>
      <c r="F353" s="20" t="s">
        <v>179</v>
      </c>
      <c r="G353" s="21" t="s">
        <v>73</v>
      </c>
      <c r="H353" s="21" t="s">
        <v>74</v>
      </c>
      <c r="I353" s="19" t="s">
        <v>63</v>
      </c>
      <c r="J353" s="19" t="s">
        <v>31</v>
      </c>
      <c r="K353" s="21" t="s">
        <v>51</v>
      </c>
      <c r="L353" s="33" t="str">
        <f t="shared" si="25"/>
        <v>2x SiOLED</v>
      </c>
      <c r="M353" s="21" t="s">
        <v>73</v>
      </c>
      <c r="N353" s="21"/>
      <c r="O353" s="27">
        <v>0.43</v>
      </c>
      <c r="P353" s="20">
        <v>1280</v>
      </c>
      <c r="Q353" s="20">
        <v>720</v>
      </c>
      <c r="R353" s="29">
        <f t="shared" si="26"/>
        <v>3415.3599536159668</v>
      </c>
      <c r="S353" s="20" t="s">
        <v>36</v>
      </c>
      <c r="T353" s="18">
        <v>42401</v>
      </c>
      <c r="U353" s="20">
        <v>2</v>
      </c>
      <c r="V353" s="120">
        <v>2.1999999999999999E-2</v>
      </c>
      <c r="W353" s="69">
        <f t="shared" si="27"/>
        <v>1.7128488959999997</v>
      </c>
      <c r="X353" s="106">
        <v>77.856767999999988</v>
      </c>
      <c r="Y353" s="72" t="str">
        <f t="shared" si="28"/>
        <v>AR_2022_2x SiOLED_Moverio</v>
      </c>
      <c r="Z353" s="36" t="str">
        <f t="shared" si="29"/>
        <v>AR_2022_2x SiOLED</v>
      </c>
    </row>
    <row r="354" spans="3:26">
      <c r="C354" s="17">
        <v>346</v>
      </c>
      <c r="D354" s="109" t="s">
        <v>129</v>
      </c>
      <c r="E354" s="20" t="s">
        <v>11</v>
      </c>
      <c r="F354" s="20" t="s">
        <v>179</v>
      </c>
      <c r="G354" s="21" t="s">
        <v>71</v>
      </c>
      <c r="H354" s="21" t="s">
        <v>130</v>
      </c>
      <c r="I354" s="19" t="s">
        <v>63</v>
      </c>
      <c r="J354" s="19" t="s">
        <v>31</v>
      </c>
      <c r="K354" s="21" t="s">
        <v>168</v>
      </c>
      <c r="L354" s="33" t="str">
        <f t="shared" si="25"/>
        <v>1x Micro LCD</v>
      </c>
      <c r="M354" s="21" t="s">
        <v>72</v>
      </c>
      <c r="N354" s="21"/>
      <c r="O354" s="27"/>
      <c r="P354" s="20">
        <v>640</v>
      </c>
      <c r="Q354" s="20">
        <v>360</v>
      </c>
      <c r="R354" s="29">
        <f t="shared" si="26"/>
        <v>0</v>
      </c>
      <c r="S354" s="20" t="s">
        <v>36</v>
      </c>
      <c r="T354" s="18">
        <v>43586</v>
      </c>
      <c r="U354" s="20">
        <v>1</v>
      </c>
      <c r="V354" s="120">
        <v>3.163E-3</v>
      </c>
      <c r="W354" s="69">
        <f t="shared" si="27"/>
        <v>0.12890034095399999</v>
      </c>
      <c r="X354" s="106">
        <v>40.752558000000001</v>
      </c>
      <c r="Y354" s="72" t="str">
        <f t="shared" si="28"/>
        <v>AR_2022_1x Micro LCD_Glass</v>
      </c>
      <c r="Z354" s="36" t="str">
        <f t="shared" si="29"/>
        <v>AR_2022_1x Micro LCD</v>
      </c>
    </row>
    <row r="355" spans="3:26">
      <c r="C355" s="17">
        <v>347</v>
      </c>
      <c r="D355" s="109" t="s">
        <v>129</v>
      </c>
      <c r="E355" s="20" t="s">
        <v>11</v>
      </c>
      <c r="F355" s="20" t="s">
        <v>179</v>
      </c>
      <c r="G355" s="21" t="s">
        <v>77</v>
      </c>
      <c r="H355" s="21" t="s">
        <v>131</v>
      </c>
      <c r="I355" s="19" t="s">
        <v>63</v>
      </c>
      <c r="J355" s="19" t="s">
        <v>27</v>
      </c>
      <c r="K355" s="21" t="s">
        <v>51</v>
      </c>
      <c r="L355" s="33" t="str">
        <f t="shared" si="25"/>
        <v>2x SiOLED</v>
      </c>
      <c r="M355" s="21" t="s">
        <v>116</v>
      </c>
      <c r="N355" s="21"/>
      <c r="O355" s="27">
        <v>0.49</v>
      </c>
      <c r="P355" s="20">
        <v>1920</v>
      </c>
      <c r="Q355" s="20">
        <v>1080</v>
      </c>
      <c r="R355" s="29">
        <f t="shared" si="26"/>
        <v>4495.7289185353029</v>
      </c>
      <c r="S355" s="20">
        <v>60</v>
      </c>
      <c r="T355" s="18">
        <v>44866</v>
      </c>
      <c r="U355" s="20">
        <v>2</v>
      </c>
      <c r="V355" s="120">
        <v>1.375E-2</v>
      </c>
      <c r="W355" s="69">
        <f t="shared" si="27"/>
        <v>0.71499999999999997</v>
      </c>
      <c r="X355" s="106">
        <v>52</v>
      </c>
      <c r="Y355" s="72" t="str">
        <f t="shared" si="28"/>
        <v>AR_2022_2x SiOLED_T1</v>
      </c>
      <c r="Z355" s="36" t="str">
        <f t="shared" si="29"/>
        <v>AR_2022_2x SiOLED</v>
      </c>
    </row>
    <row r="356" spans="3:26">
      <c r="C356" s="17">
        <v>348</v>
      </c>
      <c r="D356" s="109" t="s">
        <v>129</v>
      </c>
      <c r="E356" s="20" t="s">
        <v>11</v>
      </c>
      <c r="F356" s="20" t="s">
        <v>179</v>
      </c>
      <c r="G356" s="21" t="s">
        <v>77</v>
      </c>
      <c r="H356" s="21" t="s">
        <v>78</v>
      </c>
      <c r="I356" s="19" t="s">
        <v>63</v>
      </c>
      <c r="J356" s="19" t="s">
        <v>27</v>
      </c>
      <c r="K356" s="21" t="s">
        <v>51</v>
      </c>
      <c r="L356" s="33" t="str">
        <f t="shared" si="25"/>
        <v>2x SiOLED</v>
      </c>
      <c r="M356" s="21" t="s">
        <v>6</v>
      </c>
      <c r="N356" s="21"/>
      <c r="O356" s="27">
        <v>0.71</v>
      </c>
      <c r="P356" s="20">
        <v>1920</v>
      </c>
      <c r="Q356" s="20">
        <v>1080</v>
      </c>
      <c r="R356" s="29">
        <f t="shared" si="26"/>
        <v>3102.6861550454905</v>
      </c>
      <c r="S356" s="20" t="s">
        <v>36</v>
      </c>
      <c r="T356" s="18">
        <v>44348</v>
      </c>
      <c r="U356" s="20">
        <v>2</v>
      </c>
      <c r="V356" s="120">
        <v>1.9250000000000001E-3</v>
      </c>
      <c r="W356" s="69">
        <f t="shared" si="27"/>
        <v>0.14987427839999998</v>
      </c>
      <c r="X356" s="106">
        <v>77.856767999999988</v>
      </c>
      <c r="Y356" s="72" t="str">
        <f t="shared" si="28"/>
        <v>AR_2022_2x SiOLED_ThinkReality A3</v>
      </c>
      <c r="Z356" s="36" t="str">
        <f t="shared" si="29"/>
        <v>AR_2022_2x SiOLED</v>
      </c>
    </row>
    <row r="357" spans="3:26">
      <c r="C357" s="17">
        <v>349</v>
      </c>
      <c r="D357" s="109" t="s">
        <v>129</v>
      </c>
      <c r="E357" s="20" t="s">
        <v>11</v>
      </c>
      <c r="F357" s="20" t="s">
        <v>179</v>
      </c>
      <c r="G357" s="21" t="s">
        <v>65</v>
      </c>
      <c r="H357" s="21" t="s">
        <v>117</v>
      </c>
      <c r="I357" s="19" t="s">
        <v>63</v>
      </c>
      <c r="J357" s="19" t="s">
        <v>31</v>
      </c>
      <c r="K357" s="21" t="s">
        <v>67</v>
      </c>
      <c r="L357" s="33" t="str">
        <f t="shared" si="25"/>
        <v>2x LCoS</v>
      </c>
      <c r="M357" s="21" t="s">
        <v>36</v>
      </c>
      <c r="N357" s="21"/>
      <c r="O357" s="27"/>
      <c r="P357" s="20">
        <v>1440</v>
      </c>
      <c r="Q357" s="20">
        <v>1760</v>
      </c>
      <c r="R357" s="29">
        <f t="shared" si="26"/>
        <v>0</v>
      </c>
      <c r="S357" s="20" t="s">
        <v>36</v>
      </c>
      <c r="T357" s="18">
        <v>44805</v>
      </c>
      <c r="U357" s="20">
        <v>2</v>
      </c>
      <c r="V357" s="120">
        <v>5.4999999999999997E-3</v>
      </c>
      <c r="W357" s="69">
        <f t="shared" si="27"/>
        <v>0.245485647</v>
      </c>
      <c r="X357" s="106">
        <v>44.633754000000003</v>
      </c>
      <c r="Y357" s="72" t="str">
        <f t="shared" si="28"/>
        <v>AR_2022_2x LCoS_ML 2</v>
      </c>
      <c r="Z357" s="36" t="str">
        <f t="shared" si="29"/>
        <v>AR_2022_2x LCoS</v>
      </c>
    </row>
    <row r="358" spans="3:26">
      <c r="C358" s="17">
        <v>350</v>
      </c>
      <c r="D358" s="109" t="s">
        <v>129</v>
      </c>
      <c r="E358" s="20" t="s">
        <v>11</v>
      </c>
      <c r="F358" s="20" t="s">
        <v>179</v>
      </c>
      <c r="G358" s="21" t="s">
        <v>61</v>
      </c>
      <c r="H358" s="21" t="s">
        <v>62</v>
      </c>
      <c r="I358" s="19" t="s">
        <v>63</v>
      </c>
      <c r="J358" s="19" t="s">
        <v>31</v>
      </c>
      <c r="K358" s="21" t="s">
        <v>64</v>
      </c>
      <c r="L358" s="33" t="str">
        <f t="shared" si="25"/>
        <v>2x LBS</v>
      </c>
      <c r="M358" s="21" t="s">
        <v>36</v>
      </c>
      <c r="N358" s="21"/>
      <c r="O358" s="27"/>
      <c r="P358" s="20"/>
      <c r="Q358" s="20"/>
      <c r="R358" s="29">
        <f t="shared" si="26"/>
        <v>0</v>
      </c>
      <c r="S358" s="20" t="s">
        <v>36</v>
      </c>
      <c r="T358" s="18">
        <v>43770</v>
      </c>
      <c r="U358" s="20">
        <v>2</v>
      </c>
      <c r="V358" s="120">
        <v>6.875E-3</v>
      </c>
      <c r="W358" s="69">
        <f t="shared" si="27"/>
        <v>0.70275820999999994</v>
      </c>
      <c r="X358" s="106">
        <v>102.219376</v>
      </c>
      <c r="Y358" s="72" t="str">
        <f t="shared" si="28"/>
        <v>AR_2022_2x LBS_HoloLens 2</v>
      </c>
      <c r="Z358" s="36" t="str">
        <f t="shared" si="29"/>
        <v>AR_2022_2x LBS</v>
      </c>
    </row>
    <row r="359" spans="3:26">
      <c r="C359" s="17">
        <v>351</v>
      </c>
      <c r="D359" s="109" t="s">
        <v>129</v>
      </c>
      <c r="E359" s="20" t="s">
        <v>11</v>
      </c>
      <c r="F359" s="20" t="s">
        <v>179</v>
      </c>
      <c r="G359" s="21" t="s">
        <v>186</v>
      </c>
      <c r="H359" s="21" t="s">
        <v>187</v>
      </c>
      <c r="I359" s="19" t="s">
        <v>63</v>
      </c>
      <c r="J359" s="19" t="s">
        <v>27</v>
      </c>
      <c r="K359" s="21" t="s">
        <v>51</v>
      </c>
      <c r="L359" s="33" t="str">
        <f t="shared" si="25"/>
        <v>2x SiOLED</v>
      </c>
      <c r="M359" s="21" t="s">
        <v>145</v>
      </c>
      <c r="N359" s="21"/>
      <c r="O359" s="27">
        <v>0.71</v>
      </c>
      <c r="P359" s="20">
        <v>1920</v>
      </c>
      <c r="Q359" s="20">
        <v>1080</v>
      </c>
      <c r="R359" s="29">
        <f t="shared" si="26"/>
        <v>3102.6861550454905</v>
      </c>
      <c r="S359" s="20">
        <v>90</v>
      </c>
      <c r="T359" s="18">
        <v>44044</v>
      </c>
      <c r="U359" s="20">
        <v>2</v>
      </c>
      <c r="V359" s="120">
        <v>8.2500000000000004E-2</v>
      </c>
      <c r="W359" s="69">
        <f t="shared" si="27"/>
        <v>6.4231833599999995</v>
      </c>
      <c r="X359" s="106">
        <v>77.856767999999988</v>
      </c>
      <c r="Y359" s="72" t="str">
        <f t="shared" si="28"/>
        <v>AR_2022_2x SiOLED_Light</v>
      </c>
      <c r="Z359" s="36" t="str">
        <f t="shared" si="29"/>
        <v>AR_2022_2x SiOLED</v>
      </c>
    </row>
    <row r="360" spans="3:26">
      <c r="C360" s="17">
        <v>352</v>
      </c>
      <c r="D360" s="109" t="s">
        <v>129</v>
      </c>
      <c r="E360" s="20" t="s">
        <v>11</v>
      </c>
      <c r="F360" s="20" t="s">
        <v>179</v>
      </c>
      <c r="G360" s="21" t="s">
        <v>118</v>
      </c>
      <c r="H360" s="21" t="s">
        <v>119</v>
      </c>
      <c r="I360" s="19" t="s">
        <v>63</v>
      </c>
      <c r="J360" s="19" t="s">
        <v>27</v>
      </c>
      <c r="K360" s="21" t="s">
        <v>120</v>
      </c>
      <c r="L360" s="33" t="str">
        <f t="shared" si="25"/>
        <v>1x MicroLED</v>
      </c>
      <c r="M360" s="21" t="s">
        <v>144</v>
      </c>
      <c r="N360" s="21"/>
      <c r="O360" s="27">
        <v>0.13</v>
      </c>
      <c r="P360" s="20">
        <v>640</v>
      </c>
      <c r="Q360" s="20">
        <v>480</v>
      </c>
      <c r="R360" s="29">
        <f t="shared" si="26"/>
        <v>6153.8461538461534</v>
      </c>
      <c r="S360" s="20" t="s">
        <v>36</v>
      </c>
      <c r="T360" s="18">
        <v>44562</v>
      </c>
      <c r="U360" s="20">
        <v>1</v>
      </c>
      <c r="V360" s="120">
        <v>6.8799999999999992E-4</v>
      </c>
      <c r="W360" s="69">
        <f t="shared" si="27"/>
        <v>5.4286970239999982E-2</v>
      </c>
      <c r="X360" s="106">
        <v>78.905479999999983</v>
      </c>
      <c r="Y360" s="72" t="str">
        <f t="shared" si="28"/>
        <v>AR_2022_1x MicroLED_Air Glass</v>
      </c>
      <c r="Z360" s="36" t="str">
        <f t="shared" si="29"/>
        <v>AR_2022_1x MicroLED</v>
      </c>
    </row>
    <row r="361" spans="3:26">
      <c r="C361" s="17">
        <v>353</v>
      </c>
      <c r="D361" s="109" t="s">
        <v>129</v>
      </c>
      <c r="E361" s="20" t="s">
        <v>11</v>
      </c>
      <c r="F361" s="20" t="s">
        <v>179</v>
      </c>
      <c r="G361" s="21" t="s">
        <v>132</v>
      </c>
      <c r="H361" s="21" t="s">
        <v>133</v>
      </c>
      <c r="I361" s="19" t="s">
        <v>63</v>
      </c>
      <c r="J361" s="19" t="s">
        <v>27</v>
      </c>
      <c r="K361" s="21" t="s">
        <v>51</v>
      </c>
      <c r="L361" s="33" t="str">
        <f t="shared" si="25"/>
        <v>2x SiOLED</v>
      </c>
      <c r="M361" s="21" t="s">
        <v>116</v>
      </c>
      <c r="N361" s="21"/>
      <c r="O361" s="27">
        <v>0.49</v>
      </c>
      <c r="P361" s="20">
        <v>1920</v>
      </c>
      <c r="Q361" s="20">
        <v>1080</v>
      </c>
      <c r="R361" s="29">
        <f t="shared" si="26"/>
        <v>4495.7289185353029</v>
      </c>
      <c r="S361" s="20">
        <v>75</v>
      </c>
      <c r="T361" s="18">
        <v>44501</v>
      </c>
      <c r="U361" s="20">
        <v>2</v>
      </c>
      <c r="V361" s="120">
        <v>1.0999999999999999E-2</v>
      </c>
      <c r="W361" s="69">
        <f t="shared" si="27"/>
        <v>0.57199999999999995</v>
      </c>
      <c r="X361" s="106">
        <v>52</v>
      </c>
      <c r="Y361" s="72" t="str">
        <f t="shared" si="28"/>
        <v>AR_2022_2x SiOLED_Air</v>
      </c>
      <c r="Z361" s="36" t="str">
        <f t="shared" si="29"/>
        <v>AR_2022_2x SiOLED</v>
      </c>
    </row>
    <row r="362" spans="3:26">
      <c r="C362" s="17">
        <v>354</v>
      </c>
      <c r="D362" s="109" t="s">
        <v>129</v>
      </c>
      <c r="E362" s="20" t="s">
        <v>11</v>
      </c>
      <c r="F362" s="20" t="s">
        <v>179</v>
      </c>
      <c r="G362" s="21" t="s">
        <v>135</v>
      </c>
      <c r="H362" s="21" t="s">
        <v>136</v>
      </c>
      <c r="I362" s="19" t="s">
        <v>63</v>
      </c>
      <c r="J362" s="19" t="s">
        <v>27</v>
      </c>
      <c r="K362" s="21" t="s">
        <v>51</v>
      </c>
      <c r="L362" s="33" t="str">
        <f t="shared" si="25"/>
        <v>2x SiOLED</v>
      </c>
      <c r="M362" s="21" t="s">
        <v>6</v>
      </c>
      <c r="N362" s="21"/>
      <c r="O362" s="27">
        <v>0.55000000000000004</v>
      </c>
      <c r="P362" s="20">
        <v>1920</v>
      </c>
      <c r="Q362" s="20">
        <v>1080</v>
      </c>
      <c r="R362" s="29">
        <f t="shared" si="26"/>
        <v>4005.2857637859966</v>
      </c>
      <c r="S362" s="20" t="s">
        <v>36</v>
      </c>
      <c r="T362" s="18">
        <v>44866</v>
      </c>
      <c r="U362" s="20">
        <v>2</v>
      </c>
      <c r="V362" s="120">
        <v>8.2500000000000004E-3</v>
      </c>
      <c r="W362" s="69">
        <f t="shared" si="27"/>
        <v>0.47850000000000004</v>
      </c>
      <c r="X362" s="106">
        <v>58</v>
      </c>
      <c r="Y362" s="72" t="str">
        <f t="shared" si="28"/>
        <v>AR_2022_2x SiOLED_NXTWear</v>
      </c>
      <c r="Z362" s="36" t="str">
        <f t="shared" si="29"/>
        <v>AR_2022_2x SiOLED</v>
      </c>
    </row>
    <row r="363" spans="3:26">
      <c r="C363" s="17">
        <v>355</v>
      </c>
      <c r="D363" s="109" t="s">
        <v>129</v>
      </c>
      <c r="E363" s="20" t="s">
        <v>11</v>
      </c>
      <c r="F363" s="20" t="s">
        <v>179</v>
      </c>
      <c r="G363" s="21" t="s">
        <v>68</v>
      </c>
      <c r="H363" s="21" t="s">
        <v>69</v>
      </c>
      <c r="I363" s="19" t="s">
        <v>63</v>
      </c>
      <c r="J363" s="19" t="s">
        <v>31</v>
      </c>
      <c r="K363" s="21" t="s">
        <v>70</v>
      </c>
      <c r="L363" s="33" t="str">
        <f t="shared" si="25"/>
        <v>1x DLP</v>
      </c>
      <c r="M363" s="21" t="s">
        <v>172</v>
      </c>
      <c r="N363" s="21"/>
      <c r="O363" s="27"/>
      <c r="P363" s="20">
        <v>853</v>
      </c>
      <c r="Q363" s="20">
        <v>480</v>
      </c>
      <c r="R363" s="29">
        <f t="shared" si="26"/>
        <v>0</v>
      </c>
      <c r="S363" s="20" t="s">
        <v>36</v>
      </c>
      <c r="T363" s="18">
        <v>43466</v>
      </c>
      <c r="U363" s="20">
        <v>1</v>
      </c>
      <c r="V363" s="120">
        <v>4.1299999999999996E-4</v>
      </c>
      <c r="W363" s="69">
        <f t="shared" si="27"/>
        <v>3.3260879420999992E-2</v>
      </c>
      <c r="X363" s="106">
        <v>80.53481699999999</v>
      </c>
      <c r="Y363" s="72" t="str">
        <f t="shared" si="28"/>
        <v>AR_2022_1x DLP_Blade</v>
      </c>
      <c r="Z363" s="36" t="str">
        <f t="shared" si="29"/>
        <v>AR_2022_1x DLP</v>
      </c>
    </row>
    <row r="364" spans="3:26">
      <c r="C364" s="17">
        <v>356</v>
      </c>
      <c r="D364" s="109" t="s">
        <v>129</v>
      </c>
      <c r="E364" s="20" t="s">
        <v>11</v>
      </c>
      <c r="F364" s="20" t="s">
        <v>179</v>
      </c>
      <c r="G364" s="21" t="s">
        <v>68</v>
      </c>
      <c r="H364" s="21" t="s">
        <v>122</v>
      </c>
      <c r="I364" s="19" t="s">
        <v>63</v>
      </c>
      <c r="J364" s="19" t="s">
        <v>31</v>
      </c>
      <c r="K364" s="21" t="s">
        <v>120</v>
      </c>
      <c r="L364" s="33" t="str">
        <f t="shared" si="25"/>
        <v>2x MicroLED</v>
      </c>
      <c r="M364" s="21" t="s">
        <v>144</v>
      </c>
      <c r="N364" s="21"/>
      <c r="O364" s="27">
        <v>0.13</v>
      </c>
      <c r="P364" s="20">
        <v>640</v>
      </c>
      <c r="Q364" s="20">
        <v>480</v>
      </c>
      <c r="R364" s="29">
        <f t="shared" si="26"/>
        <v>6153.8461538461534</v>
      </c>
      <c r="S364" s="20" t="s">
        <v>36</v>
      </c>
      <c r="T364" s="18">
        <v>44896</v>
      </c>
      <c r="U364" s="20">
        <v>2</v>
      </c>
      <c r="V364" s="120">
        <v>5.5000000000000003E-4</v>
      </c>
      <c r="W364" s="69">
        <f t="shared" si="27"/>
        <v>4.3398013999999992E-2</v>
      </c>
      <c r="X364" s="106">
        <v>78.905479999999983</v>
      </c>
      <c r="Y364" s="72" t="str">
        <f t="shared" si="28"/>
        <v>AR_2022_2x MicroLED_Shield</v>
      </c>
      <c r="Z364" s="36" t="str">
        <f t="shared" si="29"/>
        <v>AR_2022_2x MicroLED</v>
      </c>
    </row>
    <row r="365" spans="3:26">
      <c r="C365" s="17">
        <v>357</v>
      </c>
      <c r="D365" s="109" t="s">
        <v>129</v>
      </c>
      <c r="E365" s="20" t="s">
        <v>11</v>
      </c>
      <c r="F365" s="20" t="s">
        <v>179</v>
      </c>
      <c r="G365" s="21" t="s">
        <v>97</v>
      </c>
      <c r="H365" s="21" t="s">
        <v>123</v>
      </c>
      <c r="I365" s="19" t="s">
        <v>63</v>
      </c>
      <c r="J365" s="19" t="s">
        <v>36</v>
      </c>
      <c r="K365" s="21" t="s">
        <v>120</v>
      </c>
      <c r="L365" s="33" t="str">
        <f t="shared" si="25"/>
        <v>2x MicroLED</v>
      </c>
      <c r="M365" s="21" t="s">
        <v>36</v>
      </c>
      <c r="N365" s="21"/>
      <c r="O365" s="27"/>
      <c r="P365" s="20"/>
      <c r="Q365" s="20"/>
      <c r="R365" s="29">
        <f t="shared" si="26"/>
        <v>0</v>
      </c>
      <c r="S365" s="20" t="s">
        <v>36</v>
      </c>
      <c r="T365" s="18" t="s">
        <v>143</v>
      </c>
      <c r="U365" s="20">
        <v>2</v>
      </c>
      <c r="V365" s="120">
        <v>2.7500000000000002E-4</v>
      </c>
      <c r="W365" s="69">
        <f t="shared" si="27"/>
        <v>2.1699006999999996E-2</v>
      </c>
      <c r="X365" s="106">
        <v>78.905479999999983</v>
      </c>
      <c r="Y365" s="72" t="str">
        <f t="shared" si="28"/>
        <v>AR_2022_2x MicroLED_Binocular MicroLED</v>
      </c>
      <c r="Z365" s="36" t="str">
        <f t="shared" si="29"/>
        <v>AR_2022_2x MicroLED</v>
      </c>
    </row>
    <row r="366" spans="3:26">
      <c r="C366" s="17">
        <v>358</v>
      </c>
      <c r="D366" s="109" t="s">
        <v>129</v>
      </c>
      <c r="E366" s="20" t="s">
        <v>11</v>
      </c>
      <c r="F366" s="20" t="s">
        <v>179</v>
      </c>
      <c r="G366" s="21" t="s">
        <v>97</v>
      </c>
      <c r="H366" s="21" t="s">
        <v>76</v>
      </c>
      <c r="I366" s="19" t="s">
        <v>63</v>
      </c>
      <c r="J366" s="19" t="s">
        <v>36</v>
      </c>
      <c r="K366" s="21" t="s">
        <v>70</v>
      </c>
      <c r="L366" s="33" t="str">
        <f t="shared" si="25"/>
        <v>1x DLP</v>
      </c>
      <c r="M366" s="21" t="s">
        <v>36</v>
      </c>
      <c r="N366" s="21"/>
      <c r="O366" s="27"/>
      <c r="P366" s="20"/>
      <c r="Q366" s="20"/>
      <c r="R366" s="29">
        <f t="shared" si="26"/>
        <v>0</v>
      </c>
      <c r="S366" s="20" t="s">
        <v>36</v>
      </c>
      <c r="T366" s="18" t="s">
        <v>143</v>
      </c>
      <c r="U366" s="20">
        <v>1</v>
      </c>
      <c r="V366" s="120">
        <v>2.7500000000000002E-4</v>
      </c>
      <c r="W366" s="69">
        <f t="shared" si="27"/>
        <v>2.2147074675E-2</v>
      </c>
      <c r="X366" s="106">
        <v>80.53481699999999</v>
      </c>
      <c r="Y366" s="72" t="str">
        <f t="shared" si="28"/>
        <v>AR_2022_1x DLP_DLP glasses</v>
      </c>
      <c r="Z366" s="36" t="str">
        <f t="shared" si="29"/>
        <v>AR_2022_1x DLP</v>
      </c>
    </row>
    <row r="367" spans="3:26">
      <c r="C367" s="17">
        <v>359</v>
      </c>
      <c r="D367" s="109" t="s">
        <v>129</v>
      </c>
      <c r="E367" s="20" t="s">
        <v>11</v>
      </c>
      <c r="F367" s="20" t="s">
        <v>179</v>
      </c>
      <c r="G367" s="21" t="s">
        <v>97</v>
      </c>
      <c r="H367" s="21" t="s">
        <v>80</v>
      </c>
      <c r="I367" s="19" t="s">
        <v>63</v>
      </c>
      <c r="J367" s="19" t="s">
        <v>36</v>
      </c>
      <c r="K367" s="21" t="s">
        <v>64</v>
      </c>
      <c r="L367" s="33" t="str">
        <f t="shared" si="25"/>
        <v>2x LBS</v>
      </c>
      <c r="M367" s="21" t="s">
        <v>36</v>
      </c>
      <c r="N367" s="21"/>
      <c r="O367" s="27"/>
      <c r="P367" s="20"/>
      <c r="Q367" s="20"/>
      <c r="R367" s="29">
        <f t="shared" si="26"/>
        <v>0</v>
      </c>
      <c r="S367" s="20" t="s">
        <v>36</v>
      </c>
      <c r="T367" s="18" t="s">
        <v>143</v>
      </c>
      <c r="U367" s="20">
        <v>2</v>
      </c>
      <c r="V367" s="120">
        <v>8.25E-4</v>
      </c>
      <c r="W367" s="69">
        <f t="shared" si="27"/>
        <v>8.43309852E-2</v>
      </c>
      <c r="X367" s="106">
        <v>102.219376</v>
      </c>
      <c r="Y367" s="72" t="str">
        <f t="shared" si="28"/>
        <v>AR_2022_2x LBS_LBS glasses</v>
      </c>
      <c r="Z367" s="36" t="str">
        <f t="shared" si="29"/>
        <v>AR_2022_2x LBS</v>
      </c>
    </row>
    <row r="368" spans="3:26">
      <c r="C368" s="17">
        <v>360</v>
      </c>
      <c r="D368" s="109" t="s">
        <v>129</v>
      </c>
      <c r="E368" s="20" t="s">
        <v>11</v>
      </c>
      <c r="F368" s="20" t="s">
        <v>179</v>
      </c>
      <c r="G368" s="21" t="s">
        <v>97</v>
      </c>
      <c r="H368" s="21" t="s">
        <v>75</v>
      </c>
      <c r="I368" s="19" t="s">
        <v>63</v>
      </c>
      <c r="J368" s="19" t="s">
        <v>36</v>
      </c>
      <c r="K368" s="21" t="s">
        <v>67</v>
      </c>
      <c r="L368" s="33" t="str">
        <f t="shared" si="25"/>
        <v>2x LCoS</v>
      </c>
      <c r="M368" s="21" t="s">
        <v>36</v>
      </c>
      <c r="N368" s="21"/>
      <c r="O368" s="27"/>
      <c r="P368" s="20"/>
      <c r="Q368" s="20"/>
      <c r="R368" s="29">
        <f t="shared" si="26"/>
        <v>0</v>
      </c>
      <c r="S368" s="20" t="s">
        <v>36</v>
      </c>
      <c r="T368" s="18" t="s">
        <v>143</v>
      </c>
      <c r="U368" s="20">
        <v>2</v>
      </c>
      <c r="V368" s="120">
        <v>4.1250000000000002E-3</v>
      </c>
      <c r="W368" s="69">
        <f t="shared" si="27"/>
        <v>0.18411423525000004</v>
      </c>
      <c r="X368" s="106">
        <v>44.633754000000003</v>
      </c>
      <c r="Y368" s="72" t="str">
        <f t="shared" si="28"/>
        <v>AR_2022_2x LCoS_LCoS glasses</v>
      </c>
      <c r="Z368" s="36" t="str">
        <f t="shared" si="29"/>
        <v>AR_2022_2x LCoS</v>
      </c>
    </row>
    <row r="369" spans="3:26">
      <c r="C369" s="17">
        <v>361</v>
      </c>
      <c r="D369" s="109" t="s">
        <v>129</v>
      </c>
      <c r="E369" s="20" t="s">
        <v>11</v>
      </c>
      <c r="F369" s="20" t="s">
        <v>179</v>
      </c>
      <c r="G369" s="21" t="s">
        <v>97</v>
      </c>
      <c r="H369" s="21" t="s">
        <v>121</v>
      </c>
      <c r="I369" s="19" t="s">
        <v>63</v>
      </c>
      <c r="J369" s="19" t="s">
        <v>36</v>
      </c>
      <c r="K369" s="21" t="s">
        <v>120</v>
      </c>
      <c r="L369" s="33" t="str">
        <f t="shared" si="25"/>
        <v>1x MicroLED</v>
      </c>
      <c r="M369" s="21" t="s">
        <v>36</v>
      </c>
      <c r="N369" s="21"/>
      <c r="O369" s="27"/>
      <c r="P369" s="20"/>
      <c r="Q369" s="20"/>
      <c r="R369" s="29">
        <f t="shared" si="26"/>
        <v>0</v>
      </c>
      <c r="S369" s="20" t="s">
        <v>36</v>
      </c>
      <c r="T369" s="18" t="s">
        <v>143</v>
      </c>
      <c r="U369" s="20">
        <v>1</v>
      </c>
      <c r="V369" s="120">
        <v>1.3800000000000002E-4</v>
      </c>
      <c r="W369" s="69">
        <f t="shared" si="27"/>
        <v>1.0888956239999999E-2</v>
      </c>
      <c r="X369" s="106">
        <v>78.905479999999983</v>
      </c>
      <c r="Y369" s="72" t="str">
        <f t="shared" si="28"/>
        <v>AR_2022_1x MicroLED_Monocular MicroLED</v>
      </c>
      <c r="Z369" s="36" t="str">
        <f t="shared" si="29"/>
        <v>AR_2022_1x MicroLED</v>
      </c>
    </row>
    <row r="370" spans="3:26">
      <c r="C370" s="17">
        <v>362</v>
      </c>
      <c r="D370" s="109" t="s">
        <v>129</v>
      </c>
      <c r="E370" s="20" t="s">
        <v>11</v>
      </c>
      <c r="F370" s="20" t="s">
        <v>179</v>
      </c>
      <c r="G370" s="21" t="s">
        <v>97</v>
      </c>
      <c r="H370" s="21" t="s">
        <v>79</v>
      </c>
      <c r="I370" s="19" t="s">
        <v>63</v>
      </c>
      <c r="J370" s="19" t="s">
        <v>36</v>
      </c>
      <c r="K370" s="21" t="s">
        <v>51</v>
      </c>
      <c r="L370" s="33" t="str">
        <f t="shared" si="25"/>
        <v>2x SiOLED</v>
      </c>
      <c r="M370" s="21" t="s">
        <v>36</v>
      </c>
      <c r="N370" s="21"/>
      <c r="O370" s="27"/>
      <c r="P370" s="20"/>
      <c r="Q370" s="20"/>
      <c r="R370" s="29">
        <f t="shared" si="26"/>
        <v>0</v>
      </c>
      <c r="S370" s="20" t="s">
        <v>36</v>
      </c>
      <c r="T370" s="18" t="s">
        <v>143</v>
      </c>
      <c r="U370" s="20">
        <v>2</v>
      </c>
      <c r="V370" s="120">
        <v>3.8500000000000001E-3</v>
      </c>
      <c r="W370" s="69">
        <f t="shared" si="27"/>
        <v>0.29974855679999995</v>
      </c>
      <c r="X370" s="106">
        <v>77.856767999999988</v>
      </c>
      <c r="Y370" s="72" t="str">
        <f t="shared" si="28"/>
        <v>AR_2022_2x SiOLED_SiOLED glasses</v>
      </c>
      <c r="Z370" s="36" t="str">
        <f t="shared" si="29"/>
        <v>AR_2022_2x SiOLED</v>
      </c>
    </row>
    <row r="371" spans="3:26">
      <c r="C371" s="17">
        <v>363</v>
      </c>
      <c r="D371" s="109" t="s">
        <v>26</v>
      </c>
      <c r="E371" s="20" t="s">
        <v>11</v>
      </c>
      <c r="F371" s="20" t="s">
        <v>182</v>
      </c>
      <c r="G371" s="21" t="s">
        <v>114</v>
      </c>
      <c r="H371" s="21" t="s">
        <v>115</v>
      </c>
      <c r="I371" s="19" t="s">
        <v>26</v>
      </c>
      <c r="J371" s="19" t="s">
        <v>36</v>
      </c>
      <c r="K371" s="21" t="s">
        <v>51</v>
      </c>
      <c r="L371" s="33" t="str">
        <f t="shared" si="25"/>
        <v>2x SiOLED</v>
      </c>
      <c r="M371" s="21" t="s">
        <v>116</v>
      </c>
      <c r="N371" s="21" t="s">
        <v>143</v>
      </c>
      <c r="O371" s="27">
        <v>1.03</v>
      </c>
      <c r="P371" s="20">
        <v>2560</v>
      </c>
      <c r="Q371" s="20">
        <v>2560</v>
      </c>
      <c r="R371" s="29">
        <f t="shared" si="26"/>
        <v>3514.9385627913821</v>
      </c>
      <c r="S371" s="20" t="s">
        <v>36</v>
      </c>
      <c r="T371" s="18" t="s">
        <v>143</v>
      </c>
      <c r="U371" s="20">
        <v>2</v>
      </c>
      <c r="V371" s="120">
        <v>5.5000000000000003E-4</v>
      </c>
      <c r="W371" s="69">
        <f t="shared" si="27"/>
        <v>0.11026125000000001</v>
      </c>
      <c r="X371" s="106">
        <v>200.47499999999999</v>
      </c>
      <c r="Y371" s="72" t="str">
        <f t="shared" si="28"/>
        <v>VR_2022_2x SiOLED_5K VR</v>
      </c>
      <c r="Z371" s="36" t="str">
        <f t="shared" si="29"/>
        <v>VR_2022_2x SiOLED</v>
      </c>
    </row>
    <row r="372" spans="3:26">
      <c r="C372" s="17">
        <v>364</v>
      </c>
      <c r="D372" s="109" t="s">
        <v>26</v>
      </c>
      <c r="E372" s="20" t="s">
        <v>11</v>
      </c>
      <c r="F372" s="20" t="s">
        <v>182</v>
      </c>
      <c r="G372" s="21" t="s">
        <v>106</v>
      </c>
      <c r="H372" s="21" t="s">
        <v>107</v>
      </c>
      <c r="I372" s="19" t="s">
        <v>26</v>
      </c>
      <c r="J372" s="19" t="s">
        <v>31</v>
      </c>
      <c r="K372" s="21" t="s">
        <v>15</v>
      </c>
      <c r="L372" s="33" t="str">
        <f t="shared" si="25"/>
        <v>1x LCD</v>
      </c>
      <c r="M372" s="21" t="s">
        <v>36</v>
      </c>
      <c r="N372" s="21" t="s">
        <v>143</v>
      </c>
      <c r="O372" s="27"/>
      <c r="P372" s="20"/>
      <c r="Q372" s="20"/>
      <c r="R372" s="29">
        <f t="shared" si="26"/>
        <v>0</v>
      </c>
      <c r="S372" s="20" t="s">
        <v>36</v>
      </c>
      <c r="T372" s="18">
        <v>43770</v>
      </c>
      <c r="U372" s="20">
        <v>1</v>
      </c>
      <c r="V372" s="120">
        <v>0.11</v>
      </c>
      <c r="W372" s="69">
        <f t="shared" si="27"/>
        <v>6.2118671999999995</v>
      </c>
      <c r="X372" s="106">
        <v>56.471519999999991</v>
      </c>
      <c r="Y372" s="72" t="str">
        <f t="shared" si="28"/>
        <v>VR_2022_1x LCD_P1 family</v>
      </c>
      <c r="Z372" s="36" t="str">
        <f t="shared" si="29"/>
        <v>VR_2022_1x LCD</v>
      </c>
    </row>
    <row r="373" spans="3:26">
      <c r="C373" s="17">
        <v>365</v>
      </c>
      <c r="D373" s="109" t="s">
        <v>26</v>
      </c>
      <c r="E373" s="20" t="s">
        <v>11</v>
      </c>
      <c r="F373" s="20" t="s">
        <v>182</v>
      </c>
      <c r="G373" s="21" t="s">
        <v>41</v>
      </c>
      <c r="H373" s="21" t="s">
        <v>178</v>
      </c>
      <c r="I373" s="19" t="s">
        <v>26</v>
      </c>
      <c r="J373" s="19" t="s">
        <v>31</v>
      </c>
      <c r="K373" s="21" t="s">
        <v>15</v>
      </c>
      <c r="L373" s="33" t="str">
        <f t="shared" si="25"/>
        <v>2x LCD</v>
      </c>
      <c r="M373" s="21" t="s">
        <v>2</v>
      </c>
      <c r="N373" s="21" t="s">
        <v>143</v>
      </c>
      <c r="O373" s="27"/>
      <c r="P373" s="20"/>
      <c r="Q373" s="20"/>
      <c r="R373" s="29">
        <f t="shared" si="26"/>
        <v>0</v>
      </c>
      <c r="S373" s="20" t="s">
        <v>36</v>
      </c>
      <c r="T373" s="18">
        <v>43739</v>
      </c>
      <c r="U373" s="20">
        <v>2</v>
      </c>
      <c r="V373" s="120">
        <v>1.925E-2</v>
      </c>
      <c r="W373" s="69">
        <f t="shared" si="27"/>
        <v>0.72471784000000006</v>
      </c>
      <c r="X373" s="106">
        <v>37.647680000000001</v>
      </c>
      <c r="Y373" s="72" t="str">
        <f t="shared" si="28"/>
        <v>VR_2022_2x LCD_Vive LCD headsets</v>
      </c>
      <c r="Z373" s="36" t="str">
        <f t="shared" si="29"/>
        <v>VR_2022_2x LCD</v>
      </c>
    </row>
    <row r="374" spans="3:26">
      <c r="C374" s="17">
        <v>366</v>
      </c>
      <c r="D374" s="109" t="s">
        <v>26</v>
      </c>
      <c r="E374" s="20" t="s">
        <v>11</v>
      </c>
      <c r="F374" s="20" t="s">
        <v>182</v>
      </c>
      <c r="G374" s="21" t="s">
        <v>77</v>
      </c>
      <c r="H374" s="21" t="s">
        <v>163</v>
      </c>
      <c r="I374" s="19" t="s">
        <v>44</v>
      </c>
      <c r="J374" s="19" t="s">
        <v>31</v>
      </c>
      <c r="K374" s="21" t="s">
        <v>15</v>
      </c>
      <c r="L374" s="33" t="str">
        <f t="shared" si="25"/>
        <v>2x LCD</v>
      </c>
      <c r="M374" s="21" t="s">
        <v>36</v>
      </c>
      <c r="N374" s="21"/>
      <c r="O374" s="27"/>
      <c r="P374" s="20"/>
      <c r="Q374" s="20"/>
      <c r="R374" s="29">
        <f t="shared" si="26"/>
        <v>0</v>
      </c>
      <c r="S374" s="20" t="s">
        <v>36</v>
      </c>
      <c r="T374" s="18">
        <v>45078</v>
      </c>
      <c r="U374" s="20">
        <v>2</v>
      </c>
      <c r="V374" s="120">
        <v>5.4999999999999997E-3</v>
      </c>
      <c r="W374" s="69">
        <f t="shared" si="27"/>
        <v>0.20706223999999998</v>
      </c>
      <c r="X374" s="106">
        <v>37.647680000000001</v>
      </c>
      <c r="Y374" s="72" t="str">
        <f t="shared" si="28"/>
        <v>VR_2022_2x LCD_ThinkReality VRX</v>
      </c>
      <c r="Z374" s="36" t="str">
        <f t="shared" si="29"/>
        <v>VR_2022_2x LCD</v>
      </c>
    </row>
    <row r="375" spans="3:26">
      <c r="C375" s="17">
        <v>367</v>
      </c>
      <c r="D375" s="109" t="s">
        <v>26</v>
      </c>
      <c r="E375" s="20" t="s">
        <v>11</v>
      </c>
      <c r="F375" s="20" t="s">
        <v>182</v>
      </c>
      <c r="G375" s="21" t="s">
        <v>43</v>
      </c>
      <c r="H375" s="21" t="s">
        <v>7</v>
      </c>
      <c r="I375" s="19" t="s">
        <v>44</v>
      </c>
      <c r="J375" s="19" t="s">
        <v>31</v>
      </c>
      <c r="K375" s="21" t="s">
        <v>15</v>
      </c>
      <c r="L375" s="33" t="str">
        <f t="shared" si="25"/>
        <v>2x LCD</v>
      </c>
      <c r="M375" s="21" t="s">
        <v>2</v>
      </c>
      <c r="N375" s="21" t="s">
        <v>143</v>
      </c>
      <c r="O375" s="27">
        <v>2.1</v>
      </c>
      <c r="P375" s="20">
        <v>1600</v>
      </c>
      <c r="Q375" s="20">
        <v>1600</v>
      </c>
      <c r="R375" s="29">
        <f t="shared" si="26"/>
        <v>1077.4960475223581</v>
      </c>
      <c r="S375" s="20">
        <v>90</v>
      </c>
      <c r="T375" s="18" t="s">
        <v>143</v>
      </c>
      <c r="U375" s="20">
        <v>2</v>
      </c>
      <c r="V375" s="120">
        <v>8.2500000000000004E-3</v>
      </c>
      <c r="W375" s="69">
        <f t="shared" si="27"/>
        <v>0.31059336000000004</v>
      </c>
      <c r="X375" s="106">
        <v>37.647680000000001</v>
      </c>
      <c r="Y375" s="72" t="str">
        <f t="shared" si="28"/>
        <v>VR_2022_2x LCD_R1</v>
      </c>
      <c r="Z375" s="36" t="str">
        <f t="shared" si="29"/>
        <v>VR_2022_2x LCD</v>
      </c>
    </row>
    <row r="376" spans="3:26">
      <c r="C376" s="17">
        <v>368</v>
      </c>
      <c r="D376" s="109" t="s">
        <v>26</v>
      </c>
      <c r="E376" s="20" t="s">
        <v>11</v>
      </c>
      <c r="F376" s="20" t="s">
        <v>182</v>
      </c>
      <c r="G376" s="21" t="s">
        <v>112</v>
      </c>
      <c r="H376" s="21" t="s">
        <v>32</v>
      </c>
      <c r="I376" s="19" t="s">
        <v>26</v>
      </c>
      <c r="J376" s="19" t="s">
        <v>31</v>
      </c>
      <c r="K376" s="21" t="s">
        <v>15</v>
      </c>
      <c r="L376" s="33" t="str">
        <f t="shared" si="25"/>
        <v>1x LCD</v>
      </c>
      <c r="M376" s="21" t="s">
        <v>2</v>
      </c>
      <c r="N376" s="21" t="s">
        <v>166</v>
      </c>
      <c r="O376" s="27">
        <v>5.5</v>
      </c>
      <c r="P376" s="20">
        <v>3840</v>
      </c>
      <c r="Q376" s="20">
        <v>1832</v>
      </c>
      <c r="R376" s="29">
        <f t="shared" si="26"/>
        <v>773.56797048396322</v>
      </c>
      <c r="S376" s="20">
        <v>90</v>
      </c>
      <c r="T376" s="18">
        <v>44105</v>
      </c>
      <c r="U376" s="20">
        <v>1</v>
      </c>
      <c r="V376" s="120">
        <v>1.375</v>
      </c>
      <c r="W376" s="69">
        <f t="shared" si="27"/>
        <v>77.64833999999999</v>
      </c>
      <c r="X376" s="106">
        <v>56.471519999999991</v>
      </c>
      <c r="Y376" s="72" t="str">
        <f t="shared" si="28"/>
        <v>VR_2022_1x LCD_Quest 2</v>
      </c>
      <c r="Z376" s="36" t="str">
        <f t="shared" si="29"/>
        <v>VR_2022_1x LCD</v>
      </c>
    </row>
    <row r="377" spans="3:26">
      <c r="C377" s="17">
        <v>369</v>
      </c>
      <c r="D377" s="109" t="s">
        <v>26</v>
      </c>
      <c r="E377" s="20" t="s">
        <v>11</v>
      </c>
      <c r="F377" s="20" t="s">
        <v>182</v>
      </c>
      <c r="G377" s="21" t="s">
        <v>112</v>
      </c>
      <c r="H377" s="21" t="s">
        <v>113</v>
      </c>
      <c r="I377" s="19" t="s">
        <v>44</v>
      </c>
      <c r="J377" s="19" t="s">
        <v>31</v>
      </c>
      <c r="K377" s="21" t="s">
        <v>15</v>
      </c>
      <c r="L377" s="33" t="str">
        <f t="shared" si="25"/>
        <v>2x LCD</v>
      </c>
      <c r="M377" s="21" t="s">
        <v>145</v>
      </c>
      <c r="N377" s="21" t="s">
        <v>2</v>
      </c>
      <c r="O377" s="27">
        <v>2.5</v>
      </c>
      <c r="P377" s="20">
        <v>1920</v>
      </c>
      <c r="Q377" s="20">
        <v>1800</v>
      </c>
      <c r="R377" s="29">
        <f t="shared" si="26"/>
        <v>1052.7221855741429</v>
      </c>
      <c r="S377" s="20">
        <v>90</v>
      </c>
      <c r="T377" s="18">
        <v>44835</v>
      </c>
      <c r="U377" s="20">
        <v>2</v>
      </c>
      <c r="V377" s="120">
        <v>3.6299999999999999E-2</v>
      </c>
      <c r="W377" s="69">
        <f t="shared" si="27"/>
        <v>1.3666107839999999</v>
      </c>
      <c r="X377" s="106">
        <v>37.647680000000001</v>
      </c>
      <c r="Y377" s="72" t="str">
        <f t="shared" si="28"/>
        <v>VR_2022_2x LCD_Quest Pro</v>
      </c>
      <c r="Z377" s="36" t="str">
        <f t="shared" si="29"/>
        <v>VR_2022_2x LCD</v>
      </c>
    </row>
    <row r="378" spans="3:26">
      <c r="C378" s="17">
        <v>370</v>
      </c>
      <c r="D378" s="109" t="s">
        <v>26</v>
      </c>
      <c r="E378" s="20" t="s">
        <v>11</v>
      </c>
      <c r="F378" s="20" t="s">
        <v>182</v>
      </c>
      <c r="G378" s="21" t="s">
        <v>110</v>
      </c>
      <c r="H378" s="21" t="s">
        <v>162</v>
      </c>
      <c r="I378" s="19" t="s">
        <v>26</v>
      </c>
      <c r="J378" s="19" t="s">
        <v>31</v>
      </c>
      <c r="K378" s="21" t="s">
        <v>15</v>
      </c>
      <c r="L378" s="33" t="str">
        <f t="shared" si="25"/>
        <v>1x LCD</v>
      </c>
      <c r="M378" s="21" t="s">
        <v>2</v>
      </c>
      <c r="N378" s="21" t="s">
        <v>146</v>
      </c>
      <c r="O378" s="27">
        <v>5.5</v>
      </c>
      <c r="P378" s="20">
        <v>3840</v>
      </c>
      <c r="Q378" s="20">
        <v>1832</v>
      </c>
      <c r="R378" s="29">
        <f t="shared" si="26"/>
        <v>773.56797048396322</v>
      </c>
      <c r="S378" s="20">
        <v>90</v>
      </c>
      <c r="T378" s="18">
        <v>44317</v>
      </c>
      <c r="U378" s="20">
        <v>1</v>
      </c>
      <c r="V378" s="120">
        <v>0.12375</v>
      </c>
      <c r="W378" s="69">
        <f t="shared" si="27"/>
        <v>6.9883505999999986</v>
      </c>
      <c r="X378" s="106">
        <v>56.471519999999991</v>
      </c>
      <c r="Y378" s="72" t="str">
        <f t="shared" si="28"/>
        <v>VR_2022_1x LCD_Neo 3 / G3</v>
      </c>
      <c r="Z378" s="36" t="str">
        <f t="shared" si="29"/>
        <v>VR_2022_1x LCD</v>
      </c>
    </row>
    <row r="379" spans="3:26">
      <c r="C379" s="17">
        <v>371</v>
      </c>
      <c r="D379" s="109" t="s">
        <v>26</v>
      </c>
      <c r="E379" s="20" t="s">
        <v>11</v>
      </c>
      <c r="F379" s="20" t="s">
        <v>182</v>
      </c>
      <c r="G379" s="21" t="s">
        <v>110</v>
      </c>
      <c r="H379" s="21" t="s">
        <v>134</v>
      </c>
      <c r="I379" s="19" t="s">
        <v>26</v>
      </c>
      <c r="J379" s="19" t="s">
        <v>31</v>
      </c>
      <c r="K379" s="21" t="s">
        <v>15</v>
      </c>
      <c r="L379" s="33" t="str">
        <f t="shared" si="25"/>
        <v>2x LCD</v>
      </c>
      <c r="M379" s="21" t="s">
        <v>146</v>
      </c>
      <c r="N379" s="21"/>
      <c r="O379" s="27">
        <v>2.56</v>
      </c>
      <c r="P379" s="20">
        <v>2160</v>
      </c>
      <c r="Q379" s="20">
        <v>2160</v>
      </c>
      <c r="R379" s="29">
        <f t="shared" si="26"/>
        <v>1193.242693252299</v>
      </c>
      <c r="S379" s="20">
        <v>90</v>
      </c>
      <c r="T379" s="18">
        <v>44805</v>
      </c>
      <c r="U379" s="20">
        <v>2</v>
      </c>
      <c r="V379" s="120">
        <v>8.9099999999999999E-2</v>
      </c>
      <c r="W379" s="69">
        <f t="shared" si="27"/>
        <v>3.3544082880000001</v>
      </c>
      <c r="X379" s="106">
        <v>37.647680000000001</v>
      </c>
      <c r="Y379" s="72" t="str">
        <f t="shared" si="28"/>
        <v>VR_2022_2x LCD_Pico 4</v>
      </c>
      <c r="Z379" s="36" t="str">
        <f t="shared" si="29"/>
        <v>VR_2022_2x LCD</v>
      </c>
    </row>
    <row r="380" spans="3:26">
      <c r="C380" s="17">
        <v>372</v>
      </c>
      <c r="D380" s="109" t="s">
        <v>26</v>
      </c>
      <c r="E380" s="20" t="s">
        <v>11</v>
      </c>
      <c r="F380" s="20" t="s">
        <v>182</v>
      </c>
      <c r="G380" s="21" t="s">
        <v>108</v>
      </c>
      <c r="H380" s="21" t="s">
        <v>109</v>
      </c>
      <c r="I380" s="19" t="s">
        <v>26</v>
      </c>
      <c r="J380" s="19" t="s">
        <v>27</v>
      </c>
      <c r="K380" s="21" t="s">
        <v>15</v>
      </c>
      <c r="L380" s="33" t="str">
        <f t="shared" si="25"/>
        <v>2x LCD</v>
      </c>
      <c r="M380" s="21" t="s">
        <v>145</v>
      </c>
      <c r="N380" s="21" t="s">
        <v>146</v>
      </c>
      <c r="O380" s="27"/>
      <c r="P380" s="20"/>
      <c r="Q380" s="20"/>
      <c r="R380" s="29">
        <f t="shared" si="26"/>
        <v>0</v>
      </c>
      <c r="S380" s="20" t="s">
        <v>36</v>
      </c>
      <c r="T380" s="18" t="s">
        <v>143</v>
      </c>
      <c r="U380" s="20">
        <v>2</v>
      </c>
      <c r="V380" s="120">
        <v>5.4999999999999997E-3</v>
      </c>
      <c r="W380" s="69">
        <f t="shared" si="27"/>
        <v>0.20706223999999998</v>
      </c>
      <c r="X380" s="106">
        <v>37.647680000000001</v>
      </c>
      <c r="Y380" s="72" t="str">
        <f t="shared" si="28"/>
        <v>VR_2022_2x LCD_Pimax VR</v>
      </c>
      <c r="Z380" s="36" t="str">
        <f t="shared" si="29"/>
        <v>VR_2022_2x LCD</v>
      </c>
    </row>
    <row r="381" spans="3:26">
      <c r="C381" s="17">
        <v>373</v>
      </c>
      <c r="D381" s="109" t="s">
        <v>26</v>
      </c>
      <c r="E381" s="20" t="s">
        <v>11</v>
      </c>
      <c r="F381" s="20" t="s">
        <v>182</v>
      </c>
      <c r="G381" s="21" t="s">
        <v>139</v>
      </c>
      <c r="H381" s="21" t="s">
        <v>140</v>
      </c>
      <c r="I381" s="19" t="s">
        <v>26</v>
      </c>
      <c r="J381" s="19" t="s">
        <v>27</v>
      </c>
      <c r="K381" s="21" t="s">
        <v>51</v>
      </c>
      <c r="L381" s="33" t="str">
        <f t="shared" si="25"/>
        <v>2x SiOLED</v>
      </c>
      <c r="M381" s="21" t="s">
        <v>171</v>
      </c>
      <c r="N381" s="21"/>
      <c r="O381" s="27">
        <v>1.3</v>
      </c>
      <c r="P381" s="20">
        <v>2560</v>
      </c>
      <c r="Q381" s="20">
        <v>2560</v>
      </c>
      <c r="R381" s="29">
        <f t="shared" si="26"/>
        <v>2784.9128612885565</v>
      </c>
      <c r="S381" s="20">
        <v>120</v>
      </c>
      <c r="T381" s="18"/>
      <c r="U381" s="20">
        <v>2</v>
      </c>
      <c r="V381" s="120">
        <v>5.5000000000000003E-4</v>
      </c>
      <c r="W381" s="69">
        <f t="shared" si="27"/>
        <v>0.11026125000000001</v>
      </c>
      <c r="X381" s="106">
        <v>200.47499999999999</v>
      </c>
      <c r="Y381" s="72" t="str">
        <f t="shared" si="28"/>
        <v>VR_2022_2x SiOLED_MeganeX</v>
      </c>
      <c r="Z381" s="36" t="str">
        <f t="shared" si="29"/>
        <v>VR_2022_2x SiOLED</v>
      </c>
    </row>
    <row r="382" spans="3:26">
      <c r="C382" s="17">
        <v>374</v>
      </c>
      <c r="D382" s="109" t="s">
        <v>26</v>
      </c>
      <c r="E382" s="20" t="s">
        <v>11</v>
      </c>
      <c r="F382" s="20" t="s">
        <v>182</v>
      </c>
      <c r="G382" s="21" t="s">
        <v>6</v>
      </c>
      <c r="H382" s="21" t="s">
        <v>126</v>
      </c>
      <c r="I382" s="19" t="s">
        <v>26</v>
      </c>
      <c r="J382" s="19" t="s">
        <v>27</v>
      </c>
      <c r="K382" s="21" t="s">
        <v>28</v>
      </c>
      <c r="L382" s="33" t="str">
        <f t="shared" si="25"/>
        <v>2x AMOLED</v>
      </c>
      <c r="M382" s="21" t="s">
        <v>3</v>
      </c>
      <c r="N382" s="21"/>
      <c r="O382" s="27">
        <v>3.36</v>
      </c>
      <c r="P382" s="20">
        <v>2040</v>
      </c>
      <c r="Q382" s="20">
        <v>2000</v>
      </c>
      <c r="R382" s="29">
        <f t="shared" si="26"/>
        <v>850.25339693662363</v>
      </c>
      <c r="S382" s="20">
        <v>120</v>
      </c>
      <c r="T382" s="18">
        <v>44958</v>
      </c>
      <c r="U382" s="20">
        <v>2</v>
      </c>
      <c r="V382" s="120">
        <v>1.2</v>
      </c>
      <c r="W382" s="69">
        <f t="shared" si="27"/>
        <v>57.623999999999995</v>
      </c>
      <c r="X382" s="106">
        <v>48.019999999999996</v>
      </c>
      <c r="Y382" s="72" t="str">
        <f t="shared" si="28"/>
        <v>VR_2022_2x AMOLED_PlayStation VR2</v>
      </c>
      <c r="Z382" s="36" t="str">
        <f t="shared" si="29"/>
        <v>VR_2022_2x AMOLED</v>
      </c>
    </row>
    <row r="383" spans="3:26">
      <c r="C383" s="17">
        <v>375</v>
      </c>
      <c r="D383" s="109" t="s">
        <v>26</v>
      </c>
      <c r="E383" s="20" t="s">
        <v>11</v>
      </c>
      <c r="F383" s="20" t="s">
        <v>182</v>
      </c>
      <c r="G383" s="21" t="s">
        <v>97</v>
      </c>
      <c r="H383" s="21" t="s">
        <v>111</v>
      </c>
      <c r="I383" s="19" t="s">
        <v>26</v>
      </c>
      <c r="J383" s="19" t="s">
        <v>36</v>
      </c>
      <c r="K383" s="21" t="s">
        <v>15</v>
      </c>
      <c r="L383" s="33" t="str">
        <f t="shared" si="25"/>
        <v>2x LCD</v>
      </c>
      <c r="M383" s="21" t="s">
        <v>36</v>
      </c>
      <c r="N383" s="21" t="s">
        <v>143</v>
      </c>
      <c r="O383" s="27"/>
      <c r="P383" s="20"/>
      <c r="Q383" s="20"/>
      <c r="R383" s="29">
        <f t="shared" si="26"/>
        <v>0</v>
      </c>
      <c r="S383" s="20" t="s">
        <v>36</v>
      </c>
      <c r="T383" s="18" t="s">
        <v>143</v>
      </c>
      <c r="U383" s="20">
        <v>2</v>
      </c>
      <c r="V383" s="120">
        <v>1.375E-2</v>
      </c>
      <c r="W383" s="69">
        <f t="shared" si="27"/>
        <v>0.51765559999999999</v>
      </c>
      <c r="X383" s="106">
        <v>37.647680000000001</v>
      </c>
      <c r="Y383" s="72" t="str">
        <f t="shared" si="28"/>
        <v>VR_2022_2x LCD_Dual LCD VR headset</v>
      </c>
      <c r="Z383" s="36" t="str">
        <f t="shared" si="29"/>
        <v>VR_2022_2x LCD</v>
      </c>
    </row>
    <row r="384" spans="3:26">
      <c r="C384" s="17">
        <v>376</v>
      </c>
      <c r="D384" s="109" t="s">
        <v>26</v>
      </c>
      <c r="E384" s="20" t="s">
        <v>11</v>
      </c>
      <c r="F384" s="20" t="s">
        <v>182</v>
      </c>
      <c r="G384" s="21" t="s">
        <v>97</v>
      </c>
      <c r="H384" s="21" t="s">
        <v>161</v>
      </c>
      <c r="I384" s="19" t="s">
        <v>26</v>
      </c>
      <c r="J384" s="19" t="s">
        <v>36</v>
      </c>
      <c r="K384" s="21" t="s">
        <v>15</v>
      </c>
      <c r="L384" s="33" t="str">
        <f t="shared" si="25"/>
        <v>1x LCD</v>
      </c>
      <c r="M384" s="21" t="s">
        <v>36</v>
      </c>
      <c r="N384" s="21" t="s">
        <v>143</v>
      </c>
      <c r="O384" s="27"/>
      <c r="P384" s="20"/>
      <c r="Q384" s="20"/>
      <c r="R384" s="29">
        <f t="shared" si="26"/>
        <v>0</v>
      </c>
      <c r="S384" s="20" t="s">
        <v>36</v>
      </c>
      <c r="T384" s="18" t="s">
        <v>143</v>
      </c>
      <c r="U384" s="20">
        <v>1</v>
      </c>
      <c r="V384" s="120">
        <v>5.7750000000000003E-2</v>
      </c>
      <c r="W384" s="69">
        <f t="shared" si="27"/>
        <v>3.2612302799999995</v>
      </c>
      <c r="X384" s="106">
        <v>56.471519999999991</v>
      </c>
      <c r="Y384" s="72" t="str">
        <f t="shared" si="28"/>
        <v>VR_2022_1x LCD_Single LCD VR headset</v>
      </c>
      <c r="Z384" s="36" t="str">
        <f t="shared" si="29"/>
        <v>VR_2022_1x LCD</v>
      </c>
    </row>
    <row r="385" spans="3:26">
      <c r="C385" s="17">
        <v>377</v>
      </c>
      <c r="D385" s="109" t="s">
        <v>129</v>
      </c>
      <c r="E385" s="20" t="s">
        <v>11</v>
      </c>
      <c r="F385" s="20" t="s">
        <v>182</v>
      </c>
      <c r="G385" s="21" t="s">
        <v>73</v>
      </c>
      <c r="H385" s="21" t="s">
        <v>74</v>
      </c>
      <c r="I385" s="19" t="s">
        <v>63</v>
      </c>
      <c r="J385" s="19" t="s">
        <v>31</v>
      </c>
      <c r="K385" s="21" t="s">
        <v>51</v>
      </c>
      <c r="L385" s="33" t="str">
        <f t="shared" si="25"/>
        <v>2x SiOLED</v>
      </c>
      <c r="M385" s="21" t="s">
        <v>73</v>
      </c>
      <c r="N385" s="21"/>
      <c r="O385" s="27">
        <v>0.43</v>
      </c>
      <c r="P385" s="20">
        <v>1280</v>
      </c>
      <c r="Q385" s="20">
        <v>720</v>
      </c>
      <c r="R385" s="29">
        <f t="shared" si="26"/>
        <v>3415.3599536159668</v>
      </c>
      <c r="S385" s="20" t="s">
        <v>36</v>
      </c>
      <c r="T385" s="18">
        <v>42401</v>
      </c>
      <c r="U385" s="20">
        <v>2</v>
      </c>
      <c r="V385" s="120">
        <v>2.1999999999999999E-2</v>
      </c>
      <c r="W385" s="69">
        <f t="shared" si="27"/>
        <v>1.7128488959999997</v>
      </c>
      <c r="X385" s="106">
        <v>77.856767999999988</v>
      </c>
      <c r="Y385" s="72" t="str">
        <f t="shared" si="28"/>
        <v>AR_2022_2x SiOLED_Moverio</v>
      </c>
      <c r="Z385" s="36" t="str">
        <f t="shared" si="29"/>
        <v>AR_2022_2x SiOLED</v>
      </c>
    </row>
    <row r="386" spans="3:26">
      <c r="C386" s="17">
        <v>378</v>
      </c>
      <c r="D386" s="109" t="s">
        <v>129</v>
      </c>
      <c r="E386" s="20" t="s">
        <v>11</v>
      </c>
      <c r="F386" s="20" t="s">
        <v>182</v>
      </c>
      <c r="G386" s="21" t="s">
        <v>71</v>
      </c>
      <c r="H386" s="21" t="s">
        <v>130</v>
      </c>
      <c r="I386" s="19" t="s">
        <v>63</v>
      </c>
      <c r="J386" s="19" t="s">
        <v>31</v>
      </c>
      <c r="K386" s="21" t="s">
        <v>168</v>
      </c>
      <c r="L386" s="33" t="str">
        <f t="shared" si="25"/>
        <v>1x Micro LCD</v>
      </c>
      <c r="M386" s="21" t="s">
        <v>72</v>
      </c>
      <c r="N386" s="21"/>
      <c r="O386" s="27"/>
      <c r="P386" s="20">
        <v>640</v>
      </c>
      <c r="Q386" s="20">
        <v>360</v>
      </c>
      <c r="R386" s="29">
        <f t="shared" si="26"/>
        <v>0</v>
      </c>
      <c r="S386" s="20" t="s">
        <v>36</v>
      </c>
      <c r="T386" s="18">
        <v>43586</v>
      </c>
      <c r="U386" s="20">
        <v>1</v>
      </c>
      <c r="V386" s="120">
        <v>3.163E-3</v>
      </c>
      <c r="W386" s="69">
        <f t="shared" si="27"/>
        <v>0.12890034095399999</v>
      </c>
      <c r="X386" s="106">
        <v>40.752558000000001</v>
      </c>
      <c r="Y386" s="72" t="str">
        <f t="shared" si="28"/>
        <v>AR_2022_1x Micro LCD_Glass</v>
      </c>
      <c r="Z386" s="36" t="str">
        <f t="shared" si="29"/>
        <v>AR_2022_1x Micro LCD</v>
      </c>
    </row>
    <row r="387" spans="3:26">
      <c r="C387" s="17">
        <v>379</v>
      </c>
      <c r="D387" s="109" t="s">
        <v>129</v>
      </c>
      <c r="E387" s="20" t="s">
        <v>11</v>
      </c>
      <c r="F387" s="20" t="s">
        <v>182</v>
      </c>
      <c r="G387" s="21" t="s">
        <v>77</v>
      </c>
      <c r="H387" s="21" t="s">
        <v>131</v>
      </c>
      <c r="I387" s="19" t="s">
        <v>63</v>
      </c>
      <c r="J387" s="19" t="s">
        <v>27</v>
      </c>
      <c r="K387" s="21" t="s">
        <v>51</v>
      </c>
      <c r="L387" s="33" t="str">
        <f t="shared" si="25"/>
        <v>2x SiOLED</v>
      </c>
      <c r="M387" s="21" t="s">
        <v>116</v>
      </c>
      <c r="N387" s="21"/>
      <c r="O387" s="27">
        <v>0.49</v>
      </c>
      <c r="P387" s="20">
        <v>1920</v>
      </c>
      <c r="Q387" s="20">
        <v>1080</v>
      </c>
      <c r="R387" s="29">
        <f t="shared" si="26"/>
        <v>4495.7289185353029</v>
      </c>
      <c r="S387" s="20">
        <v>60</v>
      </c>
      <c r="T387" s="18">
        <v>44866</v>
      </c>
      <c r="U387" s="20">
        <v>2</v>
      </c>
      <c r="V387" s="120">
        <v>1.375E-2</v>
      </c>
      <c r="W387" s="69">
        <f t="shared" si="27"/>
        <v>0.71499999999999997</v>
      </c>
      <c r="X387" s="106">
        <v>52</v>
      </c>
      <c r="Y387" s="72" t="str">
        <f t="shared" si="28"/>
        <v>AR_2022_2x SiOLED_T1</v>
      </c>
      <c r="Z387" s="36" t="str">
        <f t="shared" si="29"/>
        <v>AR_2022_2x SiOLED</v>
      </c>
    </row>
    <row r="388" spans="3:26">
      <c r="C388" s="17">
        <v>380</v>
      </c>
      <c r="D388" s="109" t="s">
        <v>129</v>
      </c>
      <c r="E388" s="20" t="s">
        <v>11</v>
      </c>
      <c r="F388" s="20" t="s">
        <v>182</v>
      </c>
      <c r="G388" s="21" t="s">
        <v>77</v>
      </c>
      <c r="H388" s="21" t="s">
        <v>78</v>
      </c>
      <c r="I388" s="19" t="s">
        <v>63</v>
      </c>
      <c r="J388" s="19" t="s">
        <v>27</v>
      </c>
      <c r="K388" s="21" t="s">
        <v>51</v>
      </c>
      <c r="L388" s="33" t="str">
        <f t="shared" si="25"/>
        <v>2x SiOLED</v>
      </c>
      <c r="M388" s="21" t="s">
        <v>6</v>
      </c>
      <c r="N388" s="21"/>
      <c r="O388" s="27">
        <v>0.71</v>
      </c>
      <c r="P388" s="20">
        <v>1920</v>
      </c>
      <c r="Q388" s="20">
        <v>1080</v>
      </c>
      <c r="R388" s="29">
        <f t="shared" si="26"/>
        <v>3102.6861550454905</v>
      </c>
      <c r="S388" s="20" t="s">
        <v>36</v>
      </c>
      <c r="T388" s="18">
        <v>44348</v>
      </c>
      <c r="U388" s="20">
        <v>2</v>
      </c>
      <c r="V388" s="120">
        <v>1.9250000000000001E-3</v>
      </c>
      <c r="W388" s="69">
        <f t="shared" si="27"/>
        <v>0.14987427839999998</v>
      </c>
      <c r="X388" s="106">
        <v>77.856767999999988</v>
      </c>
      <c r="Y388" s="72" t="str">
        <f t="shared" si="28"/>
        <v>AR_2022_2x SiOLED_ThinkReality A3</v>
      </c>
      <c r="Z388" s="36" t="str">
        <f t="shared" si="29"/>
        <v>AR_2022_2x SiOLED</v>
      </c>
    </row>
    <row r="389" spans="3:26">
      <c r="C389" s="17">
        <v>381</v>
      </c>
      <c r="D389" s="109" t="s">
        <v>129</v>
      </c>
      <c r="E389" s="20" t="s">
        <v>11</v>
      </c>
      <c r="F389" s="20" t="s">
        <v>182</v>
      </c>
      <c r="G389" s="21" t="s">
        <v>65</v>
      </c>
      <c r="H389" s="21" t="s">
        <v>117</v>
      </c>
      <c r="I389" s="19" t="s">
        <v>63</v>
      </c>
      <c r="J389" s="19" t="s">
        <v>31</v>
      </c>
      <c r="K389" s="21" t="s">
        <v>67</v>
      </c>
      <c r="L389" s="33" t="str">
        <f t="shared" si="25"/>
        <v>2x LCoS</v>
      </c>
      <c r="M389" s="21" t="s">
        <v>36</v>
      </c>
      <c r="N389" s="21"/>
      <c r="O389" s="27"/>
      <c r="P389" s="20">
        <v>1440</v>
      </c>
      <c r="Q389" s="20">
        <v>1760</v>
      </c>
      <c r="R389" s="29">
        <f t="shared" si="26"/>
        <v>0</v>
      </c>
      <c r="S389" s="20" t="s">
        <v>36</v>
      </c>
      <c r="T389" s="18">
        <v>44805</v>
      </c>
      <c r="U389" s="20">
        <v>2</v>
      </c>
      <c r="V389" s="120">
        <v>5.4999999999999997E-3</v>
      </c>
      <c r="W389" s="69">
        <f t="shared" si="27"/>
        <v>0.245485647</v>
      </c>
      <c r="X389" s="106">
        <v>44.633754000000003</v>
      </c>
      <c r="Y389" s="72" t="str">
        <f t="shared" si="28"/>
        <v>AR_2022_2x LCoS_ML 2</v>
      </c>
      <c r="Z389" s="36" t="str">
        <f t="shared" si="29"/>
        <v>AR_2022_2x LCoS</v>
      </c>
    </row>
    <row r="390" spans="3:26">
      <c r="C390" s="17">
        <v>382</v>
      </c>
      <c r="D390" s="109" t="s">
        <v>129</v>
      </c>
      <c r="E390" s="20" t="s">
        <v>11</v>
      </c>
      <c r="F390" s="20" t="s">
        <v>182</v>
      </c>
      <c r="G390" s="21" t="s">
        <v>61</v>
      </c>
      <c r="H390" s="21" t="s">
        <v>62</v>
      </c>
      <c r="I390" s="19" t="s">
        <v>63</v>
      </c>
      <c r="J390" s="19" t="s">
        <v>31</v>
      </c>
      <c r="K390" s="21" t="s">
        <v>64</v>
      </c>
      <c r="L390" s="33" t="str">
        <f t="shared" si="25"/>
        <v>2x LBS</v>
      </c>
      <c r="M390" s="21" t="s">
        <v>36</v>
      </c>
      <c r="N390" s="21"/>
      <c r="O390" s="27"/>
      <c r="P390" s="20"/>
      <c r="Q390" s="20"/>
      <c r="R390" s="29">
        <f t="shared" si="26"/>
        <v>0</v>
      </c>
      <c r="S390" s="20" t="s">
        <v>36</v>
      </c>
      <c r="T390" s="18">
        <v>43770</v>
      </c>
      <c r="U390" s="20">
        <v>2</v>
      </c>
      <c r="V390" s="120">
        <v>6.875E-3</v>
      </c>
      <c r="W390" s="69">
        <f t="shared" si="27"/>
        <v>0.70275820999999994</v>
      </c>
      <c r="X390" s="106">
        <v>102.219376</v>
      </c>
      <c r="Y390" s="72" t="str">
        <f t="shared" si="28"/>
        <v>AR_2022_2x LBS_HoloLens 2</v>
      </c>
      <c r="Z390" s="36" t="str">
        <f t="shared" si="29"/>
        <v>AR_2022_2x LBS</v>
      </c>
    </row>
    <row r="391" spans="3:26">
      <c r="C391" s="17">
        <v>383</v>
      </c>
      <c r="D391" s="109" t="s">
        <v>129</v>
      </c>
      <c r="E391" s="20" t="s">
        <v>11</v>
      </c>
      <c r="F391" s="20" t="s">
        <v>182</v>
      </c>
      <c r="G391" s="21" t="s">
        <v>186</v>
      </c>
      <c r="H391" s="21" t="s">
        <v>187</v>
      </c>
      <c r="I391" s="19" t="s">
        <v>63</v>
      </c>
      <c r="J391" s="19" t="s">
        <v>27</v>
      </c>
      <c r="K391" s="21" t="s">
        <v>51</v>
      </c>
      <c r="L391" s="33" t="str">
        <f t="shared" si="25"/>
        <v>2x SiOLED</v>
      </c>
      <c r="M391" s="21" t="s">
        <v>145</v>
      </c>
      <c r="N391" s="21"/>
      <c r="O391" s="27">
        <v>0.71</v>
      </c>
      <c r="P391" s="20">
        <v>1920</v>
      </c>
      <c r="Q391" s="20">
        <v>1080</v>
      </c>
      <c r="R391" s="29">
        <f t="shared" si="26"/>
        <v>3102.6861550454905</v>
      </c>
      <c r="S391" s="20">
        <v>90</v>
      </c>
      <c r="T391" s="18">
        <v>44044</v>
      </c>
      <c r="U391" s="20">
        <v>2</v>
      </c>
      <c r="V391" s="120">
        <v>8.2500000000000004E-2</v>
      </c>
      <c r="W391" s="69">
        <f t="shared" si="27"/>
        <v>6.4231833599999995</v>
      </c>
      <c r="X391" s="106">
        <v>77.856767999999988</v>
      </c>
      <c r="Y391" s="72" t="str">
        <f t="shared" si="28"/>
        <v>AR_2022_2x SiOLED_Light</v>
      </c>
      <c r="Z391" s="36" t="str">
        <f t="shared" si="29"/>
        <v>AR_2022_2x SiOLED</v>
      </c>
    </row>
    <row r="392" spans="3:26">
      <c r="C392" s="17">
        <v>384</v>
      </c>
      <c r="D392" s="109" t="s">
        <v>129</v>
      </c>
      <c r="E392" s="20" t="s">
        <v>11</v>
      </c>
      <c r="F392" s="20" t="s">
        <v>182</v>
      </c>
      <c r="G392" s="21" t="s">
        <v>118</v>
      </c>
      <c r="H392" s="21" t="s">
        <v>119</v>
      </c>
      <c r="I392" s="19" t="s">
        <v>63</v>
      </c>
      <c r="J392" s="19" t="s">
        <v>27</v>
      </c>
      <c r="K392" s="21" t="s">
        <v>120</v>
      </c>
      <c r="L392" s="33" t="str">
        <f t="shared" si="25"/>
        <v>1x MicroLED</v>
      </c>
      <c r="M392" s="21" t="s">
        <v>144</v>
      </c>
      <c r="N392" s="21"/>
      <c r="O392" s="27">
        <v>0.13</v>
      </c>
      <c r="P392" s="20">
        <v>640</v>
      </c>
      <c r="Q392" s="20">
        <v>480</v>
      </c>
      <c r="R392" s="29">
        <f t="shared" si="26"/>
        <v>6153.8461538461534</v>
      </c>
      <c r="S392" s="20" t="s">
        <v>36</v>
      </c>
      <c r="T392" s="18">
        <v>44562</v>
      </c>
      <c r="U392" s="20">
        <v>1</v>
      </c>
      <c r="V392" s="120">
        <v>6.8799999999999992E-4</v>
      </c>
      <c r="W392" s="69">
        <f t="shared" si="27"/>
        <v>5.4286970239999982E-2</v>
      </c>
      <c r="X392" s="106">
        <v>78.905479999999983</v>
      </c>
      <c r="Y392" s="72" t="str">
        <f t="shared" si="28"/>
        <v>AR_2022_1x MicroLED_Air Glass</v>
      </c>
      <c r="Z392" s="36" t="str">
        <f t="shared" si="29"/>
        <v>AR_2022_1x MicroLED</v>
      </c>
    </row>
    <row r="393" spans="3:26">
      <c r="C393" s="17">
        <v>385</v>
      </c>
      <c r="D393" s="109" t="s">
        <v>129</v>
      </c>
      <c r="E393" s="20" t="s">
        <v>11</v>
      </c>
      <c r="F393" s="20" t="s">
        <v>182</v>
      </c>
      <c r="G393" s="21" t="s">
        <v>132</v>
      </c>
      <c r="H393" s="21" t="s">
        <v>133</v>
      </c>
      <c r="I393" s="19" t="s">
        <v>63</v>
      </c>
      <c r="J393" s="19" t="s">
        <v>27</v>
      </c>
      <c r="K393" s="21" t="s">
        <v>51</v>
      </c>
      <c r="L393" s="33" t="str">
        <f t="shared" ref="L393:L456" si="30">IF(U393=0, "", U393&amp;"x "&amp;K393)</f>
        <v>2x SiOLED</v>
      </c>
      <c r="M393" s="21" t="s">
        <v>116</v>
      </c>
      <c r="N393" s="21"/>
      <c r="O393" s="27">
        <v>0.49</v>
      </c>
      <c r="P393" s="20">
        <v>1920</v>
      </c>
      <c r="Q393" s="20">
        <v>1080</v>
      </c>
      <c r="R393" s="29">
        <f t="shared" ref="R393:R456" si="31">IF(O393=0, 0, SQRT(Q393^2+P393^2)/O393)</f>
        <v>4495.7289185353029</v>
      </c>
      <c r="S393" s="20">
        <v>75</v>
      </c>
      <c r="T393" s="18">
        <v>44501</v>
      </c>
      <c r="U393" s="20">
        <v>2</v>
      </c>
      <c r="V393" s="120">
        <v>1.0999999999999999E-2</v>
      </c>
      <c r="W393" s="69">
        <f t="shared" ref="W393:W456" si="32">V393*X393</f>
        <v>0.57199999999999995</v>
      </c>
      <c r="X393" s="106">
        <v>52</v>
      </c>
      <c r="Y393" s="72" t="str">
        <f t="shared" ref="Y393:Y456" si="33">D393&amp;"_"&amp;E393&amp;"_"&amp;L393&amp;"_"&amp;H393</f>
        <v>AR_2022_2x SiOLED_Air</v>
      </c>
      <c r="Z393" s="36" t="str">
        <f t="shared" ref="Z393:Z456" si="34">D393&amp;"_"&amp;E393&amp;"_"&amp;L393</f>
        <v>AR_2022_2x SiOLED</v>
      </c>
    </row>
    <row r="394" spans="3:26">
      <c r="C394" s="17">
        <v>386</v>
      </c>
      <c r="D394" s="109" t="s">
        <v>129</v>
      </c>
      <c r="E394" s="20" t="s">
        <v>11</v>
      </c>
      <c r="F394" s="20" t="s">
        <v>182</v>
      </c>
      <c r="G394" s="21" t="s">
        <v>135</v>
      </c>
      <c r="H394" s="21" t="s">
        <v>136</v>
      </c>
      <c r="I394" s="19" t="s">
        <v>63</v>
      </c>
      <c r="J394" s="19" t="s">
        <v>27</v>
      </c>
      <c r="K394" s="21" t="s">
        <v>51</v>
      </c>
      <c r="L394" s="33" t="str">
        <f t="shared" si="30"/>
        <v>2x SiOLED</v>
      </c>
      <c r="M394" s="21" t="s">
        <v>6</v>
      </c>
      <c r="N394" s="21"/>
      <c r="O394" s="27">
        <v>0.55000000000000004</v>
      </c>
      <c r="P394" s="20">
        <v>1920</v>
      </c>
      <c r="Q394" s="20">
        <v>1080</v>
      </c>
      <c r="R394" s="29">
        <f t="shared" si="31"/>
        <v>4005.2857637859966</v>
      </c>
      <c r="S394" s="20" t="s">
        <v>36</v>
      </c>
      <c r="T394" s="18">
        <v>44866</v>
      </c>
      <c r="U394" s="20">
        <v>2</v>
      </c>
      <c r="V394" s="120">
        <v>8.2500000000000004E-3</v>
      </c>
      <c r="W394" s="69">
        <f t="shared" si="32"/>
        <v>0.47850000000000004</v>
      </c>
      <c r="X394" s="106">
        <v>58</v>
      </c>
      <c r="Y394" s="72" t="str">
        <f t="shared" si="33"/>
        <v>AR_2022_2x SiOLED_NXTWear</v>
      </c>
      <c r="Z394" s="36" t="str">
        <f t="shared" si="34"/>
        <v>AR_2022_2x SiOLED</v>
      </c>
    </row>
    <row r="395" spans="3:26">
      <c r="C395" s="17">
        <v>387</v>
      </c>
      <c r="D395" s="109" t="s">
        <v>129</v>
      </c>
      <c r="E395" s="20" t="s">
        <v>11</v>
      </c>
      <c r="F395" s="20" t="s">
        <v>182</v>
      </c>
      <c r="G395" s="21" t="s">
        <v>68</v>
      </c>
      <c r="H395" s="21" t="s">
        <v>69</v>
      </c>
      <c r="I395" s="19" t="s">
        <v>63</v>
      </c>
      <c r="J395" s="19" t="s">
        <v>31</v>
      </c>
      <c r="K395" s="21" t="s">
        <v>70</v>
      </c>
      <c r="L395" s="33" t="str">
        <f t="shared" si="30"/>
        <v>1x DLP</v>
      </c>
      <c r="M395" s="21" t="s">
        <v>172</v>
      </c>
      <c r="N395" s="21"/>
      <c r="O395" s="27"/>
      <c r="P395" s="20">
        <v>853</v>
      </c>
      <c r="Q395" s="20">
        <v>480</v>
      </c>
      <c r="R395" s="29">
        <f t="shared" si="31"/>
        <v>0</v>
      </c>
      <c r="S395" s="20" t="s">
        <v>36</v>
      </c>
      <c r="T395" s="18">
        <v>43466</v>
      </c>
      <c r="U395" s="20">
        <v>1</v>
      </c>
      <c r="V395" s="120">
        <v>4.1299999999999996E-4</v>
      </c>
      <c r="W395" s="69">
        <f t="shared" si="32"/>
        <v>3.3260879420999992E-2</v>
      </c>
      <c r="X395" s="106">
        <v>80.53481699999999</v>
      </c>
      <c r="Y395" s="72" t="str">
        <f t="shared" si="33"/>
        <v>AR_2022_1x DLP_Blade</v>
      </c>
      <c r="Z395" s="36" t="str">
        <f t="shared" si="34"/>
        <v>AR_2022_1x DLP</v>
      </c>
    </row>
    <row r="396" spans="3:26">
      <c r="C396" s="17">
        <v>388</v>
      </c>
      <c r="D396" s="109" t="s">
        <v>129</v>
      </c>
      <c r="E396" s="20" t="s">
        <v>11</v>
      </c>
      <c r="F396" s="20" t="s">
        <v>182</v>
      </c>
      <c r="G396" s="21" t="s">
        <v>68</v>
      </c>
      <c r="H396" s="21" t="s">
        <v>122</v>
      </c>
      <c r="I396" s="19" t="s">
        <v>63</v>
      </c>
      <c r="J396" s="19" t="s">
        <v>31</v>
      </c>
      <c r="K396" s="21" t="s">
        <v>120</v>
      </c>
      <c r="L396" s="33" t="str">
        <f t="shared" si="30"/>
        <v>2x MicroLED</v>
      </c>
      <c r="M396" s="21" t="s">
        <v>144</v>
      </c>
      <c r="N396" s="21"/>
      <c r="O396" s="27">
        <v>0.13</v>
      </c>
      <c r="P396" s="20">
        <v>640</v>
      </c>
      <c r="Q396" s="20">
        <v>480</v>
      </c>
      <c r="R396" s="29">
        <f t="shared" si="31"/>
        <v>6153.8461538461534</v>
      </c>
      <c r="S396" s="20" t="s">
        <v>36</v>
      </c>
      <c r="T396" s="18">
        <v>44896</v>
      </c>
      <c r="U396" s="20">
        <v>2</v>
      </c>
      <c r="V396" s="120">
        <v>5.5000000000000003E-4</v>
      </c>
      <c r="W396" s="69">
        <f t="shared" si="32"/>
        <v>4.3398013999999992E-2</v>
      </c>
      <c r="X396" s="106">
        <v>78.905479999999983</v>
      </c>
      <c r="Y396" s="72" t="str">
        <f t="shared" si="33"/>
        <v>AR_2022_2x MicroLED_Shield</v>
      </c>
      <c r="Z396" s="36" t="str">
        <f t="shared" si="34"/>
        <v>AR_2022_2x MicroLED</v>
      </c>
    </row>
    <row r="397" spans="3:26">
      <c r="C397" s="17">
        <v>389</v>
      </c>
      <c r="D397" s="109" t="s">
        <v>129</v>
      </c>
      <c r="E397" s="20" t="s">
        <v>11</v>
      </c>
      <c r="F397" s="20" t="s">
        <v>182</v>
      </c>
      <c r="G397" s="21" t="s">
        <v>97</v>
      </c>
      <c r="H397" s="21" t="s">
        <v>123</v>
      </c>
      <c r="I397" s="19" t="s">
        <v>63</v>
      </c>
      <c r="J397" s="19" t="s">
        <v>36</v>
      </c>
      <c r="K397" s="21" t="s">
        <v>120</v>
      </c>
      <c r="L397" s="33" t="str">
        <f t="shared" si="30"/>
        <v>2x MicroLED</v>
      </c>
      <c r="M397" s="21" t="s">
        <v>36</v>
      </c>
      <c r="N397" s="21"/>
      <c r="O397" s="27"/>
      <c r="P397" s="20"/>
      <c r="Q397" s="20"/>
      <c r="R397" s="29">
        <f t="shared" si="31"/>
        <v>0</v>
      </c>
      <c r="S397" s="20" t="s">
        <v>36</v>
      </c>
      <c r="T397" s="18" t="s">
        <v>143</v>
      </c>
      <c r="U397" s="20">
        <v>2</v>
      </c>
      <c r="V397" s="120">
        <v>2.7500000000000002E-4</v>
      </c>
      <c r="W397" s="69">
        <f t="shared" si="32"/>
        <v>2.1699006999999996E-2</v>
      </c>
      <c r="X397" s="106">
        <v>78.905479999999983</v>
      </c>
      <c r="Y397" s="72" t="str">
        <f t="shared" si="33"/>
        <v>AR_2022_2x MicroLED_Binocular MicroLED</v>
      </c>
      <c r="Z397" s="36" t="str">
        <f t="shared" si="34"/>
        <v>AR_2022_2x MicroLED</v>
      </c>
    </row>
    <row r="398" spans="3:26">
      <c r="C398" s="17">
        <v>390</v>
      </c>
      <c r="D398" s="109" t="s">
        <v>129</v>
      </c>
      <c r="E398" s="20" t="s">
        <v>11</v>
      </c>
      <c r="F398" s="20" t="s">
        <v>182</v>
      </c>
      <c r="G398" s="21" t="s">
        <v>97</v>
      </c>
      <c r="H398" s="21" t="s">
        <v>76</v>
      </c>
      <c r="I398" s="19" t="s">
        <v>63</v>
      </c>
      <c r="J398" s="19" t="s">
        <v>36</v>
      </c>
      <c r="K398" s="21" t="s">
        <v>70</v>
      </c>
      <c r="L398" s="33" t="str">
        <f t="shared" si="30"/>
        <v>1x DLP</v>
      </c>
      <c r="M398" s="21" t="s">
        <v>36</v>
      </c>
      <c r="N398" s="21"/>
      <c r="O398" s="27"/>
      <c r="P398" s="20"/>
      <c r="Q398" s="20"/>
      <c r="R398" s="29">
        <f t="shared" si="31"/>
        <v>0</v>
      </c>
      <c r="S398" s="20" t="s">
        <v>36</v>
      </c>
      <c r="T398" s="18" t="s">
        <v>143</v>
      </c>
      <c r="U398" s="20">
        <v>1</v>
      </c>
      <c r="V398" s="120">
        <v>2.7500000000000002E-4</v>
      </c>
      <c r="W398" s="69">
        <f t="shared" si="32"/>
        <v>2.2147074675E-2</v>
      </c>
      <c r="X398" s="106">
        <v>80.53481699999999</v>
      </c>
      <c r="Y398" s="72" t="str">
        <f t="shared" si="33"/>
        <v>AR_2022_1x DLP_DLP glasses</v>
      </c>
      <c r="Z398" s="36" t="str">
        <f t="shared" si="34"/>
        <v>AR_2022_1x DLP</v>
      </c>
    </row>
    <row r="399" spans="3:26">
      <c r="C399" s="17">
        <v>391</v>
      </c>
      <c r="D399" s="109" t="s">
        <v>129</v>
      </c>
      <c r="E399" s="20" t="s">
        <v>11</v>
      </c>
      <c r="F399" s="20" t="s">
        <v>182</v>
      </c>
      <c r="G399" s="21" t="s">
        <v>97</v>
      </c>
      <c r="H399" s="21" t="s">
        <v>80</v>
      </c>
      <c r="I399" s="19" t="s">
        <v>63</v>
      </c>
      <c r="J399" s="19" t="s">
        <v>36</v>
      </c>
      <c r="K399" s="21" t="s">
        <v>64</v>
      </c>
      <c r="L399" s="33" t="str">
        <f t="shared" si="30"/>
        <v>2x LBS</v>
      </c>
      <c r="M399" s="21" t="s">
        <v>36</v>
      </c>
      <c r="N399" s="21"/>
      <c r="O399" s="27"/>
      <c r="P399" s="20"/>
      <c r="Q399" s="20"/>
      <c r="R399" s="29">
        <f t="shared" si="31"/>
        <v>0</v>
      </c>
      <c r="S399" s="20" t="s">
        <v>36</v>
      </c>
      <c r="T399" s="18" t="s">
        <v>143</v>
      </c>
      <c r="U399" s="20">
        <v>2</v>
      </c>
      <c r="V399" s="120">
        <v>8.25E-4</v>
      </c>
      <c r="W399" s="69">
        <f t="shared" si="32"/>
        <v>8.43309852E-2</v>
      </c>
      <c r="X399" s="106">
        <v>102.219376</v>
      </c>
      <c r="Y399" s="72" t="str">
        <f t="shared" si="33"/>
        <v>AR_2022_2x LBS_LBS glasses</v>
      </c>
      <c r="Z399" s="36" t="str">
        <f t="shared" si="34"/>
        <v>AR_2022_2x LBS</v>
      </c>
    </row>
    <row r="400" spans="3:26">
      <c r="C400" s="17">
        <v>392</v>
      </c>
      <c r="D400" s="109" t="s">
        <v>129</v>
      </c>
      <c r="E400" s="20" t="s">
        <v>11</v>
      </c>
      <c r="F400" s="20" t="s">
        <v>182</v>
      </c>
      <c r="G400" s="21" t="s">
        <v>97</v>
      </c>
      <c r="H400" s="21" t="s">
        <v>75</v>
      </c>
      <c r="I400" s="19" t="s">
        <v>63</v>
      </c>
      <c r="J400" s="19" t="s">
        <v>36</v>
      </c>
      <c r="K400" s="21" t="s">
        <v>67</v>
      </c>
      <c r="L400" s="33" t="str">
        <f t="shared" si="30"/>
        <v>2x LCoS</v>
      </c>
      <c r="M400" s="21" t="s">
        <v>36</v>
      </c>
      <c r="N400" s="21"/>
      <c r="O400" s="27"/>
      <c r="P400" s="20"/>
      <c r="Q400" s="20"/>
      <c r="R400" s="29">
        <f t="shared" si="31"/>
        <v>0</v>
      </c>
      <c r="S400" s="20" t="s">
        <v>36</v>
      </c>
      <c r="T400" s="18" t="s">
        <v>143</v>
      </c>
      <c r="U400" s="20">
        <v>2</v>
      </c>
      <c r="V400" s="120">
        <v>4.1250000000000002E-3</v>
      </c>
      <c r="W400" s="69">
        <f t="shared" si="32"/>
        <v>0.18411423525000004</v>
      </c>
      <c r="X400" s="106">
        <v>44.633754000000003</v>
      </c>
      <c r="Y400" s="72" t="str">
        <f t="shared" si="33"/>
        <v>AR_2022_2x LCoS_LCoS glasses</v>
      </c>
      <c r="Z400" s="36" t="str">
        <f t="shared" si="34"/>
        <v>AR_2022_2x LCoS</v>
      </c>
    </row>
    <row r="401" spans="3:26">
      <c r="C401" s="17">
        <v>393</v>
      </c>
      <c r="D401" s="109" t="s">
        <v>129</v>
      </c>
      <c r="E401" s="20" t="s">
        <v>11</v>
      </c>
      <c r="F401" s="20" t="s">
        <v>182</v>
      </c>
      <c r="G401" s="21" t="s">
        <v>97</v>
      </c>
      <c r="H401" s="21" t="s">
        <v>121</v>
      </c>
      <c r="I401" s="19" t="s">
        <v>63</v>
      </c>
      <c r="J401" s="19" t="s">
        <v>36</v>
      </c>
      <c r="K401" s="21" t="s">
        <v>120</v>
      </c>
      <c r="L401" s="33" t="str">
        <f t="shared" si="30"/>
        <v>1x MicroLED</v>
      </c>
      <c r="M401" s="21" t="s">
        <v>36</v>
      </c>
      <c r="N401" s="21"/>
      <c r="O401" s="27"/>
      <c r="P401" s="20"/>
      <c r="Q401" s="20"/>
      <c r="R401" s="29">
        <f t="shared" si="31"/>
        <v>0</v>
      </c>
      <c r="S401" s="20" t="s">
        <v>36</v>
      </c>
      <c r="T401" s="18" t="s">
        <v>143</v>
      </c>
      <c r="U401" s="20">
        <v>1</v>
      </c>
      <c r="V401" s="120">
        <v>1.3800000000000002E-4</v>
      </c>
      <c r="W401" s="69">
        <f t="shared" si="32"/>
        <v>1.0888956239999999E-2</v>
      </c>
      <c r="X401" s="106">
        <v>78.905479999999983</v>
      </c>
      <c r="Y401" s="72" t="str">
        <f t="shared" si="33"/>
        <v>AR_2022_1x MicroLED_Monocular MicroLED</v>
      </c>
      <c r="Z401" s="36" t="str">
        <f t="shared" si="34"/>
        <v>AR_2022_1x MicroLED</v>
      </c>
    </row>
    <row r="402" spans="3:26">
      <c r="C402" s="17">
        <v>394</v>
      </c>
      <c r="D402" s="109" t="s">
        <v>129</v>
      </c>
      <c r="E402" s="20" t="s">
        <v>11</v>
      </c>
      <c r="F402" s="20" t="s">
        <v>182</v>
      </c>
      <c r="G402" s="21" t="s">
        <v>97</v>
      </c>
      <c r="H402" s="21" t="s">
        <v>79</v>
      </c>
      <c r="I402" s="19" t="s">
        <v>63</v>
      </c>
      <c r="J402" s="19" t="s">
        <v>36</v>
      </c>
      <c r="K402" s="21" t="s">
        <v>51</v>
      </c>
      <c r="L402" s="33" t="str">
        <f t="shared" si="30"/>
        <v>2x SiOLED</v>
      </c>
      <c r="M402" s="21" t="s">
        <v>36</v>
      </c>
      <c r="N402" s="21"/>
      <c r="O402" s="27"/>
      <c r="P402" s="20"/>
      <c r="Q402" s="20"/>
      <c r="R402" s="29">
        <f t="shared" si="31"/>
        <v>0</v>
      </c>
      <c r="S402" s="20" t="s">
        <v>36</v>
      </c>
      <c r="T402" s="18" t="s">
        <v>143</v>
      </c>
      <c r="U402" s="20">
        <v>2</v>
      </c>
      <c r="V402" s="120">
        <v>3.8500000000000001E-3</v>
      </c>
      <c r="W402" s="69">
        <f t="shared" si="32"/>
        <v>0.29974855679999995</v>
      </c>
      <c r="X402" s="106">
        <v>77.856767999999988</v>
      </c>
      <c r="Y402" s="72" t="str">
        <f t="shared" si="33"/>
        <v>AR_2022_2x SiOLED_SiOLED glasses</v>
      </c>
      <c r="Z402" s="36" t="str">
        <f t="shared" si="34"/>
        <v>AR_2022_2x SiOLED</v>
      </c>
    </row>
    <row r="403" spans="3:26">
      <c r="C403" s="17">
        <v>395</v>
      </c>
      <c r="D403" s="109" t="s">
        <v>26</v>
      </c>
      <c r="E403" s="20" t="s">
        <v>12</v>
      </c>
      <c r="F403" s="20" t="s">
        <v>176</v>
      </c>
      <c r="G403" s="21" t="s">
        <v>164</v>
      </c>
      <c r="H403" s="21" t="s">
        <v>165</v>
      </c>
      <c r="I403" s="19" t="s">
        <v>26</v>
      </c>
      <c r="J403" s="19" t="s">
        <v>27</v>
      </c>
      <c r="K403" s="21" t="s">
        <v>51</v>
      </c>
      <c r="L403" s="33" t="str">
        <f t="shared" si="30"/>
        <v>2x SiOLED</v>
      </c>
      <c r="M403" s="21" t="s">
        <v>116</v>
      </c>
      <c r="N403" s="21"/>
      <c r="O403" s="27">
        <v>1.03</v>
      </c>
      <c r="P403" s="20">
        <v>2560</v>
      </c>
      <c r="Q403" s="20">
        <v>2560</v>
      </c>
      <c r="R403" s="29">
        <f t="shared" si="31"/>
        <v>3514.9385627913821</v>
      </c>
      <c r="S403" s="20">
        <v>90</v>
      </c>
      <c r="T403" s="18"/>
      <c r="U403" s="20">
        <v>2</v>
      </c>
      <c r="V403" s="120">
        <v>5.4999999999999997E-3</v>
      </c>
      <c r="W403" s="69">
        <f t="shared" si="32"/>
        <v>0.76999999999999991</v>
      </c>
      <c r="X403" s="106">
        <v>140</v>
      </c>
      <c r="Y403" s="72" t="str">
        <f t="shared" si="33"/>
        <v>VR_2023_2x SiOLED_Beyond</v>
      </c>
      <c r="Z403" s="36" t="str">
        <f t="shared" si="34"/>
        <v>VR_2023_2x SiOLED</v>
      </c>
    </row>
    <row r="404" spans="3:26">
      <c r="C404" s="17">
        <v>396</v>
      </c>
      <c r="D404" s="109" t="s">
        <v>26</v>
      </c>
      <c r="E404" s="20" t="s">
        <v>12</v>
      </c>
      <c r="F404" s="20" t="s">
        <v>176</v>
      </c>
      <c r="G404" s="21" t="s">
        <v>106</v>
      </c>
      <c r="H404" s="21" t="s">
        <v>107</v>
      </c>
      <c r="I404" s="19" t="s">
        <v>26</v>
      </c>
      <c r="J404" s="19" t="s">
        <v>31</v>
      </c>
      <c r="K404" s="21" t="s">
        <v>15</v>
      </c>
      <c r="L404" s="33" t="str">
        <f t="shared" si="30"/>
        <v>1x LCD</v>
      </c>
      <c r="M404" s="21" t="s">
        <v>36</v>
      </c>
      <c r="N404" s="21" t="s">
        <v>143</v>
      </c>
      <c r="O404" s="27"/>
      <c r="P404" s="20"/>
      <c r="Q404" s="20"/>
      <c r="R404" s="29">
        <f t="shared" si="31"/>
        <v>0</v>
      </c>
      <c r="S404" s="20" t="s">
        <v>36</v>
      </c>
      <c r="T404" s="18">
        <v>43770</v>
      </c>
      <c r="U404" s="20">
        <v>1</v>
      </c>
      <c r="V404" s="120">
        <v>9.8230000000000001E-3</v>
      </c>
      <c r="W404" s="69">
        <f t="shared" si="32"/>
        <v>0.54362534614079983</v>
      </c>
      <c r="X404" s="106">
        <v>55.342089599999987</v>
      </c>
      <c r="Y404" s="72" t="str">
        <f t="shared" si="33"/>
        <v>VR_2023_1x LCD_P1 family</v>
      </c>
      <c r="Z404" s="36" t="str">
        <f t="shared" si="34"/>
        <v>VR_2023_1x LCD</v>
      </c>
    </row>
    <row r="405" spans="3:26">
      <c r="C405" s="17">
        <v>397</v>
      </c>
      <c r="D405" s="109" t="s">
        <v>26</v>
      </c>
      <c r="E405" s="20" t="s">
        <v>12</v>
      </c>
      <c r="F405" s="20" t="s">
        <v>176</v>
      </c>
      <c r="G405" s="21" t="s">
        <v>34</v>
      </c>
      <c r="H405" s="21" t="s">
        <v>37</v>
      </c>
      <c r="I405" s="19" t="s">
        <v>26</v>
      </c>
      <c r="J405" s="19" t="s">
        <v>27</v>
      </c>
      <c r="K405" s="21" t="s">
        <v>15</v>
      </c>
      <c r="L405" s="33" t="str">
        <f t="shared" si="30"/>
        <v>2x LCD</v>
      </c>
      <c r="M405" s="21" t="s">
        <v>36</v>
      </c>
      <c r="N405" s="21" t="s">
        <v>143</v>
      </c>
      <c r="O405" s="27">
        <v>2.89</v>
      </c>
      <c r="P405" s="20">
        <v>2160</v>
      </c>
      <c r="Q405" s="20">
        <v>2160</v>
      </c>
      <c r="R405" s="29">
        <f t="shared" si="31"/>
        <v>1056.990067379199</v>
      </c>
      <c r="S405" s="20">
        <v>90</v>
      </c>
      <c r="T405" s="18">
        <v>44136</v>
      </c>
      <c r="U405" s="20">
        <v>2</v>
      </c>
      <c r="V405" s="120">
        <v>3.6739999999999997E-3</v>
      </c>
      <c r="W405" s="69">
        <f t="shared" si="32"/>
        <v>0.13555122479359999</v>
      </c>
      <c r="X405" s="106">
        <v>36.894726400000003</v>
      </c>
      <c r="Y405" s="72" t="str">
        <f t="shared" si="33"/>
        <v>VR_2023_2x LCD_Reverb G2</v>
      </c>
      <c r="Z405" s="36" t="str">
        <f t="shared" si="34"/>
        <v>VR_2023_2x LCD</v>
      </c>
    </row>
    <row r="406" spans="3:26">
      <c r="C406" s="17">
        <v>398</v>
      </c>
      <c r="D406" s="109" t="s">
        <v>26</v>
      </c>
      <c r="E406" s="20" t="s">
        <v>12</v>
      </c>
      <c r="F406" s="20" t="s">
        <v>176</v>
      </c>
      <c r="G406" s="21" t="s">
        <v>41</v>
      </c>
      <c r="H406" s="21" t="s">
        <v>178</v>
      </c>
      <c r="I406" s="19" t="s">
        <v>26</v>
      </c>
      <c r="J406" s="19" t="s">
        <v>31</v>
      </c>
      <c r="K406" s="21" t="s">
        <v>15</v>
      </c>
      <c r="L406" s="33" t="str">
        <f t="shared" si="30"/>
        <v>2x LCD</v>
      </c>
      <c r="M406" s="21" t="s">
        <v>2</v>
      </c>
      <c r="N406" s="21" t="s">
        <v>143</v>
      </c>
      <c r="O406" s="27"/>
      <c r="P406" s="20"/>
      <c r="Q406" s="20"/>
      <c r="R406" s="29">
        <f t="shared" si="31"/>
        <v>0</v>
      </c>
      <c r="S406" s="20" t="s">
        <v>36</v>
      </c>
      <c r="T406" s="18">
        <v>43739</v>
      </c>
      <c r="U406" s="20">
        <v>2</v>
      </c>
      <c r="V406" s="120">
        <v>6.1600000000000005E-3</v>
      </c>
      <c r="W406" s="69">
        <f t="shared" si="32"/>
        <v>0.22727151462400005</v>
      </c>
      <c r="X406" s="106">
        <v>36.894726400000003</v>
      </c>
      <c r="Y406" s="72" t="str">
        <f t="shared" si="33"/>
        <v>VR_2023_2x LCD_Vive LCD headsets</v>
      </c>
      <c r="Z406" s="36" t="str">
        <f t="shared" si="34"/>
        <v>VR_2023_2x LCD</v>
      </c>
    </row>
    <row r="407" spans="3:26">
      <c r="C407" s="17">
        <v>399</v>
      </c>
      <c r="D407" s="109" t="s">
        <v>26</v>
      </c>
      <c r="E407" s="20" t="s">
        <v>12</v>
      </c>
      <c r="F407" s="20" t="s">
        <v>176</v>
      </c>
      <c r="G407" s="21" t="s">
        <v>77</v>
      </c>
      <c r="H407" s="21" t="s">
        <v>163</v>
      </c>
      <c r="I407" s="19" t="s">
        <v>44</v>
      </c>
      <c r="J407" s="19" t="s">
        <v>31</v>
      </c>
      <c r="K407" s="21" t="s">
        <v>15</v>
      </c>
      <c r="L407" s="33" t="str">
        <f t="shared" si="30"/>
        <v>2x LCD</v>
      </c>
      <c r="M407" s="21" t="s">
        <v>36</v>
      </c>
      <c r="N407" s="21"/>
      <c r="O407" s="27"/>
      <c r="P407" s="20"/>
      <c r="Q407" s="20"/>
      <c r="R407" s="29">
        <f t="shared" si="31"/>
        <v>0</v>
      </c>
      <c r="S407" s="20" t="s">
        <v>36</v>
      </c>
      <c r="T407" s="18">
        <v>45078</v>
      </c>
      <c r="U407" s="20">
        <v>2</v>
      </c>
      <c r="V407" s="120">
        <v>8.8000000000000005E-3</v>
      </c>
      <c r="W407" s="69">
        <f t="shared" si="32"/>
        <v>0.32467359232000004</v>
      </c>
      <c r="X407" s="106">
        <v>36.894726400000003</v>
      </c>
      <c r="Y407" s="72" t="str">
        <f t="shared" si="33"/>
        <v>VR_2023_2x LCD_ThinkReality VRX</v>
      </c>
      <c r="Z407" s="36" t="str">
        <f t="shared" si="34"/>
        <v>VR_2023_2x LCD</v>
      </c>
    </row>
    <row r="408" spans="3:26">
      <c r="C408" s="17">
        <v>400</v>
      </c>
      <c r="D408" s="109" t="s">
        <v>26</v>
      </c>
      <c r="E408" s="20" t="s">
        <v>12</v>
      </c>
      <c r="F408" s="20" t="s">
        <v>176</v>
      </c>
      <c r="G408" s="21" t="s">
        <v>112</v>
      </c>
      <c r="H408" s="21" t="s">
        <v>32</v>
      </c>
      <c r="I408" s="19" t="s">
        <v>26</v>
      </c>
      <c r="J408" s="19" t="s">
        <v>31</v>
      </c>
      <c r="K408" s="21" t="s">
        <v>15</v>
      </c>
      <c r="L408" s="33" t="str">
        <f t="shared" si="30"/>
        <v>1x LCD</v>
      </c>
      <c r="M408" s="21" t="s">
        <v>2</v>
      </c>
      <c r="N408" s="21" t="s">
        <v>166</v>
      </c>
      <c r="O408" s="27">
        <v>5.5</v>
      </c>
      <c r="P408" s="20">
        <v>3840</v>
      </c>
      <c r="Q408" s="20">
        <v>1832</v>
      </c>
      <c r="R408" s="29">
        <f t="shared" si="31"/>
        <v>773.56797048396322</v>
      </c>
      <c r="S408" s="20">
        <v>90</v>
      </c>
      <c r="T408" s="18">
        <v>44105</v>
      </c>
      <c r="U408" s="20">
        <v>1</v>
      </c>
      <c r="V408" s="120">
        <v>0.53900000000000003</v>
      </c>
      <c r="W408" s="69">
        <f t="shared" si="32"/>
        <v>29.829386294399995</v>
      </c>
      <c r="X408" s="106">
        <v>55.342089599999987</v>
      </c>
      <c r="Y408" s="72" t="str">
        <f t="shared" si="33"/>
        <v>VR_2023_1x LCD_Quest 2</v>
      </c>
      <c r="Z408" s="36" t="str">
        <f t="shared" si="34"/>
        <v>VR_2023_1x LCD</v>
      </c>
    </row>
    <row r="409" spans="3:26">
      <c r="C409" s="17">
        <v>401</v>
      </c>
      <c r="D409" s="109" t="s">
        <v>26</v>
      </c>
      <c r="E409" s="20" t="s">
        <v>12</v>
      </c>
      <c r="F409" s="20" t="s">
        <v>176</v>
      </c>
      <c r="G409" s="21" t="s">
        <v>112</v>
      </c>
      <c r="H409" s="21" t="s">
        <v>113</v>
      </c>
      <c r="I409" s="19" t="s">
        <v>44</v>
      </c>
      <c r="J409" s="19" t="s">
        <v>31</v>
      </c>
      <c r="K409" s="21" t="s">
        <v>15</v>
      </c>
      <c r="L409" s="33" t="str">
        <f t="shared" si="30"/>
        <v>2x LCD</v>
      </c>
      <c r="M409" s="21" t="s">
        <v>145</v>
      </c>
      <c r="N409" s="21" t="s">
        <v>2</v>
      </c>
      <c r="O409" s="27">
        <v>2.5</v>
      </c>
      <c r="P409" s="20">
        <v>1920</v>
      </c>
      <c r="Q409" s="20">
        <v>1800</v>
      </c>
      <c r="R409" s="29">
        <f t="shared" si="31"/>
        <v>1052.7221855741429</v>
      </c>
      <c r="S409" s="20">
        <v>90</v>
      </c>
      <c r="T409" s="18">
        <v>44835</v>
      </c>
      <c r="U409" s="20">
        <v>2</v>
      </c>
      <c r="V409" s="120">
        <v>1.1000000000000001E-3</v>
      </c>
      <c r="W409" s="69">
        <f t="shared" si="32"/>
        <v>4.9500000000000002E-2</v>
      </c>
      <c r="X409" s="106">
        <v>45</v>
      </c>
      <c r="Y409" s="72" t="str">
        <f t="shared" si="33"/>
        <v>VR_2023_2x LCD_Quest Pro</v>
      </c>
      <c r="Z409" s="36" t="str">
        <f t="shared" si="34"/>
        <v>VR_2023_2x LCD</v>
      </c>
    </row>
    <row r="410" spans="3:26">
      <c r="C410" s="17">
        <v>402</v>
      </c>
      <c r="D410" s="109" t="s">
        <v>26</v>
      </c>
      <c r="E410" s="20" t="s">
        <v>12</v>
      </c>
      <c r="F410" s="20" t="s">
        <v>176</v>
      </c>
      <c r="G410" s="21" t="s">
        <v>110</v>
      </c>
      <c r="H410" s="21" t="s">
        <v>162</v>
      </c>
      <c r="I410" s="19" t="s">
        <v>26</v>
      </c>
      <c r="J410" s="19" t="s">
        <v>31</v>
      </c>
      <c r="K410" s="21" t="s">
        <v>15</v>
      </c>
      <c r="L410" s="33" t="str">
        <f t="shared" si="30"/>
        <v>1x LCD</v>
      </c>
      <c r="M410" s="21" t="s">
        <v>2</v>
      </c>
      <c r="N410" s="21" t="s">
        <v>146</v>
      </c>
      <c r="O410" s="27">
        <v>5.5</v>
      </c>
      <c r="P410" s="20">
        <v>3840</v>
      </c>
      <c r="Q410" s="20">
        <v>1832</v>
      </c>
      <c r="R410" s="29">
        <f t="shared" si="31"/>
        <v>773.56797048396322</v>
      </c>
      <c r="S410" s="20">
        <v>90</v>
      </c>
      <c r="T410" s="18">
        <v>44317</v>
      </c>
      <c r="U410" s="20">
        <v>1</v>
      </c>
      <c r="V410" s="120">
        <v>4.3999999999999997E-2</v>
      </c>
      <c r="W410" s="69">
        <f t="shared" si="32"/>
        <v>2.4350519423999994</v>
      </c>
      <c r="X410" s="106">
        <v>55.342089599999987</v>
      </c>
      <c r="Y410" s="72" t="str">
        <f t="shared" si="33"/>
        <v>VR_2023_1x LCD_Neo 3 / G3</v>
      </c>
      <c r="Z410" s="36" t="str">
        <f t="shared" si="34"/>
        <v>VR_2023_1x LCD</v>
      </c>
    </row>
    <row r="411" spans="3:26">
      <c r="C411" s="17">
        <v>403</v>
      </c>
      <c r="D411" s="109" t="s">
        <v>26</v>
      </c>
      <c r="E411" s="20" t="s">
        <v>12</v>
      </c>
      <c r="F411" s="20" t="s">
        <v>176</v>
      </c>
      <c r="G411" s="21" t="s">
        <v>110</v>
      </c>
      <c r="H411" s="21" t="s">
        <v>134</v>
      </c>
      <c r="I411" s="19" t="s">
        <v>26</v>
      </c>
      <c r="J411" s="19" t="s">
        <v>31</v>
      </c>
      <c r="K411" s="21" t="s">
        <v>15</v>
      </c>
      <c r="L411" s="33" t="str">
        <f t="shared" si="30"/>
        <v>2x LCD</v>
      </c>
      <c r="M411" s="21" t="s">
        <v>146</v>
      </c>
      <c r="N411" s="21"/>
      <c r="O411" s="27">
        <v>2.56</v>
      </c>
      <c r="P411" s="20">
        <v>2160</v>
      </c>
      <c r="Q411" s="20">
        <v>2160</v>
      </c>
      <c r="R411" s="29">
        <f t="shared" si="31"/>
        <v>1193.242693252299</v>
      </c>
      <c r="S411" s="20">
        <v>90</v>
      </c>
      <c r="T411" s="18">
        <v>44805</v>
      </c>
      <c r="U411" s="20">
        <v>2</v>
      </c>
      <c r="V411" s="120">
        <v>9.6799999999999997E-2</v>
      </c>
      <c r="W411" s="69">
        <f t="shared" si="32"/>
        <v>3.5714095155200001</v>
      </c>
      <c r="X411" s="106">
        <v>36.894726400000003</v>
      </c>
      <c r="Y411" s="72" t="str">
        <f t="shared" si="33"/>
        <v>VR_2023_2x LCD_Pico 4</v>
      </c>
      <c r="Z411" s="36" t="str">
        <f t="shared" si="34"/>
        <v>VR_2023_2x LCD</v>
      </c>
    </row>
    <row r="412" spans="3:26">
      <c r="C412" s="17">
        <v>404</v>
      </c>
      <c r="D412" s="109" t="s">
        <v>26</v>
      </c>
      <c r="E412" s="20" t="s">
        <v>12</v>
      </c>
      <c r="F412" s="20" t="s">
        <v>176</v>
      </c>
      <c r="G412" s="21" t="s">
        <v>108</v>
      </c>
      <c r="H412" s="21" t="s">
        <v>109</v>
      </c>
      <c r="I412" s="19" t="s">
        <v>26</v>
      </c>
      <c r="J412" s="19" t="s">
        <v>27</v>
      </c>
      <c r="K412" s="21" t="s">
        <v>15</v>
      </c>
      <c r="L412" s="33" t="str">
        <f t="shared" si="30"/>
        <v>2x LCD</v>
      </c>
      <c r="M412" s="21" t="s">
        <v>145</v>
      </c>
      <c r="N412" s="21" t="s">
        <v>146</v>
      </c>
      <c r="O412" s="27"/>
      <c r="P412" s="20"/>
      <c r="Q412" s="20"/>
      <c r="R412" s="29">
        <f t="shared" si="31"/>
        <v>0</v>
      </c>
      <c r="S412" s="20" t="s">
        <v>36</v>
      </c>
      <c r="T412" s="18" t="s">
        <v>143</v>
      </c>
      <c r="U412" s="20">
        <v>2</v>
      </c>
      <c r="V412" s="120">
        <v>3.96E-3</v>
      </c>
      <c r="W412" s="69">
        <f t="shared" si="32"/>
        <v>0.14610311654400002</v>
      </c>
      <c r="X412" s="106">
        <v>36.894726400000003</v>
      </c>
      <c r="Y412" s="72" t="str">
        <f t="shared" si="33"/>
        <v>VR_2023_2x LCD_Pimax VR</v>
      </c>
      <c r="Z412" s="36" t="str">
        <f t="shared" si="34"/>
        <v>VR_2023_2x LCD</v>
      </c>
    </row>
    <row r="413" spans="3:26">
      <c r="C413" s="17">
        <v>405</v>
      </c>
      <c r="D413" s="109" t="s">
        <v>26</v>
      </c>
      <c r="E413" s="20" t="s">
        <v>12</v>
      </c>
      <c r="F413" s="20" t="s">
        <v>176</v>
      </c>
      <c r="G413" s="21" t="s">
        <v>6</v>
      </c>
      <c r="H413" s="21" t="s">
        <v>126</v>
      </c>
      <c r="I413" s="19" t="s">
        <v>26</v>
      </c>
      <c r="J413" s="19" t="s">
        <v>27</v>
      </c>
      <c r="K413" s="21" t="s">
        <v>28</v>
      </c>
      <c r="L413" s="33" t="str">
        <f t="shared" si="30"/>
        <v>2x AMOLED</v>
      </c>
      <c r="M413" s="21" t="s">
        <v>3</v>
      </c>
      <c r="N413" s="21"/>
      <c r="O413" s="27">
        <v>3.36</v>
      </c>
      <c r="P413" s="20">
        <v>2040</v>
      </c>
      <c r="Q413" s="20">
        <v>2000</v>
      </c>
      <c r="R413" s="29">
        <f t="shared" si="31"/>
        <v>850.25339693662363</v>
      </c>
      <c r="S413" s="20">
        <v>120</v>
      </c>
      <c r="T413" s="18">
        <v>44958</v>
      </c>
      <c r="U413" s="20">
        <v>2</v>
      </c>
      <c r="V413" s="120">
        <v>0.9</v>
      </c>
      <c r="W413" s="69">
        <f t="shared" si="32"/>
        <v>42.353639999999999</v>
      </c>
      <c r="X413" s="106">
        <v>47.059599999999996</v>
      </c>
      <c r="Y413" s="72" t="str">
        <f t="shared" si="33"/>
        <v>VR_2023_2x AMOLED_PlayStation VR2</v>
      </c>
      <c r="Z413" s="36" t="str">
        <f t="shared" si="34"/>
        <v>VR_2023_2x AMOLED</v>
      </c>
    </row>
    <row r="414" spans="3:26">
      <c r="C414" s="17">
        <v>406</v>
      </c>
      <c r="D414" s="109" t="s">
        <v>26</v>
      </c>
      <c r="E414" s="20" t="s">
        <v>12</v>
      </c>
      <c r="F414" s="20" t="s">
        <v>176</v>
      </c>
      <c r="G414" s="21" t="s">
        <v>97</v>
      </c>
      <c r="H414" s="21" t="s">
        <v>111</v>
      </c>
      <c r="I414" s="19" t="s">
        <v>26</v>
      </c>
      <c r="J414" s="19" t="s">
        <v>36</v>
      </c>
      <c r="K414" s="21" t="s">
        <v>15</v>
      </c>
      <c r="L414" s="33" t="str">
        <f t="shared" si="30"/>
        <v>2x LCD</v>
      </c>
      <c r="M414" s="21" t="s">
        <v>36</v>
      </c>
      <c r="N414" s="21" t="s">
        <v>143</v>
      </c>
      <c r="O414" s="27"/>
      <c r="P414" s="20"/>
      <c r="Q414" s="20"/>
      <c r="R414" s="29">
        <f t="shared" si="31"/>
        <v>0</v>
      </c>
      <c r="S414" s="20" t="s">
        <v>36</v>
      </c>
      <c r="T414" s="18" t="s">
        <v>143</v>
      </c>
      <c r="U414" s="20">
        <v>2</v>
      </c>
      <c r="V414" s="120">
        <v>3.124E-3</v>
      </c>
      <c r="W414" s="69">
        <f t="shared" si="32"/>
        <v>0.11525912527360001</v>
      </c>
      <c r="X414" s="106">
        <v>36.894726400000003</v>
      </c>
      <c r="Y414" s="72" t="str">
        <f t="shared" si="33"/>
        <v>VR_2023_2x LCD_Dual LCD VR headset</v>
      </c>
      <c r="Z414" s="36" t="str">
        <f t="shared" si="34"/>
        <v>VR_2023_2x LCD</v>
      </c>
    </row>
    <row r="415" spans="3:26">
      <c r="C415" s="17">
        <v>407</v>
      </c>
      <c r="D415" s="109" t="s">
        <v>26</v>
      </c>
      <c r="E415" s="20" t="s">
        <v>12</v>
      </c>
      <c r="F415" s="20" t="s">
        <v>176</v>
      </c>
      <c r="G415" s="21" t="s">
        <v>97</v>
      </c>
      <c r="H415" s="21" t="s">
        <v>161</v>
      </c>
      <c r="I415" s="19" t="s">
        <v>26</v>
      </c>
      <c r="J415" s="19" t="s">
        <v>36</v>
      </c>
      <c r="K415" s="21" t="s">
        <v>15</v>
      </c>
      <c r="L415" s="33" t="str">
        <f t="shared" si="30"/>
        <v>1x LCD</v>
      </c>
      <c r="M415" s="21" t="s">
        <v>36</v>
      </c>
      <c r="N415" s="21" t="s">
        <v>143</v>
      </c>
      <c r="O415" s="27"/>
      <c r="P415" s="20"/>
      <c r="Q415" s="20"/>
      <c r="R415" s="29">
        <f t="shared" si="31"/>
        <v>0</v>
      </c>
      <c r="S415" s="20" t="s">
        <v>36</v>
      </c>
      <c r="T415" s="18" t="s">
        <v>143</v>
      </c>
      <c r="U415" s="20">
        <v>1</v>
      </c>
      <c r="V415" s="120">
        <v>2.7654000000000001E-2</v>
      </c>
      <c r="W415" s="69">
        <f t="shared" si="32"/>
        <v>1.5304301457983998</v>
      </c>
      <c r="X415" s="106">
        <v>55.342089599999987</v>
      </c>
      <c r="Y415" s="72" t="str">
        <f t="shared" si="33"/>
        <v>VR_2023_1x LCD_Single LCD VR headset</v>
      </c>
      <c r="Z415" s="36" t="str">
        <f t="shared" si="34"/>
        <v>VR_2023_1x LCD</v>
      </c>
    </row>
    <row r="416" spans="3:26">
      <c r="C416" s="17">
        <v>408</v>
      </c>
      <c r="D416" s="109" t="s">
        <v>26</v>
      </c>
      <c r="E416" s="20" t="s">
        <v>12</v>
      </c>
      <c r="F416" s="20" t="s">
        <v>176</v>
      </c>
      <c r="G416" s="21" t="s">
        <v>180</v>
      </c>
      <c r="H416" s="21" t="s">
        <v>181</v>
      </c>
      <c r="I416" s="19" t="s">
        <v>26</v>
      </c>
      <c r="J416" s="19" t="s">
        <v>27</v>
      </c>
      <c r="K416" s="21" t="s">
        <v>51</v>
      </c>
      <c r="L416" s="33" t="str">
        <f t="shared" si="30"/>
        <v>2x SiOLED</v>
      </c>
      <c r="M416" s="21" t="s">
        <v>116</v>
      </c>
      <c r="N416" s="21"/>
      <c r="O416" s="27">
        <v>1.03</v>
      </c>
      <c r="P416" s="20">
        <v>2560</v>
      </c>
      <c r="Q416" s="20">
        <v>2560</v>
      </c>
      <c r="R416" s="29">
        <f t="shared" si="31"/>
        <v>3514.9385627913821</v>
      </c>
      <c r="S416" s="20"/>
      <c r="T416" s="18">
        <v>43497</v>
      </c>
      <c r="U416" s="20">
        <v>2</v>
      </c>
      <c r="V416" s="120">
        <v>7.2820000000000003E-3</v>
      </c>
      <c r="W416" s="69">
        <f t="shared" si="32"/>
        <v>1.16788716</v>
      </c>
      <c r="X416" s="106">
        <v>160.38</v>
      </c>
      <c r="Y416" s="72" t="str">
        <f t="shared" si="33"/>
        <v>VR_2023_2x SiOLED_Bionic models</v>
      </c>
      <c r="Z416" s="36" t="str">
        <f t="shared" si="34"/>
        <v>VR_2023_2x SiOLED</v>
      </c>
    </row>
    <row r="417" spans="3:26">
      <c r="C417" s="17">
        <v>409</v>
      </c>
      <c r="D417" s="109" t="s">
        <v>26</v>
      </c>
      <c r="E417" s="20" t="s">
        <v>12</v>
      </c>
      <c r="F417" s="20" t="s">
        <v>176</v>
      </c>
      <c r="G417" s="21" t="s">
        <v>180</v>
      </c>
      <c r="H417" s="21" t="s">
        <v>183</v>
      </c>
      <c r="I417" s="19" t="s">
        <v>26</v>
      </c>
      <c r="J417" s="19" t="s">
        <v>27</v>
      </c>
      <c r="K417" s="21" t="s">
        <v>15</v>
      </c>
      <c r="L417" s="33" t="str">
        <f t="shared" si="30"/>
        <v>2x LCD</v>
      </c>
      <c r="M417" s="21" t="s">
        <v>36</v>
      </c>
      <c r="N417" s="21"/>
      <c r="O417" s="27">
        <v>3.2</v>
      </c>
      <c r="P417" s="20">
        <v>2880</v>
      </c>
      <c r="Q417" s="20">
        <v>2720</v>
      </c>
      <c r="R417" s="29">
        <f t="shared" si="31"/>
        <v>1237.9418403139946</v>
      </c>
      <c r="S417" s="20">
        <v>90</v>
      </c>
      <c r="T417" s="18">
        <v>44470</v>
      </c>
      <c r="U417" s="20">
        <v>2</v>
      </c>
      <c r="V417" s="120">
        <v>2.2000000000000001E-3</v>
      </c>
      <c r="W417" s="69">
        <f t="shared" si="32"/>
        <v>0.12100000000000001</v>
      </c>
      <c r="X417" s="106">
        <v>55</v>
      </c>
      <c r="Y417" s="72" t="str">
        <f t="shared" si="33"/>
        <v>VR_2023_2x LCD_Aero</v>
      </c>
      <c r="Z417" s="36" t="str">
        <f t="shared" si="34"/>
        <v>VR_2023_2x LCD</v>
      </c>
    </row>
    <row r="418" spans="3:26">
      <c r="C418" s="17">
        <v>410</v>
      </c>
      <c r="D418" s="109" t="s">
        <v>129</v>
      </c>
      <c r="E418" s="20" t="s">
        <v>12</v>
      </c>
      <c r="F418" s="20" t="s">
        <v>176</v>
      </c>
      <c r="G418" s="21" t="s">
        <v>73</v>
      </c>
      <c r="H418" s="21" t="s">
        <v>74</v>
      </c>
      <c r="I418" s="19" t="s">
        <v>63</v>
      </c>
      <c r="J418" s="19" t="s">
        <v>31</v>
      </c>
      <c r="K418" s="21" t="s">
        <v>51</v>
      </c>
      <c r="L418" s="33" t="str">
        <f t="shared" si="30"/>
        <v>2x SiOLED</v>
      </c>
      <c r="M418" s="21" t="s">
        <v>73</v>
      </c>
      <c r="N418" s="21"/>
      <c r="O418" s="27">
        <v>0.43</v>
      </c>
      <c r="P418" s="20">
        <v>1280</v>
      </c>
      <c r="Q418" s="20">
        <v>720</v>
      </c>
      <c r="R418" s="29">
        <f t="shared" si="31"/>
        <v>3415.3599536159668</v>
      </c>
      <c r="S418" s="20" t="s">
        <v>36</v>
      </c>
      <c r="T418" s="18">
        <v>42401</v>
      </c>
      <c r="U418" s="20">
        <v>2</v>
      </c>
      <c r="V418" s="120">
        <v>8.9099999999999995E-3</v>
      </c>
      <c r="W418" s="69">
        <f t="shared" si="32"/>
        <v>0.62369999999999992</v>
      </c>
      <c r="X418" s="106">
        <v>70</v>
      </c>
      <c r="Y418" s="72" t="str">
        <f t="shared" si="33"/>
        <v>AR_2023_2x SiOLED_Moverio</v>
      </c>
      <c r="Z418" s="36" t="str">
        <f t="shared" si="34"/>
        <v>AR_2023_2x SiOLED</v>
      </c>
    </row>
    <row r="419" spans="3:26">
      <c r="C419" s="17">
        <v>411</v>
      </c>
      <c r="D419" s="109" t="s">
        <v>129</v>
      </c>
      <c r="E419" s="20" t="s">
        <v>12</v>
      </c>
      <c r="F419" s="20" t="s">
        <v>176</v>
      </c>
      <c r="G419" s="21" t="s">
        <v>77</v>
      </c>
      <c r="H419" s="21" t="s">
        <v>131</v>
      </c>
      <c r="I419" s="19" t="s">
        <v>63</v>
      </c>
      <c r="J419" s="19" t="s">
        <v>27</v>
      </c>
      <c r="K419" s="21" t="s">
        <v>51</v>
      </c>
      <c r="L419" s="33" t="str">
        <f t="shared" si="30"/>
        <v>2x SiOLED</v>
      </c>
      <c r="M419" s="21" t="s">
        <v>116</v>
      </c>
      <c r="N419" s="21"/>
      <c r="O419" s="27">
        <v>0.49</v>
      </c>
      <c r="P419" s="20">
        <v>1920</v>
      </c>
      <c r="Q419" s="20">
        <v>1080</v>
      </c>
      <c r="R419" s="29">
        <f t="shared" si="31"/>
        <v>4495.7289185353029</v>
      </c>
      <c r="S419" s="20">
        <v>60</v>
      </c>
      <c r="T419" s="18">
        <v>44866</v>
      </c>
      <c r="U419" s="20">
        <v>2</v>
      </c>
      <c r="V419" s="120">
        <v>1.43E-2</v>
      </c>
      <c r="W419" s="69">
        <f t="shared" si="32"/>
        <v>0.71499999999999997</v>
      </c>
      <c r="X419" s="106">
        <v>50</v>
      </c>
      <c r="Y419" s="72" t="str">
        <f t="shared" si="33"/>
        <v>AR_2023_2x SiOLED_T1</v>
      </c>
      <c r="Z419" s="36" t="str">
        <f t="shared" si="34"/>
        <v>AR_2023_2x SiOLED</v>
      </c>
    </row>
    <row r="420" spans="3:26">
      <c r="C420" s="17">
        <v>412</v>
      </c>
      <c r="D420" s="109" t="s">
        <v>129</v>
      </c>
      <c r="E420" s="20" t="s">
        <v>12</v>
      </c>
      <c r="F420" s="20" t="s">
        <v>176</v>
      </c>
      <c r="G420" s="21" t="s">
        <v>77</v>
      </c>
      <c r="H420" s="21" t="s">
        <v>78</v>
      </c>
      <c r="I420" s="19" t="s">
        <v>63</v>
      </c>
      <c r="J420" s="19" t="s">
        <v>27</v>
      </c>
      <c r="K420" s="21" t="s">
        <v>51</v>
      </c>
      <c r="L420" s="33" t="str">
        <f t="shared" si="30"/>
        <v>2x SiOLED</v>
      </c>
      <c r="M420" s="21" t="s">
        <v>6</v>
      </c>
      <c r="N420" s="21"/>
      <c r="O420" s="27">
        <v>0.71</v>
      </c>
      <c r="P420" s="20">
        <v>1920</v>
      </c>
      <c r="Q420" s="20">
        <v>1080</v>
      </c>
      <c r="R420" s="29">
        <f t="shared" si="31"/>
        <v>3102.6861550454905</v>
      </c>
      <c r="S420" s="20" t="s">
        <v>36</v>
      </c>
      <c r="T420" s="18">
        <v>44348</v>
      </c>
      <c r="U420" s="20">
        <v>2</v>
      </c>
      <c r="V420" s="120">
        <v>1.4959999999999999E-3</v>
      </c>
      <c r="W420" s="69">
        <f t="shared" si="32"/>
        <v>0.11065003868159998</v>
      </c>
      <c r="X420" s="106">
        <v>73.963929599999986</v>
      </c>
      <c r="Y420" s="72" t="str">
        <f t="shared" si="33"/>
        <v>AR_2023_2x SiOLED_ThinkReality A3</v>
      </c>
      <c r="Z420" s="36" t="str">
        <f t="shared" si="34"/>
        <v>AR_2023_2x SiOLED</v>
      </c>
    </row>
    <row r="421" spans="3:26">
      <c r="C421" s="17">
        <v>413</v>
      </c>
      <c r="D421" s="109" t="s">
        <v>129</v>
      </c>
      <c r="E421" s="20" t="s">
        <v>12</v>
      </c>
      <c r="F421" s="20" t="s">
        <v>176</v>
      </c>
      <c r="G421" s="21" t="s">
        <v>65</v>
      </c>
      <c r="H421" s="21" t="s">
        <v>117</v>
      </c>
      <c r="I421" s="19" t="s">
        <v>63</v>
      </c>
      <c r="J421" s="19" t="s">
        <v>31</v>
      </c>
      <c r="K421" s="21" t="s">
        <v>67</v>
      </c>
      <c r="L421" s="33" t="str">
        <f t="shared" si="30"/>
        <v>2x LCoS</v>
      </c>
      <c r="M421" s="21" t="s">
        <v>36</v>
      </c>
      <c r="N421" s="21"/>
      <c r="O421" s="27"/>
      <c r="P421" s="20">
        <v>1440</v>
      </c>
      <c r="Q421" s="20">
        <v>1760</v>
      </c>
      <c r="R421" s="29">
        <f t="shared" si="31"/>
        <v>0</v>
      </c>
      <c r="S421" s="20" t="s">
        <v>36</v>
      </c>
      <c r="T421" s="18">
        <v>44805</v>
      </c>
      <c r="U421" s="20">
        <v>2</v>
      </c>
      <c r="V421" s="120">
        <v>2.3540000000000002E-3</v>
      </c>
      <c r="W421" s="69">
        <f t="shared" si="32"/>
        <v>0.10401717834684002</v>
      </c>
      <c r="X421" s="106">
        <v>44.187416460000001</v>
      </c>
      <c r="Y421" s="72" t="str">
        <f t="shared" si="33"/>
        <v>AR_2023_2x LCoS_ML 2</v>
      </c>
      <c r="Z421" s="36" t="str">
        <f t="shared" si="34"/>
        <v>AR_2023_2x LCoS</v>
      </c>
    </row>
    <row r="422" spans="3:26">
      <c r="C422" s="17">
        <v>414</v>
      </c>
      <c r="D422" s="109" t="s">
        <v>129</v>
      </c>
      <c r="E422" s="20" t="s">
        <v>12</v>
      </c>
      <c r="F422" s="20" t="s">
        <v>176</v>
      </c>
      <c r="G422" s="21" t="s">
        <v>132</v>
      </c>
      <c r="H422" s="21" t="s">
        <v>133</v>
      </c>
      <c r="I422" s="19" t="s">
        <v>63</v>
      </c>
      <c r="J422" s="19" t="s">
        <v>27</v>
      </c>
      <c r="K422" s="21" t="s">
        <v>51</v>
      </c>
      <c r="L422" s="33" t="str">
        <f t="shared" si="30"/>
        <v>2x SiOLED</v>
      </c>
      <c r="M422" s="21" t="s">
        <v>116</v>
      </c>
      <c r="N422" s="21"/>
      <c r="O422" s="27">
        <v>0.49</v>
      </c>
      <c r="P422" s="20">
        <v>1920</v>
      </c>
      <c r="Q422" s="20">
        <v>1080</v>
      </c>
      <c r="R422" s="29">
        <f t="shared" si="31"/>
        <v>4495.7289185353029</v>
      </c>
      <c r="S422" s="20">
        <v>75</v>
      </c>
      <c r="T422" s="18">
        <v>44501</v>
      </c>
      <c r="U422" s="20">
        <v>2</v>
      </c>
      <c r="V422" s="120">
        <v>2.4199999999999998E-3</v>
      </c>
      <c r="W422" s="69">
        <f t="shared" si="32"/>
        <v>0.121</v>
      </c>
      <c r="X422" s="106">
        <v>50</v>
      </c>
      <c r="Y422" s="72" t="str">
        <f t="shared" si="33"/>
        <v>AR_2023_2x SiOLED_Air</v>
      </c>
      <c r="Z422" s="36" t="str">
        <f t="shared" si="34"/>
        <v>AR_2023_2x SiOLED</v>
      </c>
    </row>
    <row r="423" spans="3:26">
      <c r="C423" s="17">
        <v>415</v>
      </c>
      <c r="D423" s="109" t="s">
        <v>129</v>
      </c>
      <c r="E423" s="20" t="s">
        <v>12</v>
      </c>
      <c r="F423" s="20" t="s">
        <v>176</v>
      </c>
      <c r="G423" s="21" t="s">
        <v>132</v>
      </c>
      <c r="H423" s="21" t="s">
        <v>160</v>
      </c>
      <c r="I423" s="19" t="s">
        <v>63</v>
      </c>
      <c r="J423" s="19" t="s">
        <v>27</v>
      </c>
      <c r="K423" s="21" t="s">
        <v>51</v>
      </c>
      <c r="L423" s="33" t="str">
        <f t="shared" si="30"/>
        <v>2x SiOLED</v>
      </c>
      <c r="M423" s="21" t="s">
        <v>6</v>
      </c>
      <c r="N423" s="21"/>
      <c r="O423" s="27">
        <v>0.55000000000000004</v>
      </c>
      <c r="P423" s="20">
        <v>1920</v>
      </c>
      <c r="Q423" s="20">
        <v>1080</v>
      </c>
      <c r="R423" s="29">
        <f t="shared" si="31"/>
        <v>4005.2857637859966</v>
      </c>
      <c r="S423" s="20">
        <v>120</v>
      </c>
      <c r="T423" s="18">
        <v>45017</v>
      </c>
      <c r="U423" s="20">
        <v>2</v>
      </c>
      <c r="V423" s="120">
        <v>1.5094E-2</v>
      </c>
      <c r="W423" s="69">
        <f t="shared" si="32"/>
        <v>0.83016999999999996</v>
      </c>
      <c r="X423" s="106">
        <v>55</v>
      </c>
      <c r="Y423" s="72" t="str">
        <f t="shared" si="33"/>
        <v>AR_2023_2x SiOLED_Max</v>
      </c>
      <c r="Z423" s="36" t="str">
        <f t="shared" si="34"/>
        <v>AR_2023_2x SiOLED</v>
      </c>
    </row>
    <row r="424" spans="3:26">
      <c r="C424" s="17">
        <v>416</v>
      </c>
      <c r="D424" s="109" t="s">
        <v>129</v>
      </c>
      <c r="E424" s="20" t="s">
        <v>12</v>
      </c>
      <c r="F424" s="20" t="s">
        <v>176</v>
      </c>
      <c r="G424" s="21" t="s">
        <v>135</v>
      </c>
      <c r="H424" s="21" t="s">
        <v>136</v>
      </c>
      <c r="I424" s="19" t="s">
        <v>63</v>
      </c>
      <c r="J424" s="19" t="s">
        <v>27</v>
      </c>
      <c r="K424" s="21" t="s">
        <v>51</v>
      </c>
      <c r="L424" s="33" t="str">
        <f t="shared" si="30"/>
        <v>2x SiOLED</v>
      </c>
      <c r="M424" s="21" t="s">
        <v>6</v>
      </c>
      <c r="N424" s="21"/>
      <c r="O424" s="27">
        <v>0.55000000000000004</v>
      </c>
      <c r="P424" s="20">
        <v>1920</v>
      </c>
      <c r="Q424" s="20">
        <v>1080</v>
      </c>
      <c r="R424" s="29">
        <f t="shared" si="31"/>
        <v>4005.2857637859966</v>
      </c>
      <c r="S424" s="20" t="s">
        <v>36</v>
      </c>
      <c r="T424" s="18">
        <v>44866</v>
      </c>
      <c r="U424" s="20">
        <v>2</v>
      </c>
      <c r="V424" s="120">
        <v>5.7419999999999999E-2</v>
      </c>
      <c r="W424" s="69">
        <f t="shared" si="32"/>
        <v>3.1581000000000001</v>
      </c>
      <c r="X424" s="106">
        <v>55</v>
      </c>
      <c r="Y424" s="72" t="str">
        <f t="shared" si="33"/>
        <v>AR_2023_2x SiOLED_NXTWear</v>
      </c>
      <c r="Z424" s="36" t="str">
        <f t="shared" si="34"/>
        <v>AR_2023_2x SiOLED</v>
      </c>
    </row>
    <row r="425" spans="3:26">
      <c r="C425" s="17">
        <v>417</v>
      </c>
      <c r="D425" s="109" t="s">
        <v>129</v>
      </c>
      <c r="E425" s="20" t="s">
        <v>12</v>
      </c>
      <c r="F425" s="20" t="s">
        <v>176</v>
      </c>
      <c r="G425" s="21" t="s">
        <v>68</v>
      </c>
      <c r="H425" s="21" t="s">
        <v>69</v>
      </c>
      <c r="I425" s="19" t="s">
        <v>63</v>
      </c>
      <c r="J425" s="19" t="s">
        <v>31</v>
      </c>
      <c r="K425" s="21" t="s">
        <v>70</v>
      </c>
      <c r="L425" s="33" t="str">
        <f t="shared" si="30"/>
        <v>1x DLP</v>
      </c>
      <c r="M425" s="21" t="s">
        <v>172</v>
      </c>
      <c r="N425" s="21"/>
      <c r="O425" s="27"/>
      <c r="P425" s="20">
        <v>853</v>
      </c>
      <c r="Q425" s="20">
        <v>480</v>
      </c>
      <c r="R425" s="29">
        <f t="shared" si="31"/>
        <v>0</v>
      </c>
      <c r="S425" s="20" t="s">
        <v>36</v>
      </c>
      <c r="T425" s="18">
        <v>43466</v>
      </c>
      <c r="U425" s="20">
        <v>1</v>
      </c>
      <c r="V425" s="120">
        <v>1.1E-4</v>
      </c>
      <c r="W425" s="69">
        <f t="shared" si="32"/>
        <v>8.7702415712999984E-3</v>
      </c>
      <c r="X425" s="106">
        <v>79.729468829999988</v>
      </c>
      <c r="Y425" s="72" t="str">
        <f t="shared" si="33"/>
        <v>AR_2023_1x DLP_Blade</v>
      </c>
      <c r="Z425" s="36" t="str">
        <f t="shared" si="34"/>
        <v>AR_2023_1x DLP</v>
      </c>
    </row>
    <row r="426" spans="3:26">
      <c r="C426" s="17">
        <v>418</v>
      </c>
      <c r="D426" s="109" t="s">
        <v>129</v>
      </c>
      <c r="E426" s="20" t="s">
        <v>12</v>
      </c>
      <c r="F426" s="20" t="s">
        <v>176</v>
      </c>
      <c r="G426" s="21" t="s">
        <v>68</v>
      </c>
      <c r="H426" s="21" t="s">
        <v>122</v>
      </c>
      <c r="I426" s="19" t="s">
        <v>63</v>
      </c>
      <c r="J426" s="19" t="s">
        <v>31</v>
      </c>
      <c r="K426" s="21" t="s">
        <v>120</v>
      </c>
      <c r="L426" s="33" t="str">
        <f t="shared" si="30"/>
        <v>2x MicroLED</v>
      </c>
      <c r="M426" s="21" t="s">
        <v>144</v>
      </c>
      <c r="N426" s="21"/>
      <c r="O426" s="27">
        <v>0.13</v>
      </c>
      <c r="P426" s="20">
        <v>640</v>
      </c>
      <c r="Q426" s="20">
        <v>480</v>
      </c>
      <c r="R426" s="29">
        <f t="shared" si="31"/>
        <v>6153.8461538461534</v>
      </c>
      <c r="S426" s="20" t="s">
        <v>36</v>
      </c>
      <c r="T426" s="18">
        <v>44896</v>
      </c>
      <c r="U426" s="20">
        <v>2</v>
      </c>
      <c r="V426" s="120">
        <v>4.4000000000000002E-4</v>
      </c>
      <c r="W426" s="69">
        <f t="shared" si="32"/>
        <v>3.2635306527999994E-2</v>
      </c>
      <c r="X426" s="106">
        <v>74.171151199999983</v>
      </c>
      <c r="Y426" s="72" t="str">
        <f t="shared" si="33"/>
        <v>AR_2023_2x MicroLED_Shield</v>
      </c>
      <c r="Z426" s="36" t="str">
        <f t="shared" si="34"/>
        <v>AR_2023_2x MicroLED</v>
      </c>
    </row>
    <row r="427" spans="3:26">
      <c r="C427" s="17">
        <v>419</v>
      </c>
      <c r="D427" s="109" t="s">
        <v>129</v>
      </c>
      <c r="E427" s="20" t="s">
        <v>12</v>
      </c>
      <c r="F427" s="20" t="s">
        <v>176</v>
      </c>
      <c r="G427" s="21" t="s">
        <v>97</v>
      </c>
      <c r="H427" s="21" t="s">
        <v>75</v>
      </c>
      <c r="I427" s="19" t="s">
        <v>63</v>
      </c>
      <c r="J427" s="19" t="s">
        <v>36</v>
      </c>
      <c r="K427" s="21" t="s">
        <v>67</v>
      </c>
      <c r="L427" s="33" t="str">
        <f t="shared" si="30"/>
        <v>2x LCoS</v>
      </c>
      <c r="M427" s="21" t="s">
        <v>36</v>
      </c>
      <c r="N427" s="21"/>
      <c r="O427" s="27"/>
      <c r="P427" s="20"/>
      <c r="Q427" s="20"/>
      <c r="R427" s="29">
        <f t="shared" si="31"/>
        <v>0</v>
      </c>
      <c r="S427" s="20" t="s">
        <v>36</v>
      </c>
      <c r="T427" s="18" t="s">
        <v>143</v>
      </c>
      <c r="U427" s="20">
        <v>2</v>
      </c>
      <c r="V427" s="120">
        <v>2.2000000000000001E-3</v>
      </c>
      <c r="W427" s="69">
        <f t="shared" si="32"/>
        <v>9.7212316212000008E-2</v>
      </c>
      <c r="X427" s="106">
        <v>44.187416460000001</v>
      </c>
      <c r="Y427" s="72" t="str">
        <f t="shared" si="33"/>
        <v>AR_2023_2x LCoS_LCoS glasses</v>
      </c>
      <c r="Z427" s="36" t="str">
        <f t="shared" si="34"/>
        <v>AR_2023_2x LCoS</v>
      </c>
    </row>
    <row r="428" spans="3:26">
      <c r="C428" s="17">
        <v>420</v>
      </c>
      <c r="D428" s="109" t="s">
        <v>129</v>
      </c>
      <c r="E428" s="20" t="s">
        <v>12</v>
      </c>
      <c r="F428" s="20" t="s">
        <v>176</v>
      </c>
      <c r="G428" s="21" t="s">
        <v>97</v>
      </c>
      <c r="H428" s="21" t="s">
        <v>121</v>
      </c>
      <c r="I428" s="19" t="s">
        <v>63</v>
      </c>
      <c r="J428" s="19" t="s">
        <v>36</v>
      </c>
      <c r="K428" s="21" t="s">
        <v>120</v>
      </c>
      <c r="L428" s="33" t="str">
        <f t="shared" si="30"/>
        <v>1x MicroLED</v>
      </c>
      <c r="M428" s="21" t="s">
        <v>36</v>
      </c>
      <c r="N428" s="21"/>
      <c r="O428" s="27"/>
      <c r="P428" s="20"/>
      <c r="Q428" s="20"/>
      <c r="R428" s="29">
        <f t="shared" si="31"/>
        <v>0</v>
      </c>
      <c r="S428" s="20" t="s">
        <v>36</v>
      </c>
      <c r="T428" s="18" t="s">
        <v>143</v>
      </c>
      <c r="U428" s="20">
        <v>1</v>
      </c>
      <c r="V428" s="120">
        <v>2.7500000000000002E-4</v>
      </c>
      <c r="W428" s="69">
        <f t="shared" si="32"/>
        <v>2.0397066579999998E-2</v>
      </c>
      <c r="X428" s="106">
        <v>74.171151199999983</v>
      </c>
      <c r="Y428" s="72" t="str">
        <f t="shared" si="33"/>
        <v>AR_2023_1x MicroLED_Monocular MicroLED</v>
      </c>
      <c r="Z428" s="36" t="str">
        <f t="shared" si="34"/>
        <v>AR_2023_1x MicroLED</v>
      </c>
    </row>
    <row r="429" spans="3:26">
      <c r="C429" s="17">
        <v>421</v>
      </c>
      <c r="D429" s="109" t="s">
        <v>129</v>
      </c>
      <c r="E429" s="20" t="s">
        <v>12</v>
      </c>
      <c r="F429" s="20" t="s">
        <v>176</v>
      </c>
      <c r="G429" s="21" t="s">
        <v>97</v>
      </c>
      <c r="H429" s="21" t="s">
        <v>79</v>
      </c>
      <c r="I429" s="19" t="s">
        <v>63</v>
      </c>
      <c r="J429" s="19" t="s">
        <v>36</v>
      </c>
      <c r="K429" s="21" t="s">
        <v>51</v>
      </c>
      <c r="L429" s="33" t="str">
        <f t="shared" si="30"/>
        <v>2x SiOLED</v>
      </c>
      <c r="M429" s="21" t="s">
        <v>36</v>
      </c>
      <c r="N429" s="21"/>
      <c r="O429" s="27"/>
      <c r="P429" s="20"/>
      <c r="Q429" s="20"/>
      <c r="R429" s="29">
        <f t="shared" si="31"/>
        <v>0</v>
      </c>
      <c r="S429" s="20" t="s">
        <v>36</v>
      </c>
      <c r="T429" s="18" t="s">
        <v>143</v>
      </c>
      <c r="U429" s="20">
        <v>2</v>
      </c>
      <c r="V429" s="120">
        <v>2.332E-2</v>
      </c>
      <c r="W429" s="69">
        <f t="shared" si="32"/>
        <v>1.7248388382719997</v>
      </c>
      <c r="X429" s="106">
        <v>73.963929599999986</v>
      </c>
      <c r="Y429" s="72" t="str">
        <f t="shared" si="33"/>
        <v>AR_2023_2x SiOLED_SiOLED glasses</v>
      </c>
      <c r="Z429" s="36" t="str">
        <f t="shared" si="34"/>
        <v>AR_2023_2x SiOLED</v>
      </c>
    </row>
    <row r="430" spans="3:26">
      <c r="C430" s="17">
        <v>422</v>
      </c>
      <c r="D430" s="109" t="s">
        <v>129</v>
      </c>
      <c r="E430" s="20" t="s">
        <v>12</v>
      </c>
      <c r="F430" s="20" t="s">
        <v>176</v>
      </c>
      <c r="G430" s="21" t="s">
        <v>186</v>
      </c>
      <c r="H430" s="21" t="s">
        <v>133</v>
      </c>
      <c r="I430" s="19" t="s">
        <v>63</v>
      </c>
      <c r="J430" s="19" t="s">
        <v>27</v>
      </c>
      <c r="K430" s="21" t="s">
        <v>51</v>
      </c>
      <c r="L430" s="33" t="str">
        <f t="shared" si="30"/>
        <v>2x SiOLED</v>
      </c>
      <c r="M430" s="21" t="s">
        <v>145</v>
      </c>
      <c r="N430" s="21"/>
      <c r="O430" s="27">
        <v>0.71</v>
      </c>
      <c r="P430" s="20">
        <v>1920</v>
      </c>
      <c r="Q430" s="20">
        <v>1080</v>
      </c>
      <c r="R430" s="29">
        <f t="shared" si="31"/>
        <v>3102.6861550454905</v>
      </c>
      <c r="S430" s="20">
        <v>90</v>
      </c>
      <c r="T430" s="18">
        <v>44470</v>
      </c>
      <c r="U430" s="20">
        <v>2</v>
      </c>
      <c r="V430" s="120">
        <v>2.64E-2</v>
      </c>
      <c r="W430" s="69">
        <f t="shared" si="32"/>
        <v>1.9526477414399996</v>
      </c>
      <c r="X430" s="106">
        <v>73.963929599999986</v>
      </c>
      <c r="Y430" s="72" t="str">
        <f t="shared" si="33"/>
        <v>AR_2023_2x SiOLED_Air</v>
      </c>
      <c r="Z430" s="36" t="str">
        <f t="shared" si="34"/>
        <v>AR_2023_2x SiOLED</v>
      </c>
    </row>
    <row r="431" spans="3:26">
      <c r="C431" s="17">
        <v>423</v>
      </c>
      <c r="D431" s="109" t="s">
        <v>129</v>
      </c>
      <c r="E431" s="20" t="s">
        <v>12</v>
      </c>
      <c r="F431" s="20" t="s">
        <v>176</v>
      </c>
      <c r="G431" s="21" t="s">
        <v>186</v>
      </c>
      <c r="H431" s="21" t="s">
        <v>188</v>
      </c>
      <c r="I431" s="19" t="s">
        <v>63</v>
      </c>
      <c r="J431" s="19" t="s">
        <v>27</v>
      </c>
      <c r="K431" s="21" t="s">
        <v>51</v>
      </c>
      <c r="L431" s="33" t="str">
        <f t="shared" si="30"/>
        <v>2x SiOLED</v>
      </c>
      <c r="M431" s="21" t="s">
        <v>6</v>
      </c>
      <c r="N431" s="21"/>
      <c r="O431" s="27">
        <v>0.55000000000000004</v>
      </c>
      <c r="P431" s="20">
        <v>1920</v>
      </c>
      <c r="Q431" s="20">
        <v>1080</v>
      </c>
      <c r="R431" s="29">
        <f t="shared" si="31"/>
        <v>4005.2857637859966</v>
      </c>
      <c r="S431" s="20">
        <v>120</v>
      </c>
      <c r="T431" s="18">
        <v>45170</v>
      </c>
      <c r="U431" s="20">
        <v>2</v>
      </c>
      <c r="V431" s="120">
        <v>8.7999999999999995E-2</v>
      </c>
      <c r="W431" s="69">
        <f t="shared" si="32"/>
        <v>4.84</v>
      </c>
      <c r="X431" s="106">
        <v>55</v>
      </c>
      <c r="Y431" s="72" t="str">
        <f t="shared" si="33"/>
        <v>AR_2023_2x SiOLED_Air 2</v>
      </c>
      <c r="Z431" s="36" t="str">
        <f t="shared" si="34"/>
        <v>AR_2023_2x SiOLED</v>
      </c>
    </row>
    <row r="432" spans="3:26">
      <c r="C432" s="17">
        <v>424</v>
      </c>
      <c r="D432" s="109" t="s">
        <v>129</v>
      </c>
      <c r="E432" s="20" t="s">
        <v>12</v>
      </c>
      <c r="F432" s="20" t="s">
        <v>176</v>
      </c>
      <c r="G432" s="21" t="s">
        <v>191</v>
      </c>
      <c r="H432" s="21" t="s">
        <v>192</v>
      </c>
      <c r="I432" s="19" t="s">
        <v>63</v>
      </c>
      <c r="J432" s="19" t="s">
        <v>31</v>
      </c>
      <c r="K432" s="21" t="s">
        <v>120</v>
      </c>
      <c r="L432" s="33" t="str">
        <f t="shared" si="30"/>
        <v>1x MicroLED</v>
      </c>
      <c r="M432" s="21" t="s">
        <v>144</v>
      </c>
      <c r="N432" s="21"/>
      <c r="O432" s="27">
        <v>0.13</v>
      </c>
      <c r="P432" s="20">
        <v>640</v>
      </c>
      <c r="Q432" s="20">
        <v>480</v>
      </c>
      <c r="R432" s="29">
        <f t="shared" si="31"/>
        <v>6153.8461538461534</v>
      </c>
      <c r="S432" s="20" t="s">
        <v>36</v>
      </c>
      <c r="T432" s="18">
        <v>45170</v>
      </c>
      <c r="U432" s="20">
        <v>1</v>
      </c>
      <c r="V432" s="120">
        <v>3.3E-3</v>
      </c>
      <c r="W432" s="69">
        <f t="shared" si="32"/>
        <v>0.24476479895999995</v>
      </c>
      <c r="X432" s="106">
        <v>74.171151199999983</v>
      </c>
      <c r="Y432" s="72" t="str">
        <f t="shared" si="33"/>
        <v>AR_2023_1x MicroLED_Go</v>
      </c>
      <c r="Z432" s="36" t="str">
        <f t="shared" si="34"/>
        <v>AR_2023_1x MicroLED</v>
      </c>
    </row>
    <row r="433" spans="3:26">
      <c r="C433" s="17">
        <v>425</v>
      </c>
      <c r="D433" s="109" t="s">
        <v>26</v>
      </c>
      <c r="E433" s="20" t="s">
        <v>12</v>
      </c>
      <c r="F433" s="20" t="s">
        <v>177</v>
      </c>
      <c r="G433" s="21" t="s">
        <v>141</v>
      </c>
      <c r="H433" s="21" t="s">
        <v>169</v>
      </c>
      <c r="I433" s="19" t="s">
        <v>44</v>
      </c>
      <c r="J433" s="19" t="s">
        <v>31</v>
      </c>
      <c r="K433" s="21" t="s">
        <v>51</v>
      </c>
      <c r="L433" s="33" t="str">
        <f t="shared" si="30"/>
        <v>2x SiOLED</v>
      </c>
      <c r="M433" s="21" t="s">
        <v>6</v>
      </c>
      <c r="N433" s="21"/>
      <c r="O433" s="27">
        <v>1.42</v>
      </c>
      <c r="P433" s="20">
        <v>3660</v>
      </c>
      <c r="Q433" s="20">
        <v>3200</v>
      </c>
      <c r="R433" s="29">
        <f t="shared" si="31"/>
        <v>3423.6942337059722</v>
      </c>
      <c r="S433" s="20">
        <v>100</v>
      </c>
      <c r="T433" s="18">
        <v>45323</v>
      </c>
      <c r="U433" s="20">
        <v>2</v>
      </c>
      <c r="V433" s="120">
        <v>0.02</v>
      </c>
      <c r="W433" s="69">
        <f t="shared" si="32"/>
        <v>6</v>
      </c>
      <c r="X433" s="106">
        <v>300</v>
      </c>
      <c r="Y433" s="72" t="str">
        <f t="shared" si="33"/>
        <v>VR_2023_2x SiOLED_Vision Pro</v>
      </c>
      <c r="Z433" s="36" t="str">
        <f t="shared" si="34"/>
        <v>VR_2023_2x SiOLED</v>
      </c>
    </row>
    <row r="434" spans="3:26">
      <c r="C434" s="17">
        <v>426</v>
      </c>
      <c r="D434" s="109" t="s">
        <v>26</v>
      </c>
      <c r="E434" s="20" t="s">
        <v>12</v>
      </c>
      <c r="F434" s="20" t="s">
        <v>177</v>
      </c>
      <c r="G434" s="21" t="s">
        <v>164</v>
      </c>
      <c r="H434" s="21" t="s">
        <v>165</v>
      </c>
      <c r="I434" s="19" t="s">
        <v>26</v>
      </c>
      <c r="J434" s="19" t="s">
        <v>27</v>
      </c>
      <c r="K434" s="21" t="s">
        <v>51</v>
      </c>
      <c r="L434" s="33" t="str">
        <f t="shared" si="30"/>
        <v>2x SiOLED</v>
      </c>
      <c r="M434" s="21" t="s">
        <v>116</v>
      </c>
      <c r="N434" s="21"/>
      <c r="O434" s="27">
        <v>1.03</v>
      </c>
      <c r="P434" s="20">
        <v>2560</v>
      </c>
      <c r="Q434" s="20">
        <v>2560</v>
      </c>
      <c r="R434" s="29">
        <f t="shared" si="31"/>
        <v>3514.9385627913821</v>
      </c>
      <c r="S434" s="20">
        <v>90</v>
      </c>
      <c r="T434" s="18"/>
      <c r="U434" s="20">
        <v>2</v>
      </c>
      <c r="V434" s="120">
        <v>1.6500000000000001E-2</v>
      </c>
      <c r="W434" s="69">
        <f t="shared" si="32"/>
        <v>2.31</v>
      </c>
      <c r="X434" s="106">
        <v>140</v>
      </c>
      <c r="Y434" s="72" t="str">
        <f t="shared" si="33"/>
        <v>VR_2023_2x SiOLED_Beyond</v>
      </c>
      <c r="Z434" s="36" t="str">
        <f t="shared" si="34"/>
        <v>VR_2023_2x SiOLED</v>
      </c>
    </row>
    <row r="435" spans="3:26">
      <c r="C435" s="17">
        <v>427</v>
      </c>
      <c r="D435" s="109" t="s">
        <v>26</v>
      </c>
      <c r="E435" s="20" t="s">
        <v>12</v>
      </c>
      <c r="F435" s="20" t="s">
        <v>177</v>
      </c>
      <c r="G435" s="21" t="s">
        <v>106</v>
      </c>
      <c r="H435" s="21" t="s">
        <v>107</v>
      </c>
      <c r="I435" s="19" t="s">
        <v>26</v>
      </c>
      <c r="J435" s="19" t="s">
        <v>31</v>
      </c>
      <c r="K435" s="21" t="s">
        <v>15</v>
      </c>
      <c r="L435" s="33" t="str">
        <f t="shared" si="30"/>
        <v>1x LCD</v>
      </c>
      <c r="M435" s="21" t="s">
        <v>36</v>
      </c>
      <c r="N435" s="21" t="s">
        <v>143</v>
      </c>
      <c r="O435" s="27"/>
      <c r="P435" s="20"/>
      <c r="Q435" s="20"/>
      <c r="R435" s="29">
        <f t="shared" si="31"/>
        <v>0</v>
      </c>
      <c r="S435" s="20" t="s">
        <v>36</v>
      </c>
      <c r="T435" s="18">
        <v>43770</v>
      </c>
      <c r="U435" s="20">
        <v>1</v>
      </c>
      <c r="V435" s="120">
        <v>1.1396000000000002E-2</v>
      </c>
      <c r="W435" s="69">
        <f t="shared" si="32"/>
        <v>0.63067845308159998</v>
      </c>
      <c r="X435" s="106">
        <v>55.342089599999987</v>
      </c>
      <c r="Y435" s="72" t="str">
        <f t="shared" si="33"/>
        <v>VR_2023_1x LCD_P1 family</v>
      </c>
      <c r="Z435" s="36" t="str">
        <f t="shared" si="34"/>
        <v>VR_2023_1x LCD</v>
      </c>
    </row>
    <row r="436" spans="3:26">
      <c r="C436" s="17">
        <v>428</v>
      </c>
      <c r="D436" s="109" t="s">
        <v>26</v>
      </c>
      <c r="E436" s="20" t="s">
        <v>12</v>
      </c>
      <c r="F436" s="20" t="s">
        <v>177</v>
      </c>
      <c r="G436" s="21" t="s">
        <v>34</v>
      </c>
      <c r="H436" s="21" t="s">
        <v>37</v>
      </c>
      <c r="I436" s="19" t="s">
        <v>26</v>
      </c>
      <c r="J436" s="19" t="s">
        <v>27</v>
      </c>
      <c r="K436" s="21" t="s">
        <v>15</v>
      </c>
      <c r="L436" s="33" t="str">
        <f t="shared" si="30"/>
        <v>2x LCD</v>
      </c>
      <c r="M436" s="21" t="s">
        <v>36</v>
      </c>
      <c r="N436" s="21" t="s">
        <v>143</v>
      </c>
      <c r="O436" s="27">
        <v>2.89</v>
      </c>
      <c r="P436" s="20">
        <v>2160</v>
      </c>
      <c r="Q436" s="20">
        <v>2160</v>
      </c>
      <c r="R436" s="29">
        <f t="shared" si="31"/>
        <v>1056.990067379199</v>
      </c>
      <c r="S436" s="20">
        <v>90</v>
      </c>
      <c r="T436" s="18">
        <v>44136</v>
      </c>
      <c r="U436" s="20">
        <v>2</v>
      </c>
      <c r="V436" s="120">
        <v>4.4000000000000002E-4</v>
      </c>
      <c r="W436" s="69">
        <f t="shared" si="32"/>
        <v>1.6233679616000002E-2</v>
      </c>
      <c r="X436" s="106">
        <v>36.894726400000003</v>
      </c>
      <c r="Y436" s="72" t="str">
        <f t="shared" si="33"/>
        <v>VR_2023_2x LCD_Reverb G2</v>
      </c>
      <c r="Z436" s="36" t="str">
        <f t="shared" si="34"/>
        <v>VR_2023_2x LCD</v>
      </c>
    </row>
    <row r="437" spans="3:26">
      <c r="C437" s="17">
        <v>429</v>
      </c>
      <c r="D437" s="109" t="s">
        <v>26</v>
      </c>
      <c r="E437" s="20" t="s">
        <v>12</v>
      </c>
      <c r="F437" s="20" t="s">
        <v>177</v>
      </c>
      <c r="G437" s="21" t="s">
        <v>41</v>
      </c>
      <c r="H437" s="21" t="s">
        <v>178</v>
      </c>
      <c r="I437" s="19" t="s">
        <v>26</v>
      </c>
      <c r="J437" s="19" t="s">
        <v>31</v>
      </c>
      <c r="K437" s="21" t="s">
        <v>15</v>
      </c>
      <c r="L437" s="33" t="str">
        <f t="shared" si="30"/>
        <v>2x LCD</v>
      </c>
      <c r="M437" s="21" t="s">
        <v>2</v>
      </c>
      <c r="N437" s="21" t="s">
        <v>143</v>
      </c>
      <c r="O437" s="27"/>
      <c r="P437" s="20"/>
      <c r="Q437" s="20"/>
      <c r="R437" s="29">
        <f t="shared" si="31"/>
        <v>0</v>
      </c>
      <c r="S437" s="20" t="s">
        <v>36</v>
      </c>
      <c r="T437" s="18">
        <v>43739</v>
      </c>
      <c r="U437" s="20">
        <v>2</v>
      </c>
      <c r="V437" s="120">
        <v>9.4600000000000014E-3</v>
      </c>
      <c r="W437" s="69">
        <f t="shared" si="32"/>
        <v>0.34902411174400011</v>
      </c>
      <c r="X437" s="106">
        <v>36.894726400000003</v>
      </c>
      <c r="Y437" s="72" t="str">
        <f t="shared" si="33"/>
        <v>VR_2023_2x LCD_Vive LCD headsets</v>
      </c>
      <c r="Z437" s="36" t="str">
        <f t="shared" si="34"/>
        <v>VR_2023_2x LCD</v>
      </c>
    </row>
    <row r="438" spans="3:26">
      <c r="C438" s="17">
        <v>430</v>
      </c>
      <c r="D438" s="109" t="s">
        <v>26</v>
      </c>
      <c r="E438" s="20" t="s">
        <v>12</v>
      </c>
      <c r="F438" s="20" t="s">
        <v>177</v>
      </c>
      <c r="G438" s="21" t="s">
        <v>77</v>
      </c>
      <c r="H438" s="21" t="s">
        <v>163</v>
      </c>
      <c r="I438" s="19" t="s">
        <v>44</v>
      </c>
      <c r="J438" s="19" t="s">
        <v>31</v>
      </c>
      <c r="K438" s="21" t="s">
        <v>15</v>
      </c>
      <c r="L438" s="33" t="str">
        <f t="shared" si="30"/>
        <v>2x LCD</v>
      </c>
      <c r="M438" s="21" t="s">
        <v>36</v>
      </c>
      <c r="N438" s="21"/>
      <c r="O438" s="27"/>
      <c r="P438" s="20"/>
      <c r="Q438" s="20"/>
      <c r="R438" s="29">
        <f t="shared" si="31"/>
        <v>0</v>
      </c>
      <c r="S438" s="20" t="s">
        <v>36</v>
      </c>
      <c r="T438" s="18">
        <v>45078</v>
      </c>
      <c r="U438" s="20">
        <v>2</v>
      </c>
      <c r="V438" s="120">
        <v>8.8000000000000005E-3</v>
      </c>
      <c r="W438" s="69">
        <f t="shared" si="32"/>
        <v>0.32467359232000004</v>
      </c>
      <c r="X438" s="106">
        <v>36.894726400000003</v>
      </c>
      <c r="Y438" s="72" t="str">
        <f t="shared" si="33"/>
        <v>VR_2023_2x LCD_ThinkReality VRX</v>
      </c>
      <c r="Z438" s="36" t="str">
        <f t="shared" si="34"/>
        <v>VR_2023_2x LCD</v>
      </c>
    </row>
    <row r="439" spans="3:26">
      <c r="C439" s="17">
        <v>431</v>
      </c>
      <c r="D439" s="109" t="s">
        <v>26</v>
      </c>
      <c r="E439" s="20" t="s">
        <v>12</v>
      </c>
      <c r="F439" s="20" t="s">
        <v>177</v>
      </c>
      <c r="G439" s="21" t="s">
        <v>112</v>
      </c>
      <c r="H439" s="21" t="s">
        <v>32</v>
      </c>
      <c r="I439" s="19" t="s">
        <v>26</v>
      </c>
      <c r="J439" s="19" t="s">
        <v>31</v>
      </c>
      <c r="K439" s="21" t="s">
        <v>15</v>
      </c>
      <c r="L439" s="33" t="str">
        <f t="shared" si="30"/>
        <v>1x LCD</v>
      </c>
      <c r="M439" s="21" t="s">
        <v>2</v>
      </c>
      <c r="N439" s="21" t="s">
        <v>166</v>
      </c>
      <c r="O439" s="27">
        <v>5.5</v>
      </c>
      <c r="P439" s="20">
        <v>3840</v>
      </c>
      <c r="Q439" s="20">
        <v>1832</v>
      </c>
      <c r="R439" s="29">
        <f t="shared" si="31"/>
        <v>773.56797048396322</v>
      </c>
      <c r="S439" s="20">
        <v>90</v>
      </c>
      <c r="T439" s="18">
        <v>44105</v>
      </c>
      <c r="U439" s="20">
        <v>1</v>
      </c>
      <c r="V439" s="120">
        <v>0.71499999999999997</v>
      </c>
      <c r="W439" s="69">
        <f t="shared" si="32"/>
        <v>39.569594063999986</v>
      </c>
      <c r="X439" s="106">
        <v>55.342089599999987</v>
      </c>
      <c r="Y439" s="72" t="str">
        <f t="shared" si="33"/>
        <v>VR_2023_1x LCD_Quest 2</v>
      </c>
      <c r="Z439" s="36" t="str">
        <f t="shared" si="34"/>
        <v>VR_2023_1x LCD</v>
      </c>
    </row>
    <row r="440" spans="3:26">
      <c r="C440" s="17">
        <v>432</v>
      </c>
      <c r="D440" s="109" t="s">
        <v>26</v>
      </c>
      <c r="E440" s="20" t="s">
        <v>12</v>
      </c>
      <c r="F440" s="20" t="s">
        <v>177</v>
      </c>
      <c r="G440" s="21" t="s">
        <v>112</v>
      </c>
      <c r="H440" s="21" t="s">
        <v>137</v>
      </c>
      <c r="I440" s="19" t="s">
        <v>26</v>
      </c>
      <c r="J440" s="19" t="s">
        <v>31</v>
      </c>
      <c r="K440" s="21" t="s">
        <v>15</v>
      </c>
      <c r="L440" s="33" t="str">
        <f t="shared" si="30"/>
        <v>2x LCD</v>
      </c>
      <c r="M440" s="21" t="s">
        <v>4</v>
      </c>
      <c r="N440" s="21" t="s">
        <v>2</v>
      </c>
      <c r="O440" s="27"/>
      <c r="P440" s="20"/>
      <c r="Q440" s="20"/>
      <c r="R440" s="29">
        <f t="shared" si="31"/>
        <v>0</v>
      </c>
      <c r="S440" s="20"/>
      <c r="T440" s="18">
        <v>45200</v>
      </c>
      <c r="U440" s="20">
        <v>2</v>
      </c>
      <c r="V440" s="120">
        <v>3.41</v>
      </c>
      <c r="W440" s="69">
        <f t="shared" si="32"/>
        <v>125.81101702400002</v>
      </c>
      <c r="X440" s="106">
        <v>36.894726400000003</v>
      </c>
      <c r="Y440" s="72" t="str">
        <f t="shared" si="33"/>
        <v>VR_2023_2x LCD_Quest 3</v>
      </c>
      <c r="Z440" s="36" t="str">
        <f t="shared" si="34"/>
        <v>VR_2023_2x LCD</v>
      </c>
    </row>
    <row r="441" spans="3:26">
      <c r="C441" s="17">
        <v>433</v>
      </c>
      <c r="D441" s="109" t="s">
        <v>26</v>
      </c>
      <c r="E441" s="20" t="s">
        <v>12</v>
      </c>
      <c r="F441" s="20" t="s">
        <v>177</v>
      </c>
      <c r="G441" s="21" t="s">
        <v>112</v>
      </c>
      <c r="H441" s="21" t="s">
        <v>113</v>
      </c>
      <c r="I441" s="19" t="s">
        <v>44</v>
      </c>
      <c r="J441" s="19" t="s">
        <v>31</v>
      </c>
      <c r="K441" s="21" t="s">
        <v>15</v>
      </c>
      <c r="L441" s="33" t="str">
        <f t="shared" si="30"/>
        <v>2x LCD</v>
      </c>
      <c r="M441" s="21" t="s">
        <v>145</v>
      </c>
      <c r="N441" s="21" t="s">
        <v>2</v>
      </c>
      <c r="O441" s="27">
        <v>2.5</v>
      </c>
      <c r="P441" s="20">
        <v>1920</v>
      </c>
      <c r="Q441" s="20">
        <v>1800</v>
      </c>
      <c r="R441" s="29">
        <f t="shared" si="31"/>
        <v>1052.7221855741429</v>
      </c>
      <c r="S441" s="20">
        <v>90</v>
      </c>
      <c r="T441" s="18">
        <v>44835</v>
      </c>
      <c r="U441" s="20">
        <v>2</v>
      </c>
      <c r="V441" s="120">
        <v>6.6E-4</v>
      </c>
      <c r="W441" s="69">
        <f t="shared" si="32"/>
        <v>2.9700000000000001E-2</v>
      </c>
      <c r="X441" s="106">
        <v>45</v>
      </c>
      <c r="Y441" s="72" t="str">
        <f t="shared" si="33"/>
        <v>VR_2023_2x LCD_Quest Pro</v>
      </c>
      <c r="Z441" s="36" t="str">
        <f t="shared" si="34"/>
        <v>VR_2023_2x LCD</v>
      </c>
    </row>
    <row r="442" spans="3:26">
      <c r="C442" s="17">
        <v>434</v>
      </c>
      <c r="D442" s="109" t="s">
        <v>26</v>
      </c>
      <c r="E442" s="20" t="s">
        <v>12</v>
      </c>
      <c r="F442" s="20" t="s">
        <v>177</v>
      </c>
      <c r="G442" s="21" t="s">
        <v>110</v>
      </c>
      <c r="H442" s="21" t="s">
        <v>162</v>
      </c>
      <c r="I442" s="19" t="s">
        <v>26</v>
      </c>
      <c r="J442" s="19" t="s">
        <v>31</v>
      </c>
      <c r="K442" s="21" t="s">
        <v>15</v>
      </c>
      <c r="L442" s="33" t="str">
        <f t="shared" si="30"/>
        <v>1x LCD</v>
      </c>
      <c r="M442" s="21" t="s">
        <v>2</v>
      </c>
      <c r="N442" s="21" t="s">
        <v>146</v>
      </c>
      <c r="O442" s="27">
        <v>5.5</v>
      </c>
      <c r="P442" s="20">
        <v>3840</v>
      </c>
      <c r="Q442" s="20">
        <v>1832</v>
      </c>
      <c r="R442" s="29">
        <f t="shared" si="31"/>
        <v>773.56797048396322</v>
      </c>
      <c r="S442" s="20">
        <v>90</v>
      </c>
      <c r="T442" s="18">
        <v>44317</v>
      </c>
      <c r="U442" s="20">
        <v>1</v>
      </c>
      <c r="V442" s="120">
        <v>7.6999999999999999E-2</v>
      </c>
      <c r="W442" s="69">
        <f t="shared" si="32"/>
        <v>4.2613408991999986</v>
      </c>
      <c r="X442" s="106">
        <v>55.342089599999987</v>
      </c>
      <c r="Y442" s="72" t="str">
        <f t="shared" si="33"/>
        <v>VR_2023_1x LCD_Neo 3 / G3</v>
      </c>
      <c r="Z442" s="36" t="str">
        <f t="shared" si="34"/>
        <v>VR_2023_1x LCD</v>
      </c>
    </row>
    <row r="443" spans="3:26">
      <c r="C443" s="17">
        <v>435</v>
      </c>
      <c r="D443" s="109" t="s">
        <v>26</v>
      </c>
      <c r="E443" s="20" t="s">
        <v>12</v>
      </c>
      <c r="F443" s="20" t="s">
        <v>177</v>
      </c>
      <c r="G443" s="21" t="s">
        <v>110</v>
      </c>
      <c r="H443" s="21" t="s">
        <v>134</v>
      </c>
      <c r="I443" s="19" t="s">
        <v>26</v>
      </c>
      <c r="J443" s="19" t="s">
        <v>31</v>
      </c>
      <c r="K443" s="21" t="s">
        <v>15</v>
      </c>
      <c r="L443" s="33" t="str">
        <f t="shared" si="30"/>
        <v>2x LCD</v>
      </c>
      <c r="M443" s="21" t="s">
        <v>146</v>
      </c>
      <c r="N443" s="21"/>
      <c r="O443" s="27">
        <v>2.56</v>
      </c>
      <c r="P443" s="20">
        <v>2160</v>
      </c>
      <c r="Q443" s="20">
        <v>2160</v>
      </c>
      <c r="R443" s="29">
        <f t="shared" si="31"/>
        <v>1193.242693252299</v>
      </c>
      <c r="S443" s="20">
        <v>90</v>
      </c>
      <c r="T443" s="18">
        <v>44805</v>
      </c>
      <c r="U443" s="20">
        <v>2</v>
      </c>
      <c r="V443" s="120">
        <v>0.13639999999999999</v>
      </c>
      <c r="W443" s="69">
        <f t="shared" si="32"/>
        <v>5.0324406809600006</v>
      </c>
      <c r="X443" s="106">
        <v>36.894726400000003</v>
      </c>
      <c r="Y443" s="72" t="str">
        <f t="shared" si="33"/>
        <v>VR_2023_2x LCD_Pico 4</v>
      </c>
      <c r="Z443" s="36" t="str">
        <f t="shared" si="34"/>
        <v>VR_2023_2x LCD</v>
      </c>
    </row>
    <row r="444" spans="3:26">
      <c r="C444" s="17">
        <v>436</v>
      </c>
      <c r="D444" s="109" t="s">
        <v>26</v>
      </c>
      <c r="E444" s="20" t="s">
        <v>12</v>
      </c>
      <c r="F444" s="20" t="s">
        <v>177</v>
      </c>
      <c r="G444" s="21" t="s">
        <v>108</v>
      </c>
      <c r="H444" s="21" t="s">
        <v>109</v>
      </c>
      <c r="I444" s="19" t="s">
        <v>26</v>
      </c>
      <c r="J444" s="19" t="s">
        <v>27</v>
      </c>
      <c r="K444" s="21" t="s">
        <v>15</v>
      </c>
      <c r="L444" s="33" t="str">
        <f t="shared" si="30"/>
        <v>2x LCD</v>
      </c>
      <c r="M444" s="21" t="s">
        <v>145</v>
      </c>
      <c r="N444" s="21" t="s">
        <v>146</v>
      </c>
      <c r="O444" s="27"/>
      <c r="P444" s="20"/>
      <c r="Q444" s="20"/>
      <c r="R444" s="29">
        <f t="shared" si="31"/>
        <v>0</v>
      </c>
      <c r="S444" s="20" t="s">
        <v>36</v>
      </c>
      <c r="T444" s="18" t="s">
        <v>143</v>
      </c>
      <c r="U444" s="20">
        <v>2</v>
      </c>
      <c r="V444" s="120">
        <v>3.7400000000000003E-3</v>
      </c>
      <c r="W444" s="69">
        <f t="shared" si="32"/>
        <v>0.13798627673600003</v>
      </c>
      <c r="X444" s="106">
        <v>36.894726400000003</v>
      </c>
      <c r="Y444" s="72" t="str">
        <f t="shared" si="33"/>
        <v>VR_2023_2x LCD_Pimax VR</v>
      </c>
      <c r="Z444" s="36" t="str">
        <f t="shared" si="34"/>
        <v>VR_2023_2x LCD</v>
      </c>
    </row>
    <row r="445" spans="3:26">
      <c r="C445" s="17">
        <v>437</v>
      </c>
      <c r="D445" s="109" t="s">
        <v>26</v>
      </c>
      <c r="E445" s="20" t="s">
        <v>12</v>
      </c>
      <c r="F445" s="20" t="s">
        <v>177</v>
      </c>
      <c r="G445" s="21" t="s">
        <v>139</v>
      </c>
      <c r="H445" s="21" t="s">
        <v>140</v>
      </c>
      <c r="I445" s="19" t="s">
        <v>26</v>
      </c>
      <c r="J445" s="19" t="s">
        <v>27</v>
      </c>
      <c r="K445" s="21" t="s">
        <v>51</v>
      </c>
      <c r="L445" s="33" t="str">
        <f t="shared" si="30"/>
        <v>2x SiOLED</v>
      </c>
      <c r="M445" s="21" t="s">
        <v>171</v>
      </c>
      <c r="N445" s="21"/>
      <c r="O445" s="27">
        <v>1.3</v>
      </c>
      <c r="P445" s="20">
        <v>2560</v>
      </c>
      <c r="Q445" s="20">
        <v>2560</v>
      </c>
      <c r="R445" s="29">
        <f t="shared" si="31"/>
        <v>2784.9128612885565</v>
      </c>
      <c r="S445" s="20">
        <v>120</v>
      </c>
      <c r="T445" s="18"/>
      <c r="U445" s="20">
        <v>2</v>
      </c>
      <c r="V445" s="120">
        <v>4.4000000000000003E-3</v>
      </c>
      <c r="W445" s="69">
        <f t="shared" si="32"/>
        <v>0.70567200000000008</v>
      </c>
      <c r="X445" s="106">
        <v>160.38</v>
      </c>
      <c r="Y445" s="72" t="str">
        <f t="shared" si="33"/>
        <v>VR_2023_2x SiOLED_MeganeX</v>
      </c>
      <c r="Z445" s="36" t="str">
        <f t="shared" si="34"/>
        <v>VR_2023_2x SiOLED</v>
      </c>
    </row>
    <row r="446" spans="3:26">
      <c r="C446" s="17">
        <v>438</v>
      </c>
      <c r="D446" s="109" t="s">
        <v>26</v>
      </c>
      <c r="E446" s="20" t="s">
        <v>12</v>
      </c>
      <c r="F446" s="20" t="s">
        <v>177</v>
      </c>
      <c r="G446" s="21" t="s">
        <v>6</v>
      </c>
      <c r="H446" s="21" t="s">
        <v>126</v>
      </c>
      <c r="I446" s="19" t="s">
        <v>26</v>
      </c>
      <c r="J446" s="19" t="s">
        <v>27</v>
      </c>
      <c r="K446" s="21" t="s">
        <v>28</v>
      </c>
      <c r="L446" s="33" t="str">
        <f t="shared" si="30"/>
        <v>2x AMOLED</v>
      </c>
      <c r="M446" s="21" t="s">
        <v>3</v>
      </c>
      <c r="N446" s="21"/>
      <c r="O446" s="27">
        <v>3.36</v>
      </c>
      <c r="P446" s="20">
        <v>2040</v>
      </c>
      <c r="Q446" s="20">
        <v>2000</v>
      </c>
      <c r="R446" s="29">
        <f t="shared" si="31"/>
        <v>850.25339693662363</v>
      </c>
      <c r="S446" s="20">
        <v>120</v>
      </c>
      <c r="T446" s="18">
        <v>44958</v>
      </c>
      <c r="U446" s="20">
        <v>2</v>
      </c>
      <c r="V446" s="120">
        <v>0.6</v>
      </c>
      <c r="W446" s="69">
        <f t="shared" si="32"/>
        <v>28.235759999999996</v>
      </c>
      <c r="X446" s="106">
        <v>47.059599999999996</v>
      </c>
      <c r="Y446" s="72" t="str">
        <f t="shared" si="33"/>
        <v>VR_2023_2x AMOLED_PlayStation VR2</v>
      </c>
      <c r="Z446" s="36" t="str">
        <f t="shared" si="34"/>
        <v>VR_2023_2x AMOLED</v>
      </c>
    </row>
    <row r="447" spans="3:26">
      <c r="C447" s="17">
        <v>439</v>
      </c>
      <c r="D447" s="109" t="s">
        <v>26</v>
      </c>
      <c r="E447" s="20" t="s">
        <v>12</v>
      </c>
      <c r="F447" s="20" t="s">
        <v>177</v>
      </c>
      <c r="G447" s="21" t="s">
        <v>97</v>
      </c>
      <c r="H447" s="21" t="s">
        <v>111</v>
      </c>
      <c r="I447" s="19" t="s">
        <v>26</v>
      </c>
      <c r="J447" s="19" t="s">
        <v>36</v>
      </c>
      <c r="K447" s="21" t="s">
        <v>15</v>
      </c>
      <c r="L447" s="33" t="str">
        <f t="shared" si="30"/>
        <v>2x LCD</v>
      </c>
      <c r="M447" s="21" t="s">
        <v>36</v>
      </c>
      <c r="N447" s="21" t="s">
        <v>143</v>
      </c>
      <c r="O447" s="27"/>
      <c r="P447" s="20"/>
      <c r="Q447" s="20"/>
      <c r="R447" s="29">
        <f t="shared" si="31"/>
        <v>0</v>
      </c>
      <c r="S447" s="20" t="s">
        <v>36</v>
      </c>
      <c r="T447" s="18" t="s">
        <v>143</v>
      </c>
      <c r="U447" s="20">
        <v>2</v>
      </c>
      <c r="V447" s="120">
        <v>1.232E-3</v>
      </c>
      <c r="W447" s="69">
        <f t="shared" si="32"/>
        <v>4.5454302924800002E-2</v>
      </c>
      <c r="X447" s="106">
        <v>36.894726400000003</v>
      </c>
      <c r="Y447" s="72" t="str">
        <f t="shared" si="33"/>
        <v>VR_2023_2x LCD_Dual LCD VR headset</v>
      </c>
      <c r="Z447" s="36" t="str">
        <f t="shared" si="34"/>
        <v>VR_2023_2x LCD</v>
      </c>
    </row>
    <row r="448" spans="3:26">
      <c r="C448" s="17">
        <v>440</v>
      </c>
      <c r="D448" s="109" t="s">
        <v>26</v>
      </c>
      <c r="E448" s="20" t="s">
        <v>12</v>
      </c>
      <c r="F448" s="20" t="s">
        <v>177</v>
      </c>
      <c r="G448" s="21" t="s">
        <v>97</v>
      </c>
      <c r="H448" s="21" t="s">
        <v>161</v>
      </c>
      <c r="I448" s="19" t="s">
        <v>26</v>
      </c>
      <c r="J448" s="19" t="s">
        <v>36</v>
      </c>
      <c r="K448" s="21" t="s">
        <v>15</v>
      </c>
      <c r="L448" s="33" t="str">
        <f t="shared" si="30"/>
        <v>1x LCD</v>
      </c>
      <c r="M448" s="21" t="s">
        <v>36</v>
      </c>
      <c r="N448" s="21" t="s">
        <v>143</v>
      </c>
      <c r="O448" s="27"/>
      <c r="P448" s="20"/>
      <c r="Q448" s="20"/>
      <c r="R448" s="29">
        <f t="shared" si="31"/>
        <v>0</v>
      </c>
      <c r="S448" s="20" t="s">
        <v>36</v>
      </c>
      <c r="T448" s="18" t="s">
        <v>143</v>
      </c>
      <c r="U448" s="20">
        <v>1</v>
      </c>
      <c r="V448" s="120">
        <v>5.7100999999999999E-2</v>
      </c>
      <c r="W448" s="69">
        <f t="shared" si="32"/>
        <v>3.1600886582495993</v>
      </c>
      <c r="X448" s="106">
        <v>55.342089599999987</v>
      </c>
      <c r="Y448" s="72" t="str">
        <f t="shared" si="33"/>
        <v>VR_2023_1x LCD_Single LCD VR headset</v>
      </c>
      <c r="Z448" s="36" t="str">
        <f t="shared" si="34"/>
        <v>VR_2023_1x LCD</v>
      </c>
    </row>
    <row r="449" spans="3:26">
      <c r="C449" s="17">
        <v>441</v>
      </c>
      <c r="D449" s="109" t="s">
        <v>26</v>
      </c>
      <c r="E449" s="20" t="s">
        <v>12</v>
      </c>
      <c r="F449" s="20" t="s">
        <v>177</v>
      </c>
      <c r="G449" s="21" t="s">
        <v>180</v>
      </c>
      <c r="H449" s="21" t="s">
        <v>181</v>
      </c>
      <c r="I449" s="19" t="s">
        <v>26</v>
      </c>
      <c r="J449" s="19" t="s">
        <v>27</v>
      </c>
      <c r="K449" s="21" t="s">
        <v>51</v>
      </c>
      <c r="L449" s="33" t="str">
        <f t="shared" si="30"/>
        <v>2x SiOLED</v>
      </c>
      <c r="M449" s="21" t="s">
        <v>116</v>
      </c>
      <c r="N449" s="21"/>
      <c r="O449" s="27">
        <v>1.03</v>
      </c>
      <c r="P449" s="20">
        <v>2560</v>
      </c>
      <c r="Q449" s="20">
        <v>2560</v>
      </c>
      <c r="R449" s="29">
        <f t="shared" si="31"/>
        <v>3514.9385627913821</v>
      </c>
      <c r="S449" s="20"/>
      <c r="T449" s="18">
        <v>43497</v>
      </c>
      <c r="U449" s="20">
        <v>2</v>
      </c>
      <c r="V449" s="120">
        <v>5.2910000000000006E-3</v>
      </c>
      <c r="W449" s="69">
        <f t="shared" si="32"/>
        <v>0.84857058000000007</v>
      </c>
      <c r="X449" s="106">
        <v>160.38</v>
      </c>
      <c r="Y449" s="72" t="str">
        <f t="shared" si="33"/>
        <v>VR_2023_2x SiOLED_Bionic models</v>
      </c>
      <c r="Z449" s="36" t="str">
        <f t="shared" si="34"/>
        <v>VR_2023_2x SiOLED</v>
      </c>
    </row>
    <row r="450" spans="3:26">
      <c r="C450" s="17">
        <v>442</v>
      </c>
      <c r="D450" s="109" t="s">
        <v>26</v>
      </c>
      <c r="E450" s="20" t="s">
        <v>12</v>
      </c>
      <c r="F450" s="20" t="s">
        <v>177</v>
      </c>
      <c r="G450" s="21" t="s">
        <v>180</v>
      </c>
      <c r="H450" s="21" t="s">
        <v>183</v>
      </c>
      <c r="I450" s="19" t="s">
        <v>26</v>
      </c>
      <c r="J450" s="19" t="s">
        <v>27</v>
      </c>
      <c r="K450" s="21" t="s">
        <v>15</v>
      </c>
      <c r="L450" s="33" t="str">
        <f t="shared" si="30"/>
        <v>2x LCD</v>
      </c>
      <c r="M450" s="21" t="s">
        <v>36</v>
      </c>
      <c r="N450" s="21"/>
      <c r="O450" s="27">
        <v>3.2</v>
      </c>
      <c r="P450" s="20">
        <v>2880</v>
      </c>
      <c r="Q450" s="20">
        <v>2720</v>
      </c>
      <c r="R450" s="29">
        <f t="shared" si="31"/>
        <v>1237.9418403139946</v>
      </c>
      <c r="S450" s="20">
        <v>90</v>
      </c>
      <c r="T450" s="18">
        <v>44470</v>
      </c>
      <c r="U450" s="20">
        <v>2</v>
      </c>
      <c r="V450" s="120">
        <v>1.7600000000000001E-3</v>
      </c>
      <c r="W450" s="69">
        <f t="shared" si="32"/>
        <v>9.6799999999999997E-2</v>
      </c>
      <c r="X450" s="106">
        <v>55</v>
      </c>
      <c r="Y450" s="72" t="str">
        <f t="shared" si="33"/>
        <v>VR_2023_2x LCD_Aero</v>
      </c>
      <c r="Z450" s="36" t="str">
        <f t="shared" si="34"/>
        <v>VR_2023_2x LCD</v>
      </c>
    </row>
    <row r="451" spans="3:26">
      <c r="C451" s="17">
        <v>443</v>
      </c>
      <c r="D451" s="109" t="s">
        <v>26</v>
      </c>
      <c r="E451" s="20" t="s">
        <v>12</v>
      </c>
      <c r="F451" s="20" t="s">
        <v>177</v>
      </c>
      <c r="G451" s="21" t="s">
        <v>180</v>
      </c>
      <c r="H451" s="21" t="s">
        <v>184</v>
      </c>
      <c r="I451" s="19" t="s">
        <v>26</v>
      </c>
      <c r="J451" s="19" t="s">
        <v>27</v>
      </c>
      <c r="K451" s="21" t="s">
        <v>15</v>
      </c>
      <c r="L451" s="33" t="str">
        <f t="shared" si="30"/>
        <v>2x LCD</v>
      </c>
      <c r="M451" s="21" t="s">
        <v>301</v>
      </c>
      <c r="N451" s="21"/>
      <c r="O451" s="27">
        <v>3.59</v>
      </c>
      <c r="P451" s="20">
        <v>3840</v>
      </c>
      <c r="Q451" s="20">
        <v>3744</v>
      </c>
      <c r="R451" s="29">
        <f t="shared" si="31"/>
        <v>1493.9073665208787</v>
      </c>
      <c r="S451" s="20">
        <v>90</v>
      </c>
      <c r="T451" s="18">
        <v>45261</v>
      </c>
      <c r="U451" s="20">
        <v>2</v>
      </c>
      <c r="V451" s="120">
        <v>4.4000000000000002E-4</v>
      </c>
      <c r="W451" s="69">
        <f t="shared" si="32"/>
        <v>2.4199999999999999E-2</v>
      </c>
      <c r="X451" s="106">
        <v>55</v>
      </c>
      <c r="Y451" s="72" t="str">
        <f t="shared" si="33"/>
        <v>VR_2023_2x LCD_XR-4</v>
      </c>
      <c r="Z451" s="36" t="str">
        <f t="shared" si="34"/>
        <v>VR_2023_2x LCD</v>
      </c>
    </row>
    <row r="452" spans="3:26">
      <c r="C452" s="17">
        <v>444</v>
      </c>
      <c r="D452" s="109" t="s">
        <v>129</v>
      </c>
      <c r="E452" s="20" t="s">
        <v>12</v>
      </c>
      <c r="F452" s="20" t="s">
        <v>177</v>
      </c>
      <c r="G452" s="21" t="s">
        <v>73</v>
      </c>
      <c r="H452" s="21" t="s">
        <v>74</v>
      </c>
      <c r="I452" s="19" t="s">
        <v>63</v>
      </c>
      <c r="J452" s="19" t="s">
        <v>31</v>
      </c>
      <c r="K452" s="21" t="s">
        <v>51</v>
      </c>
      <c r="L452" s="33" t="str">
        <f t="shared" si="30"/>
        <v>2x SiOLED</v>
      </c>
      <c r="M452" s="21" t="s">
        <v>73</v>
      </c>
      <c r="N452" s="21"/>
      <c r="O452" s="27">
        <v>0.43</v>
      </c>
      <c r="P452" s="20">
        <v>1280</v>
      </c>
      <c r="Q452" s="20">
        <v>720</v>
      </c>
      <c r="R452" s="29">
        <f t="shared" si="31"/>
        <v>3415.3599536159668</v>
      </c>
      <c r="S452" s="20" t="s">
        <v>36</v>
      </c>
      <c r="T452" s="18">
        <v>42401</v>
      </c>
      <c r="U452" s="20">
        <v>2</v>
      </c>
      <c r="V452" s="120">
        <v>1.9910000000000001E-2</v>
      </c>
      <c r="W452" s="69">
        <f t="shared" si="32"/>
        <v>1.3936999999999999</v>
      </c>
      <c r="X452" s="106">
        <v>70</v>
      </c>
      <c r="Y452" s="72" t="str">
        <f t="shared" si="33"/>
        <v>AR_2023_2x SiOLED_Moverio</v>
      </c>
      <c r="Z452" s="36" t="str">
        <f t="shared" si="34"/>
        <v>AR_2023_2x SiOLED</v>
      </c>
    </row>
    <row r="453" spans="3:26">
      <c r="C453" s="17">
        <v>445</v>
      </c>
      <c r="D453" s="109" t="s">
        <v>129</v>
      </c>
      <c r="E453" s="20" t="s">
        <v>12</v>
      </c>
      <c r="F453" s="20" t="s">
        <v>177</v>
      </c>
      <c r="G453" s="21" t="s">
        <v>77</v>
      </c>
      <c r="H453" s="21" t="s">
        <v>131</v>
      </c>
      <c r="I453" s="19" t="s">
        <v>63</v>
      </c>
      <c r="J453" s="19" t="s">
        <v>27</v>
      </c>
      <c r="K453" s="21" t="s">
        <v>51</v>
      </c>
      <c r="L453" s="33" t="str">
        <f t="shared" si="30"/>
        <v>2x SiOLED</v>
      </c>
      <c r="M453" s="21" t="s">
        <v>116</v>
      </c>
      <c r="N453" s="21"/>
      <c r="O453" s="27">
        <v>0.49</v>
      </c>
      <c r="P453" s="20">
        <v>1920</v>
      </c>
      <c r="Q453" s="20">
        <v>1080</v>
      </c>
      <c r="R453" s="29">
        <f t="shared" si="31"/>
        <v>4495.7289185353029</v>
      </c>
      <c r="S453" s="20">
        <v>60</v>
      </c>
      <c r="T453" s="18">
        <v>44866</v>
      </c>
      <c r="U453" s="20">
        <v>2</v>
      </c>
      <c r="V453" s="120">
        <v>2.1999999999999999E-2</v>
      </c>
      <c r="W453" s="69">
        <f t="shared" si="32"/>
        <v>1.0999999999999999</v>
      </c>
      <c r="X453" s="106">
        <v>50</v>
      </c>
      <c r="Y453" s="72" t="str">
        <f t="shared" si="33"/>
        <v>AR_2023_2x SiOLED_T1</v>
      </c>
      <c r="Z453" s="36" t="str">
        <f t="shared" si="34"/>
        <v>AR_2023_2x SiOLED</v>
      </c>
    </row>
    <row r="454" spans="3:26">
      <c r="C454" s="17">
        <v>446</v>
      </c>
      <c r="D454" s="109" t="s">
        <v>129</v>
      </c>
      <c r="E454" s="20" t="s">
        <v>12</v>
      </c>
      <c r="F454" s="20" t="s">
        <v>177</v>
      </c>
      <c r="G454" s="21" t="s">
        <v>77</v>
      </c>
      <c r="H454" s="21" t="s">
        <v>78</v>
      </c>
      <c r="I454" s="19" t="s">
        <v>63</v>
      </c>
      <c r="J454" s="19" t="s">
        <v>27</v>
      </c>
      <c r="K454" s="21" t="s">
        <v>51</v>
      </c>
      <c r="L454" s="33" t="str">
        <f t="shared" si="30"/>
        <v>2x SiOLED</v>
      </c>
      <c r="M454" s="21" t="s">
        <v>6</v>
      </c>
      <c r="N454" s="21"/>
      <c r="O454" s="27">
        <v>0.71</v>
      </c>
      <c r="P454" s="20">
        <v>1920</v>
      </c>
      <c r="Q454" s="20">
        <v>1080</v>
      </c>
      <c r="R454" s="29">
        <f t="shared" si="31"/>
        <v>3102.6861550454905</v>
      </c>
      <c r="S454" s="20" t="s">
        <v>36</v>
      </c>
      <c r="T454" s="18">
        <v>44348</v>
      </c>
      <c r="U454" s="20">
        <v>2</v>
      </c>
      <c r="V454" s="120">
        <v>1.232E-3</v>
      </c>
      <c r="W454" s="69">
        <f t="shared" si="32"/>
        <v>9.112356126719999E-2</v>
      </c>
      <c r="X454" s="106">
        <v>73.963929599999986</v>
      </c>
      <c r="Y454" s="72" t="str">
        <f t="shared" si="33"/>
        <v>AR_2023_2x SiOLED_ThinkReality A3</v>
      </c>
      <c r="Z454" s="36" t="str">
        <f t="shared" si="34"/>
        <v>AR_2023_2x SiOLED</v>
      </c>
    </row>
    <row r="455" spans="3:26">
      <c r="C455" s="17">
        <v>447</v>
      </c>
      <c r="D455" s="109" t="s">
        <v>129</v>
      </c>
      <c r="E455" s="20" t="s">
        <v>12</v>
      </c>
      <c r="F455" s="20" t="s">
        <v>177</v>
      </c>
      <c r="G455" s="21" t="s">
        <v>65</v>
      </c>
      <c r="H455" s="21" t="s">
        <v>117</v>
      </c>
      <c r="I455" s="19" t="s">
        <v>63</v>
      </c>
      <c r="J455" s="19" t="s">
        <v>31</v>
      </c>
      <c r="K455" s="21" t="s">
        <v>67</v>
      </c>
      <c r="L455" s="33" t="str">
        <f t="shared" si="30"/>
        <v>2x LCoS</v>
      </c>
      <c r="M455" s="21" t="s">
        <v>36</v>
      </c>
      <c r="N455" s="21"/>
      <c r="O455" s="27"/>
      <c r="P455" s="20">
        <v>1440</v>
      </c>
      <c r="Q455" s="20">
        <v>1760</v>
      </c>
      <c r="R455" s="29">
        <f t="shared" si="31"/>
        <v>0</v>
      </c>
      <c r="S455" s="20" t="s">
        <v>36</v>
      </c>
      <c r="T455" s="18">
        <v>44805</v>
      </c>
      <c r="U455" s="20">
        <v>2</v>
      </c>
      <c r="V455" s="120">
        <v>3.63E-3</v>
      </c>
      <c r="W455" s="69">
        <f t="shared" si="32"/>
        <v>0.16040032174980001</v>
      </c>
      <c r="X455" s="106">
        <v>44.187416460000001</v>
      </c>
      <c r="Y455" s="72" t="str">
        <f t="shared" si="33"/>
        <v>AR_2023_2x LCoS_ML 2</v>
      </c>
      <c r="Z455" s="36" t="str">
        <f t="shared" si="34"/>
        <v>AR_2023_2x LCoS</v>
      </c>
    </row>
    <row r="456" spans="3:26">
      <c r="C456" s="17">
        <v>448</v>
      </c>
      <c r="D456" s="109" t="s">
        <v>129</v>
      </c>
      <c r="E456" s="20" t="s">
        <v>12</v>
      </c>
      <c r="F456" s="20" t="s">
        <v>177</v>
      </c>
      <c r="G456" s="21" t="s">
        <v>132</v>
      </c>
      <c r="H456" s="21" t="s">
        <v>133</v>
      </c>
      <c r="I456" s="19" t="s">
        <v>63</v>
      </c>
      <c r="J456" s="19" t="s">
        <v>27</v>
      </c>
      <c r="K456" s="21" t="s">
        <v>51</v>
      </c>
      <c r="L456" s="33" t="str">
        <f t="shared" si="30"/>
        <v>2x SiOLED</v>
      </c>
      <c r="M456" s="21" t="s">
        <v>116</v>
      </c>
      <c r="N456" s="21"/>
      <c r="O456" s="27">
        <v>0.49</v>
      </c>
      <c r="P456" s="20">
        <v>1920</v>
      </c>
      <c r="Q456" s="20">
        <v>1080</v>
      </c>
      <c r="R456" s="29">
        <f t="shared" si="31"/>
        <v>4495.7289185353029</v>
      </c>
      <c r="S456" s="20">
        <v>75</v>
      </c>
      <c r="T456" s="18">
        <v>44501</v>
      </c>
      <c r="U456" s="20">
        <v>2</v>
      </c>
      <c r="V456" s="120">
        <v>9.4600000000000014E-3</v>
      </c>
      <c r="W456" s="69">
        <f t="shared" si="32"/>
        <v>0.47300000000000009</v>
      </c>
      <c r="X456" s="106">
        <v>50</v>
      </c>
      <c r="Y456" s="72" t="str">
        <f t="shared" si="33"/>
        <v>AR_2023_2x SiOLED_Air</v>
      </c>
      <c r="Z456" s="36" t="str">
        <f t="shared" si="34"/>
        <v>AR_2023_2x SiOLED</v>
      </c>
    </row>
    <row r="457" spans="3:26">
      <c r="C457" s="17">
        <v>449</v>
      </c>
      <c r="D457" s="109" t="s">
        <v>129</v>
      </c>
      <c r="E457" s="20" t="s">
        <v>12</v>
      </c>
      <c r="F457" s="20" t="s">
        <v>177</v>
      </c>
      <c r="G457" s="21" t="s">
        <v>132</v>
      </c>
      <c r="H457" s="21" t="s">
        <v>160</v>
      </c>
      <c r="I457" s="19" t="s">
        <v>63</v>
      </c>
      <c r="J457" s="19" t="s">
        <v>27</v>
      </c>
      <c r="K457" s="21" t="s">
        <v>51</v>
      </c>
      <c r="L457" s="33" t="str">
        <f t="shared" ref="L457:L520" si="35">IF(U457=0, "", U457&amp;"x "&amp;K457)</f>
        <v>2x SiOLED</v>
      </c>
      <c r="M457" s="21" t="s">
        <v>6</v>
      </c>
      <c r="N457" s="21"/>
      <c r="O457" s="27">
        <v>0.55000000000000004</v>
      </c>
      <c r="P457" s="20">
        <v>1920</v>
      </c>
      <c r="Q457" s="20">
        <v>1080</v>
      </c>
      <c r="R457" s="29">
        <f t="shared" ref="R457:R520" si="36">IF(O457=0, 0, SQRT(Q457^2+P457^2)/O457)</f>
        <v>4005.2857637859966</v>
      </c>
      <c r="S457" s="20">
        <v>120</v>
      </c>
      <c r="T457" s="18">
        <v>45017</v>
      </c>
      <c r="U457" s="20">
        <v>2</v>
      </c>
      <c r="V457" s="120">
        <v>1.7664000000000003E-2</v>
      </c>
      <c r="W457" s="69">
        <f t="shared" ref="W457:W520" si="37">V457*X457</f>
        <v>0.97152000000000016</v>
      </c>
      <c r="X457" s="106">
        <v>55</v>
      </c>
      <c r="Y457" s="72" t="str">
        <f t="shared" ref="Y457:Y520" si="38">D457&amp;"_"&amp;E457&amp;"_"&amp;L457&amp;"_"&amp;H457</f>
        <v>AR_2023_2x SiOLED_Max</v>
      </c>
      <c r="Z457" s="36" t="str">
        <f t="shared" ref="Z457:Z520" si="39">D457&amp;"_"&amp;E457&amp;"_"&amp;L457</f>
        <v>AR_2023_2x SiOLED</v>
      </c>
    </row>
    <row r="458" spans="3:26">
      <c r="C458" s="17">
        <v>450</v>
      </c>
      <c r="D458" s="109" t="s">
        <v>129</v>
      </c>
      <c r="E458" s="20" t="s">
        <v>12</v>
      </c>
      <c r="F458" s="20" t="s">
        <v>177</v>
      </c>
      <c r="G458" s="21" t="s">
        <v>135</v>
      </c>
      <c r="H458" s="21" t="s">
        <v>136</v>
      </c>
      <c r="I458" s="19" t="s">
        <v>63</v>
      </c>
      <c r="J458" s="19" t="s">
        <v>27</v>
      </c>
      <c r="K458" s="21" t="s">
        <v>51</v>
      </c>
      <c r="L458" s="33" t="str">
        <f t="shared" si="35"/>
        <v>2x SiOLED</v>
      </c>
      <c r="M458" s="21" t="s">
        <v>6</v>
      </c>
      <c r="N458" s="21"/>
      <c r="O458" s="27">
        <v>0.55000000000000004</v>
      </c>
      <c r="P458" s="20">
        <v>1920</v>
      </c>
      <c r="Q458" s="20">
        <v>1080</v>
      </c>
      <c r="R458" s="29">
        <f t="shared" si="36"/>
        <v>4005.2857637859966</v>
      </c>
      <c r="S458" s="20" t="s">
        <v>36</v>
      </c>
      <c r="T458" s="18">
        <v>44866</v>
      </c>
      <c r="U458" s="20">
        <v>2</v>
      </c>
      <c r="V458" s="120">
        <v>0.11131999999999999</v>
      </c>
      <c r="W458" s="69">
        <f t="shared" si="37"/>
        <v>6.1225999999999994</v>
      </c>
      <c r="X458" s="106">
        <v>55</v>
      </c>
      <c r="Y458" s="72" t="str">
        <f t="shared" si="38"/>
        <v>AR_2023_2x SiOLED_NXTWear</v>
      </c>
      <c r="Z458" s="36" t="str">
        <f t="shared" si="39"/>
        <v>AR_2023_2x SiOLED</v>
      </c>
    </row>
    <row r="459" spans="3:26">
      <c r="C459" s="17">
        <v>451</v>
      </c>
      <c r="D459" s="109" t="s">
        <v>129</v>
      </c>
      <c r="E459" s="20" t="s">
        <v>12</v>
      </c>
      <c r="F459" s="20" t="s">
        <v>177</v>
      </c>
      <c r="G459" s="21" t="s">
        <v>68</v>
      </c>
      <c r="H459" s="21" t="s">
        <v>69</v>
      </c>
      <c r="I459" s="19" t="s">
        <v>63</v>
      </c>
      <c r="J459" s="19" t="s">
        <v>31</v>
      </c>
      <c r="K459" s="21" t="s">
        <v>70</v>
      </c>
      <c r="L459" s="33" t="str">
        <f t="shared" si="35"/>
        <v>1x DLP</v>
      </c>
      <c r="M459" s="21" t="s">
        <v>172</v>
      </c>
      <c r="N459" s="21"/>
      <c r="O459" s="27"/>
      <c r="P459" s="20">
        <v>853</v>
      </c>
      <c r="Q459" s="20">
        <v>480</v>
      </c>
      <c r="R459" s="29">
        <f t="shared" si="36"/>
        <v>0</v>
      </c>
      <c r="S459" s="20" t="s">
        <v>36</v>
      </c>
      <c r="T459" s="18">
        <v>43466</v>
      </c>
      <c r="U459" s="20">
        <v>1</v>
      </c>
      <c r="V459" s="120">
        <v>3.7399999999999998E-4</v>
      </c>
      <c r="W459" s="69">
        <f t="shared" si="37"/>
        <v>2.9818821342419994E-2</v>
      </c>
      <c r="X459" s="106">
        <v>79.729468829999988</v>
      </c>
      <c r="Y459" s="72" t="str">
        <f t="shared" si="38"/>
        <v>AR_2023_1x DLP_Blade</v>
      </c>
      <c r="Z459" s="36" t="str">
        <f t="shared" si="39"/>
        <v>AR_2023_1x DLP</v>
      </c>
    </row>
    <row r="460" spans="3:26">
      <c r="C460" s="17">
        <v>452</v>
      </c>
      <c r="D460" s="109" t="s">
        <v>129</v>
      </c>
      <c r="E460" s="20" t="s">
        <v>12</v>
      </c>
      <c r="F460" s="20" t="s">
        <v>177</v>
      </c>
      <c r="G460" s="21" t="s">
        <v>68</v>
      </c>
      <c r="H460" s="21" t="s">
        <v>122</v>
      </c>
      <c r="I460" s="19" t="s">
        <v>63</v>
      </c>
      <c r="J460" s="19" t="s">
        <v>31</v>
      </c>
      <c r="K460" s="21" t="s">
        <v>120</v>
      </c>
      <c r="L460" s="33" t="str">
        <f t="shared" si="35"/>
        <v>2x MicroLED</v>
      </c>
      <c r="M460" s="21" t="s">
        <v>144</v>
      </c>
      <c r="N460" s="21"/>
      <c r="O460" s="27">
        <v>0.13</v>
      </c>
      <c r="P460" s="20">
        <v>640</v>
      </c>
      <c r="Q460" s="20">
        <v>480</v>
      </c>
      <c r="R460" s="29">
        <f t="shared" si="36"/>
        <v>6153.8461538461534</v>
      </c>
      <c r="S460" s="20" t="s">
        <v>36</v>
      </c>
      <c r="T460" s="18">
        <v>44896</v>
      </c>
      <c r="U460" s="20">
        <v>2</v>
      </c>
      <c r="V460" s="120">
        <v>9.8999999999999999E-4</v>
      </c>
      <c r="W460" s="69">
        <f t="shared" si="37"/>
        <v>7.3429439687999989E-2</v>
      </c>
      <c r="X460" s="106">
        <v>74.171151199999983</v>
      </c>
      <c r="Y460" s="72" t="str">
        <f t="shared" si="38"/>
        <v>AR_2023_2x MicroLED_Shield</v>
      </c>
      <c r="Z460" s="36" t="str">
        <f t="shared" si="39"/>
        <v>AR_2023_2x MicroLED</v>
      </c>
    </row>
    <row r="461" spans="3:26">
      <c r="C461" s="17">
        <v>453</v>
      </c>
      <c r="D461" s="109" t="s">
        <v>129</v>
      </c>
      <c r="E461" s="20" t="s">
        <v>12</v>
      </c>
      <c r="F461" s="20" t="s">
        <v>177</v>
      </c>
      <c r="G461" s="21" t="s">
        <v>97</v>
      </c>
      <c r="H461" s="21" t="s">
        <v>123</v>
      </c>
      <c r="I461" s="19" t="s">
        <v>63</v>
      </c>
      <c r="J461" s="19" t="s">
        <v>36</v>
      </c>
      <c r="K461" s="21" t="s">
        <v>120</v>
      </c>
      <c r="L461" s="33" t="str">
        <f t="shared" si="35"/>
        <v>2x MicroLED</v>
      </c>
      <c r="M461" s="21" t="s">
        <v>36</v>
      </c>
      <c r="N461" s="21"/>
      <c r="O461" s="27"/>
      <c r="P461" s="20"/>
      <c r="Q461" s="20"/>
      <c r="R461" s="29">
        <f t="shared" si="36"/>
        <v>0</v>
      </c>
      <c r="S461" s="20" t="s">
        <v>36</v>
      </c>
      <c r="T461" s="18" t="s">
        <v>143</v>
      </c>
      <c r="U461" s="20">
        <v>2</v>
      </c>
      <c r="V461" s="120">
        <v>1.056E-2</v>
      </c>
      <c r="W461" s="69">
        <f t="shared" si="37"/>
        <v>0.78324735667199985</v>
      </c>
      <c r="X461" s="106">
        <v>74.171151199999983</v>
      </c>
      <c r="Y461" s="72" t="str">
        <f t="shared" si="38"/>
        <v>AR_2023_2x MicroLED_Binocular MicroLED</v>
      </c>
      <c r="Z461" s="36" t="str">
        <f t="shared" si="39"/>
        <v>AR_2023_2x MicroLED</v>
      </c>
    </row>
    <row r="462" spans="3:26">
      <c r="C462" s="17">
        <v>454</v>
      </c>
      <c r="D462" s="109" t="s">
        <v>129</v>
      </c>
      <c r="E462" s="20" t="s">
        <v>12</v>
      </c>
      <c r="F462" s="20" t="s">
        <v>177</v>
      </c>
      <c r="G462" s="21" t="s">
        <v>97</v>
      </c>
      <c r="H462" s="21" t="s">
        <v>75</v>
      </c>
      <c r="I462" s="19" t="s">
        <v>63</v>
      </c>
      <c r="J462" s="19" t="s">
        <v>36</v>
      </c>
      <c r="K462" s="21" t="s">
        <v>67</v>
      </c>
      <c r="L462" s="33" t="str">
        <f t="shared" si="35"/>
        <v>2x LCoS</v>
      </c>
      <c r="M462" s="21" t="s">
        <v>36</v>
      </c>
      <c r="N462" s="21"/>
      <c r="O462" s="27"/>
      <c r="P462" s="20"/>
      <c r="Q462" s="20"/>
      <c r="R462" s="29">
        <f t="shared" si="36"/>
        <v>0</v>
      </c>
      <c r="S462" s="20" t="s">
        <v>36</v>
      </c>
      <c r="T462" s="18" t="s">
        <v>143</v>
      </c>
      <c r="U462" s="20">
        <v>2</v>
      </c>
      <c r="V462" s="120">
        <v>2.2000000000000001E-3</v>
      </c>
      <c r="W462" s="69">
        <f t="shared" si="37"/>
        <v>9.7212316212000008E-2</v>
      </c>
      <c r="X462" s="106">
        <v>44.187416460000001</v>
      </c>
      <c r="Y462" s="72" t="str">
        <f t="shared" si="38"/>
        <v>AR_2023_2x LCoS_LCoS glasses</v>
      </c>
      <c r="Z462" s="36" t="str">
        <f t="shared" si="39"/>
        <v>AR_2023_2x LCoS</v>
      </c>
    </row>
    <row r="463" spans="3:26">
      <c r="C463" s="17">
        <v>455</v>
      </c>
      <c r="D463" s="109" t="s">
        <v>129</v>
      </c>
      <c r="E463" s="20" t="s">
        <v>12</v>
      </c>
      <c r="F463" s="20" t="s">
        <v>177</v>
      </c>
      <c r="G463" s="21" t="s">
        <v>97</v>
      </c>
      <c r="H463" s="21" t="s">
        <v>121</v>
      </c>
      <c r="I463" s="19" t="s">
        <v>63</v>
      </c>
      <c r="J463" s="19" t="s">
        <v>36</v>
      </c>
      <c r="K463" s="21" t="s">
        <v>120</v>
      </c>
      <c r="L463" s="33" t="str">
        <f t="shared" si="35"/>
        <v>1x MicroLED</v>
      </c>
      <c r="M463" s="21" t="s">
        <v>36</v>
      </c>
      <c r="N463" s="21"/>
      <c r="O463" s="27"/>
      <c r="P463" s="20"/>
      <c r="Q463" s="20"/>
      <c r="R463" s="29">
        <f t="shared" si="36"/>
        <v>0</v>
      </c>
      <c r="S463" s="20" t="s">
        <v>36</v>
      </c>
      <c r="T463" s="18" t="s">
        <v>143</v>
      </c>
      <c r="U463" s="20">
        <v>1</v>
      </c>
      <c r="V463" s="120">
        <v>2.7500000000000002E-4</v>
      </c>
      <c r="W463" s="69">
        <f t="shared" si="37"/>
        <v>2.0397066579999998E-2</v>
      </c>
      <c r="X463" s="106">
        <v>74.171151199999983</v>
      </c>
      <c r="Y463" s="72" t="str">
        <f t="shared" si="38"/>
        <v>AR_2023_1x MicroLED_Monocular MicroLED</v>
      </c>
      <c r="Z463" s="36" t="str">
        <f t="shared" si="39"/>
        <v>AR_2023_1x MicroLED</v>
      </c>
    </row>
    <row r="464" spans="3:26">
      <c r="C464" s="17">
        <v>456</v>
      </c>
      <c r="D464" s="109" t="s">
        <v>129</v>
      </c>
      <c r="E464" s="20" t="s">
        <v>12</v>
      </c>
      <c r="F464" s="20" t="s">
        <v>177</v>
      </c>
      <c r="G464" s="21" t="s">
        <v>97</v>
      </c>
      <c r="H464" s="21" t="s">
        <v>79</v>
      </c>
      <c r="I464" s="19" t="s">
        <v>63</v>
      </c>
      <c r="J464" s="19" t="s">
        <v>36</v>
      </c>
      <c r="K464" s="21" t="s">
        <v>51</v>
      </c>
      <c r="L464" s="33" t="str">
        <f t="shared" si="35"/>
        <v>2x SiOLED</v>
      </c>
      <c r="M464" s="21" t="s">
        <v>36</v>
      </c>
      <c r="N464" s="21"/>
      <c r="O464" s="27"/>
      <c r="P464" s="20"/>
      <c r="Q464" s="20"/>
      <c r="R464" s="29">
        <f t="shared" si="36"/>
        <v>0</v>
      </c>
      <c r="S464" s="20" t="s">
        <v>36</v>
      </c>
      <c r="T464" s="18" t="s">
        <v>143</v>
      </c>
      <c r="U464" s="20">
        <v>2</v>
      </c>
      <c r="V464" s="120">
        <v>2.0899999999999998E-2</v>
      </c>
      <c r="W464" s="69">
        <f t="shared" si="37"/>
        <v>1.5458461286399996</v>
      </c>
      <c r="X464" s="106">
        <v>73.963929599999986</v>
      </c>
      <c r="Y464" s="72" t="str">
        <f t="shared" si="38"/>
        <v>AR_2023_2x SiOLED_SiOLED glasses</v>
      </c>
      <c r="Z464" s="36" t="str">
        <f t="shared" si="39"/>
        <v>AR_2023_2x SiOLED</v>
      </c>
    </row>
    <row r="465" spans="3:26">
      <c r="C465" s="17">
        <v>457</v>
      </c>
      <c r="D465" s="109" t="s">
        <v>129</v>
      </c>
      <c r="E465" s="20" t="s">
        <v>12</v>
      </c>
      <c r="F465" s="20" t="s">
        <v>177</v>
      </c>
      <c r="G465" s="21" t="s">
        <v>186</v>
      </c>
      <c r="H465" s="21" t="s">
        <v>133</v>
      </c>
      <c r="I465" s="19" t="s">
        <v>63</v>
      </c>
      <c r="J465" s="19" t="s">
        <v>27</v>
      </c>
      <c r="K465" s="21" t="s">
        <v>51</v>
      </c>
      <c r="L465" s="33" t="str">
        <f t="shared" si="35"/>
        <v>2x SiOLED</v>
      </c>
      <c r="M465" s="21" t="s">
        <v>145</v>
      </c>
      <c r="N465" s="21"/>
      <c r="O465" s="27">
        <v>0.71</v>
      </c>
      <c r="P465" s="20">
        <v>1920</v>
      </c>
      <c r="Q465" s="20">
        <v>1080</v>
      </c>
      <c r="R465" s="29">
        <f t="shared" si="36"/>
        <v>3102.6861550454905</v>
      </c>
      <c r="S465" s="20">
        <v>90</v>
      </c>
      <c r="T465" s="18">
        <v>44470</v>
      </c>
      <c r="U465" s="20">
        <v>2</v>
      </c>
      <c r="V465" s="120">
        <v>1.0999999999999999E-2</v>
      </c>
      <c r="W465" s="69">
        <f t="shared" si="37"/>
        <v>0.81360322559999976</v>
      </c>
      <c r="X465" s="106">
        <v>73.963929599999986</v>
      </c>
      <c r="Y465" s="72" t="str">
        <f t="shared" si="38"/>
        <v>AR_2023_2x SiOLED_Air</v>
      </c>
      <c r="Z465" s="36" t="str">
        <f t="shared" si="39"/>
        <v>AR_2023_2x SiOLED</v>
      </c>
    </row>
    <row r="466" spans="3:26">
      <c r="C466" s="17">
        <v>458</v>
      </c>
      <c r="D466" s="109" t="s">
        <v>129</v>
      </c>
      <c r="E466" s="20" t="s">
        <v>12</v>
      </c>
      <c r="F466" s="20" t="s">
        <v>177</v>
      </c>
      <c r="G466" s="21" t="s">
        <v>186</v>
      </c>
      <c r="H466" s="21" t="s">
        <v>188</v>
      </c>
      <c r="I466" s="19" t="s">
        <v>63</v>
      </c>
      <c r="J466" s="19" t="s">
        <v>27</v>
      </c>
      <c r="K466" s="21" t="s">
        <v>51</v>
      </c>
      <c r="L466" s="33" t="str">
        <f t="shared" si="35"/>
        <v>2x SiOLED</v>
      </c>
      <c r="M466" s="21" t="s">
        <v>6</v>
      </c>
      <c r="N466" s="21"/>
      <c r="O466" s="27">
        <v>0.55000000000000004</v>
      </c>
      <c r="P466" s="20">
        <v>1920</v>
      </c>
      <c r="Q466" s="20">
        <v>1080</v>
      </c>
      <c r="R466" s="29">
        <f t="shared" si="36"/>
        <v>4005.2857637859966</v>
      </c>
      <c r="S466" s="20">
        <v>120</v>
      </c>
      <c r="T466" s="18">
        <v>45170</v>
      </c>
      <c r="U466" s="20">
        <v>2</v>
      </c>
      <c r="V466" s="120">
        <v>0.1298</v>
      </c>
      <c r="W466" s="69">
        <f t="shared" si="37"/>
        <v>7.1390000000000002</v>
      </c>
      <c r="X466" s="106">
        <v>55</v>
      </c>
      <c r="Y466" s="72" t="str">
        <f t="shared" si="38"/>
        <v>AR_2023_2x SiOLED_Air 2</v>
      </c>
      <c r="Z466" s="36" t="str">
        <f t="shared" si="39"/>
        <v>AR_2023_2x SiOLED</v>
      </c>
    </row>
    <row r="467" spans="3:26">
      <c r="C467" s="17">
        <v>459</v>
      </c>
      <c r="D467" s="109" t="s">
        <v>129</v>
      </c>
      <c r="E467" s="20" t="s">
        <v>12</v>
      </c>
      <c r="F467" s="20" t="s">
        <v>177</v>
      </c>
      <c r="G467" s="21" t="s">
        <v>191</v>
      </c>
      <c r="H467" s="21" t="s">
        <v>192</v>
      </c>
      <c r="I467" s="19" t="s">
        <v>63</v>
      </c>
      <c r="J467" s="19" t="s">
        <v>31</v>
      </c>
      <c r="K467" s="21" t="s">
        <v>120</v>
      </c>
      <c r="L467" s="33" t="str">
        <f t="shared" si="35"/>
        <v>1x MicroLED</v>
      </c>
      <c r="M467" s="21" t="s">
        <v>144</v>
      </c>
      <c r="N467" s="21"/>
      <c r="O467" s="27">
        <v>0.13</v>
      </c>
      <c r="P467" s="20">
        <v>640</v>
      </c>
      <c r="Q467" s="20">
        <v>480</v>
      </c>
      <c r="R467" s="29">
        <f t="shared" si="36"/>
        <v>6153.8461538461534</v>
      </c>
      <c r="S467" s="20" t="s">
        <v>36</v>
      </c>
      <c r="T467" s="18">
        <v>45170</v>
      </c>
      <c r="U467" s="20">
        <v>1</v>
      </c>
      <c r="V467" s="120">
        <v>1.6500000000000001E-2</v>
      </c>
      <c r="W467" s="69">
        <f t="shared" si="37"/>
        <v>1.2238239947999998</v>
      </c>
      <c r="X467" s="106">
        <v>74.171151199999983</v>
      </c>
      <c r="Y467" s="72" t="str">
        <f t="shared" si="38"/>
        <v>AR_2023_1x MicroLED_Go</v>
      </c>
      <c r="Z467" s="36" t="str">
        <f t="shared" si="39"/>
        <v>AR_2023_1x MicroLED</v>
      </c>
    </row>
    <row r="468" spans="3:26">
      <c r="C468" s="17">
        <v>460</v>
      </c>
      <c r="D468" s="109" t="s">
        <v>26</v>
      </c>
      <c r="E468" s="20" t="s">
        <v>12</v>
      </c>
      <c r="F468" s="20" t="s">
        <v>179</v>
      </c>
      <c r="G468" s="21" t="s">
        <v>141</v>
      </c>
      <c r="H468" s="21" t="s">
        <v>169</v>
      </c>
      <c r="I468" s="19" t="s">
        <v>44</v>
      </c>
      <c r="J468" s="19" t="s">
        <v>31</v>
      </c>
      <c r="K468" s="21" t="s">
        <v>51</v>
      </c>
      <c r="L468" s="33" t="str">
        <f t="shared" si="35"/>
        <v>2x SiOLED</v>
      </c>
      <c r="M468" s="21" t="s">
        <v>6</v>
      </c>
      <c r="N468" s="21"/>
      <c r="O468" s="27">
        <v>1.42</v>
      </c>
      <c r="P468" s="20">
        <v>3660</v>
      </c>
      <c r="Q468" s="20">
        <v>3200</v>
      </c>
      <c r="R468" s="29">
        <f t="shared" si="36"/>
        <v>3423.6942337059722</v>
      </c>
      <c r="S468" s="20">
        <v>100</v>
      </c>
      <c r="T468" s="18">
        <v>45323</v>
      </c>
      <c r="U468" s="20">
        <v>2</v>
      </c>
      <c r="V468" s="120">
        <v>0.04</v>
      </c>
      <c r="W468" s="69">
        <f t="shared" si="37"/>
        <v>11.200000000000001</v>
      </c>
      <c r="X468" s="106">
        <v>280</v>
      </c>
      <c r="Y468" s="72" t="str">
        <f t="shared" si="38"/>
        <v>VR_2023_2x SiOLED_Vision Pro</v>
      </c>
      <c r="Z468" s="36" t="str">
        <f t="shared" si="39"/>
        <v>VR_2023_2x SiOLED</v>
      </c>
    </row>
    <row r="469" spans="3:26">
      <c r="C469" s="17">
        <v>461</v>
      </c>
      <c r="D469" s="109" t="s">
        <v>26</v>
      </c>
      <c r="E469" s="20" t="s">
        <v>12</v>
      </c>
      <c r="F469" s="20" t="s">
        <v>179</v>
      </c>
      <c r="G469" s="21" t="s">
        <v>164</v>
      </c>
      <c r="H469" s="21" t="s">
        <v>165</v>
      </c>
      <c r="I469" s="19" t="s">
        <v>26</v>
      </c>
      <c r="J469" s="19" t="s">
        <v>27</v>
      </c>
      <c r="K469" s="21" t="s">
        <v>51</v>
      </c>
      <c r="L469" s="33" t="str">
        <f t="shared" si="35"/>
        <v>2x SiOLED</v>
      </c>
      <c r="M469" s="21" t="s">
        <v>116</v>
      </c>
      <c r="N469" s="21"/>
      <c r="O469" s="27">
        <v>1.03</v>
      </c>
      <c r="P469" s="20">
        <v>2560</v>
      </c>
      <c r="Q469" s="20">
        <v>2560</v>
      </c>
      <c r="R469" s="29">
        <f t="shared" si="36"/>
        <v>3514.9385627913821</v>
      </c>
      <c r="S469" s="20">
        <v>90</v>
      </c>
      <c r="T469" s="18"/>
      <c r="U469" s="20">
        <v>2</v>
      </c>
      <c r="V469" s="120">
        <v>8.8000000000000005E-3</v>
      </c>
      <c r="W469" s="69">
        <f t="shared" si="37"/>
        <v>1.232</v>
      </c>
      <c r="X469" s="106">
        <v>140</v>
      </c>
      <c r="Y469" s="72" t="str">
        <f t="shared" si="38"/>
        <v>VR_2023_2x SiOLED_Beyond</v>
      </c>
      <c r="Z469" s="36" t="str">
        <f t="shared" si="39"/>
        <v>VR_2023_2x SiOLED</v>
      </c>
    </row>
    <row r="470" spans="3:26">
      <c r="C470" s="17">
        <v>462</v>
      </c>
      <c r="D470" s="109" t="s">
        <v>26</v>
      </c>
      <c r="E470" s="20" t="s">
        <v>12</v>
      </c>
      <c r="F470" s="20" t="s">
        <v>179</v>
      </c>
      <c r="G470" s="21" t="s">
        <v>106</v>
      </c>
      <c r="H470" s="21" t="s">
        <v>107</v>
      </c>
      <c r="I470" s="19" t="s">
        <v>26</v>
      </c>
      <c r="J470" s="19" t="s">
        <v>31</v>
      </c>
      <c r="K470" s="21" t="s">
        <v>15</v>
      </c>
      <c r="L470" s="33" t="str">
        <f t="shared" si="35"/>
        <v>1x LCD</v>
      </c>
      <c r="M470" s="21" t="s">
        <v>36</v>
      </c>
      <c r="N470" s="21" t="s">
        <v>143</v>
      </c>
      <c r="O470" s="27"/>
      <c r="P470" s="20"/>
      <c r="Q470" s="20"/>
      <c r="R470" s="29">
        <f t="shared" si="36"/>
        <v>0</v>
      </c>
      <c r="S470" s="20" t="s">
        <v>36</v>
      </c>
      <c r="T470" s="18">
        <v>43770</v>
      </c>
      <c r="U470" s="20">
        <v>1</v>
      </c>
      <c r="V470" s="120">
        <v>4.2460000000000006E-3</v>
      </c>
      <c r="W470" s="69">
        <f t="shared" si="37"/>
        <v>0.23498251244159998</v>
      </c>
      <c r="X470" s="106">
        <v>55.342089599999987</v>
      </c>
      <c r="Y470" s="72" t="str">
        <f t="shared" si="38"/>
        <v>VR_2023_1x LCD_P1 family</v>
      </c>
      <c r="Z470" s="36" t="str">
        <f t="shared" si="39"/>
        <v>VR_2023_1x LCD</v>
      </c>
    </row>
    <row r="471" spans="3:26">
      <c r="C471" s="17">
        <v>463</v>
      </c>
      <c r="D471" s="109" t="s">
        <v>26</v>
      </c>
      <c r="E471" s="20" t="s">
        <v>12</v>
      </c>
      <c r="F471" s="20" t="s">
        <v>179</v>
      </c>
      <c r="G471" s="21" t="s">
        <v>34</v>
      </c>
      <c r="H471" s="21" t="s">
        <v>37</v>
      </c>
      <c r="I471" s="19" t="s">
        <v>26</v>
      </c>
      <c r="J471" s="19" t="s">
        <v>27</v>
      </c>
      <c r="K471" s="21" t="s">
        <v>15</v>
      </c>
      <c r="L471" s="33" t="str">
        <f t="shared" si="35"/>
        <v>2x LCD</v>
      </c>
      <c r="M471" s="21" t="s">
        <v>36</v>
      </c>
      <c r="N471" s="21" t="s">
        <v>143</v>
      </c>
      <c r="O471" s="27">
        <v>2.89</v>
      </c>
      <c r="P471" s="20">
        <v>2160</v>
      </c>
      <c r="Q471" s="20">
        <v>2160</v>
      </c>
      <c r="R471" s="29">
        <f t="shared" si="36"/>
        <v>1056.990067379199</v>
      </c>
      <c r="S471" s="20">
        <v>90</v>
      </c>
      <c r="T471" s="18">
        <v>44136</v>
      </c>
      <c r="U471" s="20">
        <v>2</v>
      </c>
      <c r="V471" s="120">
        <v>2.2000000000000001E-4</v>
      </c>
      <c r="W471" s="69">
        <f t="shared" si="37"/>
        <v>8.1168398080000009E-3</v>
      </c>
      <c r="X471" s="106">
        <v>36.894726400000003</v>
      </c>
      <c r="Y471" s="72" t="str">
        <f t="shared" si="38"/>
        <v>VR_2023_2x LCD_Reverb G2</v>
      </c>
      <c r="Z471" s="36" t="str">
        <f t="shared" si="39"/>
        <v>VR_2023_2x LCD</v>
      </c>
    </row>
    <row r="472" spans="3:26">
      <c r="C472" s="17">
        <v>464</v>
      </c>
      <c r="D472" s="109" t="s">
        <v>26</v>
      </c>
      <c r="E472" s="20" t="s">
        <v>12</v>
      </c>
      <c r="F472" s="20" t="s">
        <v>179</v>
      </c>
      <c r="G472" s="21" t="s">
        <v>41</v>
      </c>
      <c r="H472" s="21" t="s">
        <v>178</v>
      </c>
      <c r="I472" s="19" t="s">
        <v>26</v>
      </c>
      <c r="J472" s="19" t="s">
        <v>31</v>
      </c>
      <c r="K472" s="21" t="s">
        <v>15</v>
      </c>
      <c r="L472" s="33" t="str">
        <f t="shared" si="35"/>
        <v>2x LCD</v>
      </c>
      <c r="M472" s="21" t="s">
        <v>2</v>
      </c>
      <c r="N472" s="21" t="s">
        <v>143</v>
      </c>
      <c r="O472" s="27"/>
      <c r="P472" s="20"/>
      <c r="Q472" s="20"/>
      <c r="R472" s="29">
        <f t="shared" si="36"/>
        <v>0</v>
      </c>
      <c r="S472" s="20" t="s">
        <v>36</v>
      </c>
      <c r="T472" s="18">
        <v>43739</v>
      </c>
      <c r="U472" s="20">
        <v>2</v>
      </c>
      <c r="V472" s="120">
        <v>3.7400000000000003E-3</v>
      </c>
      <c r="W472" s="69">
        <f t="shared" si="37"/>
        <v>0.13798627673600003</v>
      </c>
      <c r="X472" s="106">
        <v>36.894726400000003</v>
      </c>
      <c r="Y472" s="72" t="str">
        <f t="shared" si="38"/>
        <v>VR_2023_2x LCD_Vive LCD headsets</v>
      </c>
      <c r="Z472" s="36" t="str">
        <f t="shared" si="39"/>
        <v>VR_2023_2x LCD</v>
      </c>
    </row>
    <row r="473" spans="3:26">
      <c r="C473" s="17">
        <v>465</v>
      </c>
      <c r="D473" s="109" t="s">
        <v>26</v>
      </c>
      <c r="E473" s="20" t="s">
        <v>12</v>
      </c>
      <c r="F473" s="20" t="s">
        <v>179</v>
      </c>
      <c r="G473" s="21" t="s">
        <v>77</v>
      </c>
      <c r="H473" s="21" t="s">
        <v>163</v>
      </c>
      <c r="I473" s="19" t="s">
        <v>44</v>
      </c>
      <c r="J473" s="19" t="s">
        <v>31</v>
      </c>
      <c r="K473" s="21" t="s">
        <v>15</v>
      </c>
      <c r="L473" s="33" t="str">
        <f t="shared" si="35"/>
        <v>2x LCD</v>
      </c>
      <c r="M473" s="21" t="s">
        <v>36</v>
      </c>
      <c r="N473" s="21"/>
      <c r="O473" s="27"/>
      <c r="P473" s="20"/>
      <c r="Q473" s="20"/>
      <c r="R473" s="29">
        <f t="shared" si="36"/>
        <v>0</v>
      </c>
      <c r="S473" s="20" t="s">
        <v>36</v>
      </c>
      <c r="T473" s="18">
        <v>45078</v>
      </c>
      <c r="U473" s="20">
        <v>2</v>
      </c>
      <c r="V473" s="120">
        <v>9.9000000000000008E-3</v>
      </c>
      <c r="W473" s="69">
        <f t="shared" si="37"/>
        <v>0.36525779136000008</v>
      </c>
      <c r="X473" s="106">
        <v>36.894726400000003</v>
      </c>
      <c r="Y473" s="72" t="str">
        <f t="shared" si="38"/>
        <v>VR_2023_2x LCD_ThinkReality VRX</v>
      </c>
      <c r="Z473" s="36" t="str">
        <f t="shared" si="39"/>
        <v>VR_2023_2x LCD</v>
      </c>
    </row>
    <row r="474" spans="3:26">
      <c r="C474" s="17">
        <v>466</v>
      </c>
      <c r="D474" s="109" t="s">
        <v>26</v>
      </c>
      <c r="E474" s="20" t="s">
        <v>12</v>
      </c>
      <c r="F474" s="20" t="s">
        <v>179</v>
      </c>
      <c r="G474" s="21" t="s">
        <v>43</v>
      </c>
      <c r="H474" s="21" t="s">
        <v>7</v>
      </c>
      <c r="I474" s="19" t="s">
        <v>44</v>
      </c>
      <c r="J474" s="19" t="s">
        <v>31</v>
      </c>
      <c r="K474" s="21" t="s">
        <v>15</v>
      </c>
      <c r="L474" s="33" t="str">
        <f t="shared" si="35"/>
        <v>2x LCD</v>
      </c>
      <c r="M474" s="21" t="s">
        <v>2</v>
      </c>
      <c r="N474" s="21" t="s">
        <v>143</v>
      </c>
      <c r="O474" s="27">
        <v>2.1</v>
      </c>
      <c r="P474" s="20">
        <v>1600</v>
      </c>
      <c r="Q474" s="20">
        <v>1600</v>
      </c>
      <c r="R474" s="29">
        <f t="shared" si="36"/>
        <v>1077.4960475223581</v>
      </c>
      <c r="S474" s="20">
        <v>90</v>
      </c>
      <c r="T474" s="18" t="s">
        <v>143</v>
      </c>
      <c r="U474" s="20">
        <v>2</v>
      </c>
      <c r="V474" s="120">
        <v>2.2000000000000001E-4</v>
      </c>
      <c r="W474" s="69">
        <f t="shared" si="37"/>
        <v>8.1168398080000009E-3</v>
      </c>
      <c r="X474" s="106">
        <v>36.894726400000003</v>
      </c>
      <c r="Y474" s="72" t="str">
        <f t="shared" si="38"/>
        <v>VR_2023_2x LCD_R1</v>
      </c>
      <c r="Z474" s="36" t="str">
        <f t="shared" si="39"/>
        <v>VR_2023_2x LCD</v>
      </c>
    </row>
    <row r="475" spans="3:26">
      <c r="C475" s="17">
        <v>467</v>
      </c>
      <c r="D475" s="109" t="s">
        <v>26</v>
      </c>
      <c r="E475" s="20" t="s">
        <v>12</v>
      </c>
      <c r="F475" s="20" t="s">
        <v>179</v>
      </c>
      <c r="G475" s="21" t="s">
        <v>112</v>
      </c>
      <c r="H475" s="21" t="s">
        <v>32</v>
      </c>
      <c r="I475" s="19" t="s">
        <v>26</v>
      </c>
      <c r="J475" s="19" t="s">
        <v>31</v>
      </c>
      <c r="K475" s="21" t="s">
        <v>15</v>
      </c>
      <c r="L475" s="33" t="str">
        <f t="shared" si="35"/>
        <v>1x LCD</v>
      </c>
      <c r="M475" s="21" t="s">
        <v>2</v>
      </c>
      <c r="N475" s="21" t="s">
        <v>166</v>
      </c>
      <c r="O475" s="27">
        <v>5.5</v>
      </c>
      <c r="P475" s="20">
        <v>3840</v>
      </c>
      <c r="Q475" s="20">
        <v>1832</v>
      </c>
      <c r="R475" s="29">
        <f t="shared" si="36"/>
        <v>773.56797048396322</v>
      </c>
      <c r="S475" s="20">
        <v>90</v>
      </c>
      <c r="T475" s="18">
        <v>44105</v>
      </c>
      <c r="U475" s="20">
        <v>1</v>
      </c>
      <c r="V475" s="120">
        <v>0.16500000000000001</v>
      </c>
      <c r="W475" s="69">
        <f t="shared" si="37"/>
        <v>9.1314447839999975</v>
      </c>
      <c r="X475" s="106">
        <v>55.342089599999987</v>
      </c>
      <c r="Y475" s="72" t="str">
        <f t="shared" si="38"/>
        <v>VR_2023_1x LCD_Quest 2</v>
      </c>
      <c r="Z475" s="36" t="str">
        <f t="shared" si="39"/>
        <v>VR_2023_1x LCD</v>
      </c>
    </row>
    <row r="476" spans="3:26">
      <c r="C476" s="17">
        <v>468</v>
      </c>
      <c r="D476" s="109" t="s">
        <v>26</v>
      </c>
      <c r="E476" s="20" t="s">
        <v>12</v>
      </c>
      <c r="F476" s="20" t="s">
        <v>179</v>
      </c>
      <c r="G476" s="21" t="s">
        <v>112</v>
      </c>
      <c r="H476" s="21" t="s">
        <v>137</v>
      </c>
      <c r="I476" s="19" t="s">
        <v>26</v>
      </c>
      <c r="J476" s="19" t="s">
        <v>31</v>
      </c>
      <c r="K476" s="21" t="s">
        <v>15</v>
      </c>
      <c r="L476" s="33" t="str">
        <f t="shared" si="35"/>
        <v>2x LCD</v>
      </c>
      <c r="M476" s="21" t="s">
        <v>4</v>
      </c>
      <c r="N476" s="21" t="s">
        <v>2</v>
      </c>
      <c r="O476" s="27"/>
      <c r="P476" s="20"/>
      <c r="Q476" s="20"/>
      <c r="R476" s="29">
        <f t="shared" si="36"/>
        <v>0</v>
      </c>
      <c r="S476" s="20"/>
      <c r="T476" s="18">
        <v>45200</v>
      </c>
      <c r="U476" s="20">
        <v>2</v>
      </c>
      <c r="V476" s="120">
        <v>1.6279999999999999</v>
      </c>
      <c r="W476" s="69">
        <f t="shared" si="37"/>
        <v>60.064614579200004</v>
      </c>
      <c r="X476" s="106">
        <v>36.894726400000003</v>
      </c>
      <c r="Y476" s="72" t="str">
        <f t="shared" si="38"/>
        <v>VR_2023_2x LCD_Quest 3</v>
      </c>
      <c r="Z476" s="36" t="str">
        <f t="shared" si="39"/>
        <v>VR_2023_2x LCD</v>
      </c>
    </row>
    <row r="477" spans="3:26">
      <c r="C477" s="17">
        <v>469</v>
      </c>
      <c r="D477" s="109" t="s">
        <v>26</v>
      </c>
      <c r="E477" s="20" t="s">
        <v>12</v>
      </c>
      <c r="F477" s="20" t="s">
        <v>179</v>
      </c>
      <c r="G477" s="21" t="s">
        <v>112</v>
      </c>
      <c r="H477" s="21" t="s">
        <v>113</v>
      </c>
      <c r="I477" s="19" t="s">
        <v>44</v>
      </c>
      <c r="J477" s="19" t="s">
        <v>31</v>
      </c>
      <c r="K477" s="21" t="s">
        <v>15</v>
      </c>
      <c r="L477" s="33" t="str">
        <f t="shared" si="35"/>
        <v>2x LCD</v>
      </c>
      <c r="M477" s="21" t="s">
        <v>145</v>
      </c>
      <c r="N477" s="21" t="s">
        <v>2</v>
      </c>
      <c r="O477" s="27">
        <v>2.5</v>
      </c>
      <c r="P477" s="20">
        <v>1920</v>
      </c>
      <c r="Q477" s="20">
        <v>1800</v>
      </c>
      <c r="R477" s="29">
        <f t="shared" si="36"/>
        <v>1052.7221855741429</v>
      </c>
      <c r="S477" s="20">
        <v>90</v>
      </c>
      <c r="T477" s="18">
        <v>44835</v>
      </c>
      <c r="U477" s="20">
        <v>2</v>
      </c>
      <c r="V477" s="120">
        <v>2.2000000000000001E-4</v>
      </c>
      <c r="W477" s="69">
        <f t="shared" si="37"/>
        <v>9.9000000000000008E-3</v>
      </c>
      <c r="X477" s="106">
        <v>45</v>
      </c>
      <c r="Y477" s="72" t="str">
        <f t="shared" si="38"/>
        <v>VR_2023_2x LCD_Quest Pro</v>
      </c>
      <c r="Z477" s="36" t="str">
        <f t="shared" si="39"/>
        <v>VR_2023_2x LCD</v>
      </c>
    </row>
    <row r="478" spans="3:26">
      <c r="C478" s="17">
        <v>470</v>
      </c>
      <c r="D478" s="109" t="s">
        <v>26</v>
      </c>
      <c r="E478" s="20" t="s">
        <v>12</v>
      </c>
      <c r="F478" s="20" t="s">
        <v>179</v>
      </c>
      <c r="G478" s="21" t="s">
        <v>110</v>
      </c>
      <c r="H478" s="21" t="s">
        <v>162</v>
      </c>
      <c r="I478" s="19" t="s">
        <v>26</v>
      </c>
      <c r="J478" s="19" t="s">
        <v>31</v>
      </c>
      <c r="K478" s="21" t="s">
        <v>15</v>
      </c>
      <c r="L478" s="33" t="str">
        <f t="shared" si="35"/>
        <v>1x LCD</v>
      </c>
      <c r="M478" s="21" t="s">
        <v>2</v>
      </c>
      <c r="N478" s="21" t="s">
        <v>146</v>
      </c>
      <c r="O478" s="27">
        <v>5.5</v>
      </c>
      <c r="P478" s="20">
        <v>3840</v>
      </c>
      <c r="Q478" s="20">
        <v>1832</v>
      </c>
      <c r="R478" s="29">
        <f t="shared" si="36"/>
        <v>773.56797048396322</v>
      </c>
      <c r="S478" s="20">
        <v>90</v>
      </c>
      <c r="T478" s="18">
        <v>44317</v>
      </c>
      <c r="U478" s="20">
        <v>1</v>
      </c>
      <c r="V478" s="120">
        <v>6.523000000000001E-2</v>
      </c>
      <c r="W478" s="69">
        <f t="shared" si="37"/>
        <v>3.6099645046079996</v>
      </c>
      <c r="X478" s="106">
        <v>55.342089599999987</v>
      </c>
      <c r="Y478" s="72" t="str">
        <f t="shared" si="38"/>
        <v>VR_2023_1x LCD_Neo 3 / G3</v>
      </c>
      <c r="Z478" s="36" t="str">
        <f t="shared" si="39"/>
        <v>VR_2023_1x LCD</v>
      </c>
    </row>
    <row r="479" spans="3:26">
      <c r="C479" s="17">
        <v>471</v>
      </c>
      <c r="D479" s="109" t="s">
        <v>26</v>
      </c>
      <c r="E479" s="20" t="s">
        <v>12</v>
      </c>
      <c r="F479" s="20" t="s">
        <v>179</v>
      </c>
      <c r="G479" s="21" t="s">
        <v>110</v>
      </c>
      <c r="H479" s="21" t="s">
        <v>134</v>
      </c>
      <c r="I479" s="19" t="s">
        <v>26</v>
      </c>
      <c r="J479" s="19" t="s">
        <v>31</v>
      </c>
      <c r="K479" s="21" t="s">
        <v>15</v>
      </c>
      <c r="L479" s="33" t="str">
        <f t="shared" si="35"/>
        <v>2x LCD</v>
      </c>
      <c r="M479" s="21" t="s">
        <v>146</v>
      </c>
      <c r="N479" s="21"/>
      <c r="O479" s="27">
        <v>2.56</v>
      </c>
      <c r="P479" s="20">
        <v>2160</v>
      </c>
      <c r="Q479" s="20">
        <v>2160</v>
      </c>
      <c r="R479" s="29">
        <f t="shared" si="36"/>
        <v>1193.242693252299</v>
      </c>
      <c r="S479" s="20">
        <v>90</v>
      </c>
      <c r="T479" s="18">
        <v>44805</v>
      </c>
      <c r="U479" s="20">
        <v>2</v>
      </c>
      <c r="V479" s="120">
        <v>9.9000000000000005E-2</v>
      </c>
      <c r="W479" s="69">
        <f t="shared" si="37"/>
        <v>3.6525779136000005</v>
      </c>
      <c r="X479" s="106">
        <v>36.894726400000003</v>
      </c>
      <c r="Y479" s="72" t="str">
        <f t="shared" si="38"/>
        <v>VR_2023_2x LCD_Pico 4</v>
      </c>
      <c r="Z479" s="36" t="str">
        <f t="shared" si="39"/>
        <v>VR_2023_2x LCD</v>
      </c>
    </row>
    <row r="480" spans="3:26">
      <c r="C480" s="17">
        <v>472</v>
      </c>
      <c r="D480" s="109" t="s">
        <v>26</v>
      </c>
      <c r="E480" s="20" t="s">
        <v>12</v>
      </c>
      <c r="F480" s="20" t="s">
        <v>179</v>
      </c>
      <c r="G480" s="21" t="s">
        <v>108</v>
      </c>
      <c r="H480" s="21" t="s">
        <v>109</v>
      </c>
      <c r="I480" s="19" t="s">
        <v>26</v>
      </c>
      <c r="J480" s="19" t="s">
        <v>27</v>
      </c>
      <c r="K480" s="21" t="s">
        <v>15</v>
      </c>
      <c r="L480" s="33" t="str">
        <f t="shared" si="35"/>
        <v>2x LCD</v>
      </c>
      <c r="M480" s="21" t="s">
        <v>145</v>
      </c>
      <c r="N480" s="21" t="s">
        <v>146</v>
      </c>
      <c r="O480" s="27"/>
      <c r="P480" s="20"/>
      <c r="Q480" s="20"/>
      <c r="R480" s="29">
        <f t="shared" si="36"/>
        <v>0</v>
      </c>
      <c r="S480" s="20" t="s">
        <v>36</v>
      </c>
      <c r="T480" s="18" t="s">
        <v>143</v>
      </c>
      <c r="U480" s="20">
        <v>2</v>
      </c>
      <c r="V480" s="120">
        <v>1.5400000000000001E-3</v>
      </c>
      <c r="W480" s="69">
        <f t="shared" si="37"/>
        <v>5.6817878656000013E-2</v>
      </c>
      <c r="X480" s="106">
        <v>36.894726400000003</v>
      </c>
      <c r="Y480" s="72" t="str">
        <f t="shared" si="38"/>
        <v>VR_2023_2x LCD_Pimax VR</v>
      </c>
      <c r="Z480" s="36" t="str">
        <f t="shared" si="39"/>
        <v>VR_2023_2x LCD</v>
      </c>
    </row>
    <row r="481" spans="3:26">
      <c r="C481" s="17">
        <v>473</v>
      </c>
      <c r="D481" s="109" t="s">
        <v>26</v>
      </c>
      <c r="E481" s="20" t="s">
        <v>12</v>
      </c>
      <c r="F481" s="20" t="s">
        <v>179</v>
      </c>
      <c r="G481" s="21" t="s">
        <v>139</v>
      </c>
      <c r="H481" s="21" t="s">
        <v>140</v>
      </c>
      <c r="I481" s="19" t="s">
        <v>26</v>
      </c>
      <c r="J481" s="19" t="s">
        <v>27</v>
      </c>
      <c r="K481" s="21" t="s">
        <v>51</v>
      </c>
      <c r="L481" s="33" t="str">
        <f t="shared" si="35"/>
        <v>2x SiOLED</v>
      </c>
      <c r="M481" s="21" t="s">
        <v>171</v>
      </c>
      <c r="N481" s="21"/>
      <c r="O481" s="27">
        <v>1.3</v>
      </c>
      <c r="P481" s="20">
        <v>2560</v>
      </c>
      <c r="Q481" s="20">
        <v>2560</v>
      </c>
      <c r="R481" s="29">
        <f t="shared" si="36"/>
        <v>2784.9128612885565</v>
      </c>
      <c r="S481" s="20">
        <v>120</v>
      </c>
      <c r="T481" s="18"/>
      <c r="U481" s="20">
        <v>2</v>
      </c>
      <c r="V481" s="120">
        <v>2.2000000000000001E-3</v>
      </c>
      <c r="W481" s="69">
        <f t="shared" si="37"/>
        <v>0.35283600000000004</v>
      </c>
      <c r="X481" s="106">
        <v>160.38</v>
      </c>
      <c r="Y481" s="72" t="str">
        <f t="shared" si="38"/>
        <v>VR_2023_2x SiOLED_MeganeX</v>
      </c>
      <c r="Z481" s="36" t="str">
        <f t="shared" si="39"/>
        <v>VR_2023_2x SiOLED</v>
      </c>
    </row>
    <row r="482" spans="3:26">
      <c r="C482" s="17">
        <v>474</v>
      </c>
      <c r="D482" s="109" t="s">
        <v>26</v>
      </c>
      <c r="E482" s="20" t="s">
        <v>12</v>
      </c>
      <c r="F482" s="20" t="s">
        <v>179</v>
      </c>
      <c r="G482" s="21" t="s">
        <v>97</v>
      </c>
      <c r="H482" s="21" t="s">
        <v>161</v>
      </c>
      <c r="I482" s="19" t="s">
        <v>26</v>
      </c>
      <c r="J482" s="19" t="s">
        <v>36</v>
      </c>
      <c r="K482" s="21" t="s">
        <v>15</v>
      </c>
      <c r="L482" s="33" t="str">
        <f t="shared" si="35"/>
        <v>1x LCD</v>
      </c>
      <c r="M482" s="21" t="s">
        <v>36</v>
      </c>
      <c r="N482" s="21" t="s">
        <v>143</v>
      </c>
      <c r="O482" s="27"/>
      <c r="P482" s="20"/>
      <c r="Q482" s="20"/>
      <c r="R482" s="29">
        <f t="shared" si="36"/>
        <v>0</v>
      </c>
      <c r="S482" s="20" t="s">
        <v>36</v>
      </c>
      <c r="T482" s="18" t="s">
        <v>143</v>
      </c>
      <c r="U482" s="20">
        <v>1</v>
      </c>
      <c r="V482" s="120">
        <v>2.4199999999999999E-2</v>
      </c>
      <c r="W482" s="69">
        <f t="shared" si="37"/>
        <v>1.3392785683199997</v>
      </c>
      <c r="X482" s="106">
        <v>55.342089599999987</v>
      </c>
      <c r="Y482" s="72" t="str">
        <f t="shared" si="38"/>
        <v>VR_2023_1x LCD_Single LCD VR headset</v>
      </c>
      <c r="Z482" s="36" t="str">
        <f t="shared" si="39"/>
        <v>VR_2023_1x LCD</v>
      </c>
    </row>
    <row r="483" spans="3:26">
      <c r="C483" s="17">
        <v>475</v>
      </c>
      <c r="D483" s="109" t="s">
        <v>26</v>
      </c>
      <c r="E483" s="20" t="s">
        <v>12</v>
      </c>
      <c r="F483" s="20" t="s">
        <v>179</v>
      </c>
      <c r="G483" s="21" t="s">
        <v>180</v>
      </c>
      <c r="H483" s="21" t="s">
        <v>181</v>
      </c>
      <c r="I483" s="19" t="s">
        <v>26</v>
      </c>
      <c r="J483" s="19" t="s">
        <v>27</v>
      </c>
      <c r="K483" s="21" t="s">
        <v>51</v>
      </c>
      <c r="L483" s="33" t="str">
        <f t="shared" si="35"/>
        <v>2x SiOLED</v>
      </c>
      <c r="M483" s="21" t="s">
        <v>116</v>
      </c>
      <c r="N483" s="21"/>
      <c r="O483" s="27">
        <v>1.03</v>
      </c>
      <c r="P483" s="20">
        <v>2560</v>
      </c>
      <c r="Q483" s="20">
        <v>2560</v>
      </c>
      <c r="R483" s="29">
        <f t="shared" si="36"/>
        <v>3514.9385627913821</v>
      </c>
      <c r="S483" s="20"/>
      <c r="T483" s="18">
        <v>43497</v>
      </c>
      <c r="U483" s="20">
        <v>2</v>
      </c>
      <c r="V483" s="120">
        <v>4.444E-3</v>
      </c>
      <c r="W483" s="69">
        <f t="shared" si="37"/>
        <v>0.71272871999999998</v>
      </c>
      <c r="X483" s="106">
        <v>160.38</v>
      </c>
      <c r="Y483" s="72" t="str">
        <f t="shared" si="38"/>
        <v>VR_2023_2x SiOLED_Bionic models</v>
      </c>
      <c r="Z483" s="36" t="str">
        <f t="shared" si="39"/>
        <v>VR_2023_2x SiOLED</v>
      </c>
    </row>
    <row r="484" spans="3:26">
      <c r="C484" s="17">
        <v>476</v>
      </c>
      <c r="D484" s="109" t="s">
        <v>26</v>
      </c>
      <c r="E484" s="20" t="s">
        <v>12</v>
      </c>
      <c r="F484" s="20" t="s">
        <v>179</v>
      </c>
      <c r="G484" s="21" t="s">
        <v>180</v>
      </c>
      <c r="H484" s="21" t="s">
        <v>183</v>
      </c>
      <c r="I484" s="19" t="s">
        <v>26</v>
      </c>
      <c r="J484" s="19" t="s">
        <v>27</v>
      </c>
      <c r="K484" s="21" t="s">
        <v>15</v>
      </c>
      <c r="L484" s="33" t="str">
        <f t="shared" si="35"/>
        <v>2x LCD</v>
      </c>
      <c r="M484" s="21" t="s">
        <v>36</v>
      </c>
      <c r="N484" s="21"/>
      <c r="O484" s="27">
        <v>3.2</v>
      </c>
      <c r="P484" s="20">
        <v>2880</v>
      </c>
      <c r="Q484" s="20">
        <v>2720</v>
      </c>
      <c r="R484" s="29">
        <f t="shared" si="36"/>
        <v>1237.9418403139946</v>
      </c>
      <c r="S484" s="20">
        <v>90</v>
      </c>
      <c r="T484" s="18">
        <v>44470</v>
      </c>
      <c r="U484" s="20">
        <v>2</v>
      </c>
      <c r="V484" s="120">
        <v>1.1000000000000001E-3</v>
      </c>
      <c r="W484" s="69">
        <f t="shared" si="37"/>
        <v>6.0500000000000005E-2</v>
      </c>
      <c r="X484" s="106">
        <v>55</v>
      </c>
      <c r="Y484" s="72" t="str">
        <f t="shared" si="38"/>
        <v>VR_2023_2x LCD_Aero</v>
      </c>
      <c r="Z484" s="36" t="str">
        <f t="shared" si="39"/>
        <v>VR_2023_2x LCD</v>
      </c>
    </row>
    <row r="485" spans="3:26">
      <c r="C485" s="17">
        <v>477</v>
      </c>
      <c r="D485" s="109" t="s">
        <v>26</v>
      </c>
      <c r="E485" s="20" t="s">
        <v>12</v>
      </c>
      <c r="F485" s="20" t="s">
        <v>179</v>
      </c>
      <c r="G485" s="21" t="s">
        <v>180</v>
      </c>
      <c r="H485" s="21" t="s">
        <v>184</v>
      </c>
      <c r="I485" s="19" t="s">
        <v>26</v>
      </c>
      <c r="J485" s="19" t="s">
        <v>27</v>
      </c>
      <c r="K485" s="21" t="s">
        <v>15</v>
      </c>
      <c r="L485" s="33" t="str">
        <f t="shared" si="35"/>
        <v>2x LCD</v>
      </c>
      <c r="M485" s="21" t="s">
        <v>301</v>
      </c>
      <c r="N485" s="21"/>
      <c r="O485" s="27">
        <v>3.59</v>
      </c>
      <c r="P485" s="20">
        <v>3840</v>
      </c>
      <c r="Q485" s="20">
        <v>3744</v>
      </c>
      <c r="R485" s="29">
        <f t="shared" si="36"/>
        <v>1493.9073665208787</v>
      </c>
      <c r="S485" s="20">
        <v>90</v>
      </c>
      <c r="T485" s="18">
        <v>45261</v>
      </c>
      <c r="U485" s="20">
        <v>2</v>
      </c>
      <c r="V485" s="120">
        <v>8.8000000000000003E-4</v>
      </c>
      <c r="W485" s="69">
        <f t="shared" si="37"/>
        <v>4.8399999999999999E-2</v>
      </c>
      <c r="X485" s="106">
        <v>55</v>
      </c>
      <c r="Y485" s="72" t="str">
        <f t="shared" si="38"/>
        <v>VR_2023_2x LCD_XR-4</v>
      </c>
      <c r="Z485" s="36" t="str">
        <f t="shared" si="39"/>
        <v>VR_2023_2x LCD</v>
      </c>
    </row>
    <row r="486" spans="3:26">
      <c r="C486" s="17">
        <v>478</v>
      </c>
      <c r="D486" s="109" t="s">
        <v>129</v>
      </c>
      <c r="E486" s="20" t="s">
        <v>12</v>
      </c>
      <c r="F486" s="20" t="s">
        <v>179</v>
      </c>
      <c r="G486" s="21" t="s">
        <v>73</v>
      </c>
      <c r="H486" s="21" t="s">
        <v>74</v>
      </c>
      <c r="I486" s="19" t="s">
        <v>63</v>
      </c>
      <c r="J486" s="19" t="s">
        <v>31</v>
      </c>
      <c r="K486" s="21" t="s">
        <v>51</v>
      </c>
      <c r="L486" s="33" t="str">
        <f t="shared" si="35"/>
        <v>2x SiOLED</v>
      </c>
      <c r="M486" s="21" t="s">
        <v>73</v>
      </c>
      <c r="N486" s="21"/>
      <c r="O486" s="27">
        <v>0.43</v>
      </c>
      <c r="P486" s="20">
        <v>1280</v>
      </c>
      <c r="Q486" s="20">
        <v>720</v>
      </c>
      <c r="R486" s="29">
        <f t="shared" si="36"/>
        <v>3415.3599536159668</v>
      </c>
      <c r="S486" s="20" t="s">
        <v>36</v>
      </c>
      <c r="T486" s="18">
        <v>42401</v>
      </c>
      <c r="U486" s="20">
        <v>2</v>
      </c>
      <c r="V486" s="120">
        <v>9.4600000000000014E-3</v>
      </c>
      <c r="W486" s="69">
        <f t="shared" si="37"/>
        <v>0.66220000000000012</v>
      </c>
      <c r="X486" s="106">
        <v>70</v>
      </c>
      <c r="Y486" s="72" t="str">
        <f t="shared" si="38"/>
        <v>AR_2023_2x SiOLED_Moverio</v>
      </c>
      <c r="Z486" s="36" t="str">
        <f t="shared" si="39"/>
        <v>AR_2023_2x SiOLED</v>
      </c>
    </row>
    <row r="487" spans="3:26">
      <c r="C487" s="17">
        <v>479</v>
      </c>
      <c r="D487" s="109" t="s">
        <v>129</v>
      </c>
      <c r="E487" s="20" t="s">
        <v>12</v>
      </c>
      <c r="F487" s="20" t="s">
        <v>179</v>
      </c>
      <c r="G487" s="21" t="s">
        <v>77</v>
      </c>
      <c r="H487" s="21" t="s">
        <v>131</v>
      </c>
      <c r="I487" s="19" t="s">
        <v>63</v>
      </c>
      <c r="J487" s="19" t="s">
        <v>27</v>
      </c>
      <c r="K487" s="21" t="s">
        <v>51</v>
      </c>
      <c r="L487" s="33" t="str">
        <f t="shared" si="35"/>
        <v>2x SiOLED</v>
      </c>
      <c r="M487" s="21" t="s">
        <v>116</v>
      </c>
      <c r="N487" s="21"/>
      <c r="O487" s="27">
        <v>0.49</v>
      </c>
      <c r="P487" s="20">
        <v>1920</v>
      </c>
      <c r="Q487" s="20">
        <v>1080</v>
      </c>
      <c r="R487" s="29">
        <f t="shared" si="36"/>
        <v>4495.7289185353029</v>
      </c>
      <c r="S487" s="20">
        <v>60</v>
      </c>
      <c r="T487" s="18">
        <v>44866</v>
      </c>
      <c r="U487" s="20">
        <v>2</v>
      </c>
      <c r="V487" s="120">
        <v>9.7899999999999984E-3</v>
      </c>
      <c r="W487" s="69">
        <f t="shared" si="37"/>
        <v>0.48949999999999994</v>
      </c>
      <c r="X487" s="106">
        <v>50</v>
      </c>
      <c r="Y487" s="72" t="str">
        <f t="shared" si="38"/>
        <v>AR_2023_2x SiOLED_T1</v>
      </c>
      <c r="Z487" s="36" t="str">
        <f t="shared" si="39"/>
        <v>AR_2023_2x SiOLED</v>
      </c>
    </row>
    <row r="488" spans="3:26">
      <c r="C488" s="17">
        <v>480</v>
      </c>
      <c r="D488" s="109" t="s">
        <v>129</v>
      </c>
      <c r="E488" s="20" t="s">
        <v>12</v>
      </c>
      <c r="F488" s="20" t="s">
        <v>179</v>
      </c>
      <c r="G488" s="21" t="s">
        <v>77</v>
      </c>
      <c r="H488" s="21" t="s">
        <v>78</v>
      </c>
      <c r="I488" s="19" t="s">
        <v>63</v>
      </c>
      <c r="J488" s="19" t="s">
        <v>27</v>
      </c>
      <c r="K488" s="21" t="s">
        <v>51</v>
      </c>
      <c r="L488" s="33" t="str">
        <f t="shared" si="35"/>
        <v>2x SiOLED</v>
      </c>
      <c r="M488" s="21" t="s">
        <v>6</v>
      </c>
      <c r="N488" s="21"/>
      <c r="O488" s="27">
        <v>0.71</v>
      </c>
      <c r="P488" s="20">
        <v>1920</v>
      </c>
      <c r="Q488" s="20">
        <v>1080</v>
      </c>
      <c r="R488" s="29">
        <f t="shared" si="36"/>
        <v>3102.6861550454905</v>
      </c>
      <c r="S488" s="20" t="s">
        <v>36</v>
      </c>
      <c r="T488" s="18">
        <v>44348</v>
      </c>
      <c r="U488" s="20">
        <v>2</v>
      </c>
      <c r="V488" s="120">
        <v>2.6400000000000002E-4</v>
      </c>
      <c r="W488" s="69">
        <f t="shared" si="37"/>
        <v>1.9526477414399997E-2</v>
      </c>
      <c r="X488" s="106">
        <v>73.963929599999986</v>
      </c>
      <c r="Y488" s="72" t="str">
        <f t="shared" si="38"/>
        <v>AR_2023_2x SiOLED_ThinkReality A3</v>
      </c>
      <c r="Z488" s="36" t="str">
        <f t="shared" si="39"/>
        <v>AR_2023_2x SiOLED</v>
      </c>
    </row>
    <row r="489" spans="3:26">
      <c r="C489" s="17">
        <v>481</v>
      </c>
      <c r="D489" s="109" t="s">
        <v>129</v>
      </c>
      <c r="E489" s="20" t="s">
        <v>12</v>
      </c>
      <c r="F489" s="20" t="s">
        <v>179</v>
      </c>
      <c r="G489" s="21" t="s">
        <v>65</v>
      </c>
      <c r="H489" s="21" t="s">
        <v>117</v>
      </c>
      <c r="I489" s="19" t="s">
        <v>63</v>
      </c>
      <c r="J489" s="19" t="s">
        <v>31</v>
      </c>
      <c r="K489" s="21" t="s">
        <v>67</v>
      </c>
      <c r="L489" s="33" t="str">
        <f t="shared" si="35"/>
        <v>2x LCoS</v>
      </c>
      <c r="M489" s="21" t="s">
        <v>36</v>
      </c>
      <c r="N489" s="21"/>
      <c r="O489" s="27"/>
      <c r="P489" s="20">
        <v>1440</v>
      </c>
      <c r="Q489" s="20">
        <v>1760</v>
      </c>
      <c r="R489" s="29">
        <f t="shared" si="36"/>
        <v>0</v>
      </c>
      <c r="S489" s="20" t="s">
        <v>36</v>
      </c>
      <c r="T489" s="18">
        <v>44805</v>
      </c>
      <c r="U489" s="20">
        <v>2</v>
      </c>
      <c r="V489" s="120">
        <v>1.32E-3</v>
      </c>
      <c r="W489" s="69">
        <f t="shared" si="37"/>
        <v>5.8327389727200002E-2</v>
      </c>
      <c r="X489" s="106">
        <v>44.187416460000001</v>
      </c>
      <c r="Y489" s="72" t="str">
        <f t="shared" si="38"/>
        <v>AR_2023_2x LCoS_ML 2</v>
      </c>
      <c r="Z489" s="36" t="str">
        <f t="shared" si="39"/>
        <v>AR_2023_2x LCoS</v>
      </c>
    </row>
    <row r="490" spans="3:26">
      <c r="C490" s="17">
        <v>482</v>
      </c>
      <c r="D490" s="109" t="s">
        <v>129</v>
      </c>
      <c r="E490" s="20" t="s">
        <v>12</v>
      </c>
      <c r="F490" s="20" t="s">
        <v>179</v>
      </c>
      <c r="G490" s="21" t="s">
        <v>132</v>
      </c>
      <c r="H490" s="21" t="s">
        <v>133</v>
      </c>
      <c r="I490" s="19" t="s">
        <v>63</v>
      </c>
      <c r="J490" s="19" t="s">
        <v>27</v>
      </c>
      <c r="K490" s="21" t="s">
        <v>51</v>
      </c>
      <c r="L490" s="33" t="str">
        <f t="shared" si="35"/>
        <v>2x SiOLED</v>
      </c>
      <c r="M490" s="21" t="s">
        <v>116</v>
      </c>
      <c r="N490" s="21"/>
      <c r="O490" s="27">
        <v>0.49</v>
      </c>
      <c r="P490" s="20">
        <v>1920</v>
      </c>
      <c r="Q490" s="20">
        <v>1080</v>
      </c>
      <c r="R490" s="29">
        <f t="shared" si="36"/>
        <v>4495.7289185353029</v>
      </c>
      <c r="S490" s="20">
        <v>75</v>
      </c>
      <c r="T490" s="18">
        <v>44501</v>
      </c>
      <c r="U490" s="20">
        <v>2</v>
      </c>
      <c r="V490" s="120">
        <v>4.8399999999999997E-3</v>
      </c>
      <c r="W490" s="69">
        <f t="shared" si="37"/>
        <v>0.24199999999999999</v>
      </c>
      <c r="X490" s="106">
        <v>50</v>
      </c>
      <c r="Y490" s="72" t="str">
        <f t="shared" si="38"/>
        <v>AR_2023_2x SiOLED_Air</v>
      </c>
      <c r="Z490" s="36" t="str">
        <f t="shared" si="39"/>
        <v>AR_2023_2x SiOLED</v>
      </c>
    </row>
    <row r="491" spans="3:26">
      <c r="C491" s="17">
        <v>483</v>
      </c>
      <c r="D491" s="109" t="s">
        <v>129</v>
      </c>
      <c r="E491" s="20" t="s">
        <v>12</v>
      </c>
      <c r="F491" s="20" t="s">
        <v>179</v>
      </c>
      <c r="G491" s="21" t="s">
        <v>132</v>
      </c>
      <c r="H491" s="21" t="s">
        <v>160</v>
      </c>
      <c r="I491" s="19" t="s">
        <v>63</v>
      </c>
      <c r="J491" s="19" t="s">
        <v>27</v>
      </c>
      <c r="K491" s="21" t="s">
        <v>51</v>
      </c>
      <c r="L491" s="33" t="str">
        <f t="shared" si="35"/>
        <v>2x SiOLED</v>
      </c>
      <c r="M491" s="21" t="s">
        <v>6</v>
      </c>
      <c r="N491" s="21"/>
      <c r="O491" s="27">
        <v>0.55000000000000004</v>
      </c>
      <c r="P491" s="20">
        <v>1920</v>
      </c>
      <c r="Q491" s="20">
        <v>1080</v>
      </c>
      <c r="R491" s="29">
        <f t="shared" si="36"/>
        <v>4005.2857637859966</v>
      </c>
      <c r="S491" s="20">
        <v>120</v>
      </c>
      <c r="T491" s="18">
        <v>45017</v>
      </c>
      <c r="U491" s="20">
        <v>2</v>
      </c>
      <c r="V491" s="120">
        <v>9.9000000000000008E-3</v>
      </c>
      <c r="W491" s="69">
        <f t="shared" si="37"/>
        <v>0.5445000000000001</v>
      </c>
      <c r="X491" s="106">
        <v>55</v>
      </c>
      <c r="Y491" s="72" t="str">
        <f t="shared" si="38"/>
        <v>AR_2023_2x SiOLED_Max</v>
      </c>
      <c r="Z491" s="36" t="str">
        <f t="shared" si="39"/>
        <v>AR_2023_2x SiOLED</v>
      </c>
    </row>
    <row r="492" spans="3:26">
      <c r="C492" s="17">
        <v>484</v>
      </c>
      <c r="D492" s="109" t="s">
        <v>129</v>
      </c>
      <c r="E492" s="20" t="s">
        <v>12</v>
      </c>
      <c r="F492" s="20" t="s">
        <v>179</v>
      </c>
      <c r="G492" s="21" t="s">
        <v>135</v>
      </c>
      <c r="H492" s="21" t="s">
        <v>136</v>
      </c>
      <c r="I492" s="19" t="s">
        <v>63</v>
      </c>
      <c r="J492" s="19" t="s">
        <v>27</v>
      </c>
      <c r="K492" s="21" t="s">
        <v>51</v>
      </c>
      <c r="L492" s="33" t="str">
        <f t="shared" si="35"/>
        <v>2x SiOLED</v>
      </c>
      <c r="M492" s="21" t="s">
        <v>6</v>
      </c>
      <c r="N492" s="21"/>
      <c r="O492" s="27">
        <v>0.55000000000000004</v>
      </c>
      <c r="P492" s="20">
        <v>1920</v>
      </c>
      <c r="Q492" s="20">
        <v>1080</v>
      </c>
      <c r="R492" s="29">
        <f t="shared" si="36"/>
        <v>4005.2857637859966</v>
      </c>
      <c r="S492" s="20" t="s">
        <v>36</v>
      </c>
      <c r="T492" s="18">
        <v>44866</v>
      </c>
      <c r="U492" s="20">
        <v>2</v>
      </c>
      <c r="V492" s="120">
        <v>4.0039999999999999E-2</v>
      </c>
      <c r="W492" s="69">
        <f t="shared" si="37"/>
        <v>2.2021999999999999</v>
      </c>
      <c r="X492" s="106">
        <v>55</v>
      </c>
      <c r="Y492" s="72" t="str">
        <f t="shared" si="38"/>
        <v>AR_2023_2x SiOLED_NXTWear</v>
      </c>
      <c r="Z492" s="36" t="str">
        <f t="shared" si="39"/>
        <v>AR_2023_2x SiOLED</v>
      </c>
    </row>
    <row r="493" spans="3:26">
      <c r="C493" s="17">
        <v>485</v>
      </c>
      <c r="D493" s="109" t="s">
        <v>129</v>
      </c>
      <c r="E493" s="20" t="s">
        <v>12</v>
      </c>
      <c r="F493" s="20" t="s">
        <v>179</v>
      </c>
      <c r="G493" s="21" t="s">
        <v>68</v>
      </c>
      <c r="H493" s="21" t="s">
        <v>69</v>
      </c>
      <c r="I493" s="19" t="s">
        <v>63</v>
      </c>
      <c r="J493" s="19" t="s">
        <v>31</v>
      </c>
      <c r="K493" s="21" t="s">
        <v>70</v>
      </c>
      <c r="L493" s="33" t="str">
        <f t="shared" si="35"/>
        <v>1x DLP</v>
      </c>
      <c r="M493" s="21" t="s">
        <v>172</v>
      </c>
      <c r="N493" s="21"/>
      <c r="O493" s="27"/>
      <c r="P493" s="20">
        <v>853</v>
      </c>
      <c r="Q493" s="20">
        <v>480</v>
      </c>
      <c r="R493" s="29">
        <f t="shared" si="36"/>
        <v>0</v>
      </c>
      <c r="S493" s="20" t="s">
        <v>36</v>
      </c>
      <c r="T493" s="18">
        <v>43466</v>
      </c>
      <c r="U493" s="20">
        <v>1</v>
      </c>
      <c r="V493" s="120">
        <v>1.1E-4</v>
      </c>
      <c r="W493" s="69">
        <f t="shared" si="37"/>
        <v>8.7702415712999984E-3</v>
      </c>
      <c r="X493" s="106">
        <v>79.729468829999988</v>
      </c>
      <c r="Y493" s="72" t="str">
        <f t="shared" si="38"/>
        <v>AR_2023_1x DLP_Blade</v>
      </c>
      <c r="Z493" s="36" t="str">
        <f t="shared" si="39"/>
        <v>AR_2023_1x DLP</v>
      </c>
    </row>
    <row r="494" spans="3:26">
      <c r="C494" s="17">
        <v>486</v>
      </c>
      <c r="D494" s="109" t="s">
        <v>129</v>
      </c>
      <c r="E494" s="20" t="s">
        <v>12</v>
      </c>
      <c r="F494" s="20" t="s">
        <v>179</v>
      </c>
      <c r="G494" s="21" t="s">
        <v>68</v>
      </c>
      <c r="H494" s="21" t="s">
        <v>122</v>
      </c>
      <c r="I494" s="19" t="s">
        <v>63</v>
      </c>
      <c r="J494" s="19" t="s">
        <v>31</v>
      </c>
      <c r="K494" s="21" t="s">
        <v>120</v>
      </c>
      <c r="L494" s="33" t="str">
        <f t="shared" si="35"/>
        <v>2x MicroLED</v>
      </c>
      <c r="M494" s="21" t="s">
        <v>144</v>
      </c>
      <c r="N494" s="21"/>
      <c r="O494" s="27">
        <v>0.13</v>
      </c>
      <c r="P494" s="20">
        <v>640</v>
      </c>
      <c r="Q494" s="20">
        <v>480</v>
      </c>
      <c r="R494" s="29">
        <f t="shared" si="36"/>
        <v>6153.8461538461534</v>
      </c>
      <c r="S494" s="20" t="s">
        <v>36</v>
      </c>
      <c r="T494" s="18">
        <v>44896</v>
      </c>
      <c r="U494" s="20">
        <v>2</v>
      </c>
      <c r="V494" s="120">
        <v>2.2000000000000001E-4</v>
      </c>
      <c r="W494" s="69">
        <f t="shared" si="37"/>
        <v>1.6317653263999997E-2</v>
      </c>
      <c r="X494" s="106">
        <v>74.171151199999983</v>
      </c>
      <c r="Y494" s="72" t="str">
        <f t="shared" si="38"/>
        <v>AR_2023_2x MicroLED_Shield</v>
      </c>
      <c r="Z494" s="36" t="str">
        <f t="shared" si="39"/>
        <v>AR_2023_2x MicroLED</v>
      </c>
    </row>
    <row r="495" spans="3:26">
      <c r="C495" s="17">
        <v>487</v>
      </c>
      <c r="D495" s="109" t="s">
        <v>129</v>
      </c>
      <c r="E495" s="20" t="s">
        <v>12</v>
      </c>
      <c r="F495" s="20" t="s">
        <v>179</v>
      </c>
      <c r="G495" s="21" t="s">
        <v>97</v>
      </c>
      <c r="H495" s="21" t="s">
        <v>123</v>
      </c>
      <c r="I495" s="19" t="s">
        <v>63</v>
      </c>
      <c r="J495" s="19" t="s">
        <v>36</v>
      </c>
      <c r="K495" s="21" t="s">
        <v>120</v>
      </c>
      <c r="L495" s="33" t="str">
        <f t="shared" si="35"/>
        <v>2x MicroLED</v>
      </c>
      <c r="M495" s="21" t="s">
        <v>36</v>
      </c>
      <c r="N495" s="21"/>
      <c r="O495" s="27"/>
      <c r="P495" s="20"/>
      <c r="Q495" s="20"/>
      <c r="R495" s="29">
        <f t="shared" si="36"/>
        <v>0</v>
      </c>
      <c r="S495" s="20" t="s">
        <v>36</v>
      </c>
      <c r="T495" s="18" t="s">
        <v>143</v>
      </c>
      <c r="U495" s="20">
        <v>2</v>
      </c>
      <c r="V495" s="120">
        <v>3.96E-3</v>
      </c>
      <c r="W495" s="69">
        <f t="shared" si="37"/>
        <v>0.29371775875199996</v>
      </c>
      <c r="X495" s="106">
        <v>74.171151199999983</v>
      </c>
      <c r="Y495" s="72" t="str">
        <f t="shared" si="38"/>
        <v>AR_2023_2x MicroLED_Binocular MicroLED</v>
      </c>
      <c r="Z495" s="36" t="str">
        <f t="shared" si="39"/>
        <v>AR_2023_2x MicroLED</v>
      </c>
    </row>
    <row r="496" spans="3:26">
      <c r="C496" s="17">
        <v>488</v>
      </c>
      <c r="D496" s="109" t="s">
        <v>129</v>
      </c>
      <c r="E496" s="20" t="s">
        <v>12</v>
      </c>
      <c r="F496" s="20" t="s">
        <v>179</v>
      </c>
      <c r="G496" s="21" t="s">
        <v>97</v>
      </c>
      <c r="H496" s="21" t="s">
        <v>75</v>
      </c>
      <c r="I496" s="19" t="s">
        <v>63</v>
      </c>
      <c r="J496" s="19" t="s">
        <v>36</v>
      </c>
      <c r="K496" s="21" t="s">
        <v>67</v>
      </c>
      <c r="L496" s="33" t="str">
        <f t="shared" si="35"/>
        <v>2x LCoS</v>
      </c>
      <c r="M496" s="21" t="s">
        <v>36</v>
      </c>
      <c r="N496" s="21"/>
      <c r="O496" s="27"/>
      <c r="P496" s="20"/>
      <c r="Q496" s="20"/>
      <c r="R496" s="29">
        <f t="shared" si="36"/>
        <v>0</v>
      </c>
      <c r="S496" s="20" t="s">
        <v>36</v>
      </c>
      <c r="T496" s="18" t="s">
        <v>143</v>
      </c>
      <c r="U496" s="20">
        <v>2</v>
      </c>
      <c r="V496" s="120">
        <v>4.4000000000000003E-3</v>
      </c>
      <c r="W496" s="69">
        <f t="shared" si="37"/>
        <v>0.19442463242400002</v>
      </c>
      <c r="X496" s="106">
        <v>44.187416460000001</v>
      </c>
      <c r="Y496" s="72" t="str">
        <f t="shared" si="38"/>
        <v>AR_2023_2x LCoS_LCoS glasses</v>
      </c>
      <c r="Z496" s="36" t="str">
        <f t="shared" si="39"/>
        <v>AR_2023_2x LCoS</v>
      </c>
    </row>
    <row r="497" spans="3:26">
      <c r="C497" s="17">
        <v>489</v>
      </c>
      <c r="D497" s="109" t="s">
        <v>129</v>
      </c>
      <c r="E497" s="20" t="s">
        <v>12</v>
      </c>
      <c r="F497" s="20" t="s">
        <v>179</v>
      </c>
      <c r="G497" s="21" t="s">
        <v>97</v>
      </c>
      <c r="H497" s="21" t="s">
        <v>121</v>
      </c>
      <c r="I497" s="19" t="s">
        <v>63</v>
      </c>
      <c r="J497" s="19" t="s">
        <v>36</v>
      </c>
      <c r="K497" s="21" t="s">
        <v>120</v>
      </c>
      <c r="L497" s="33" t="str">
        <f t="shared" si="35"/>
        <v>1x MicroLED</v>
      </c>
      <c r="M497" s="21" t="s">
        <v>36</v>
      </c>
      <c r="N497" s="21"/>
      <c r="O497" s="27"/>
      <c r="P497" s="20"/>
      <c r="Q497" s="20"/>
      <c r="R497" s="29">
        <f t="shared" si="36"/>
        <v>0</v>
      </c>
      <c r="S497" s="20" t="s">
        <v>36</v>
      </c>
      <c r="T497" s="18" t="s">
        <v>143</v>
      </c>
      <c r="U497" s="20">
        <v>1</v>
      </c>
      <c r="V497" s="120">
        <v>1.1E-4</v>
      </c>
      <c r="W497" s="69">
        <f t="shared" si="37"/>
        <v>8.1588266319999984E-3</v>
      </c>
      <c r="X497" s="106">
        <v>74.171151199999983</v>
      </c>
      <c r="Y497" s="72" t="str">
        <f t="shared" si="38"/>
        <v>AR_2023_1x MicroLED_Monocular MicroLED</v>
      </c>
      <c r="Z497" s="36" t="str">
        <f t="shared" si="39"/>
        <v>AR_2023_1x MicroLED</v>
      </c>
    </row>
    <row r="498" spans="3:26">
      <c r="C498" s="17">
        <v>490</v>
      </c>
      <c r="D498" s="109" t="s">
        <v>129</v>
      </c>
      <c r="E498" s="20" t="s">
        <v>12</v>
      </c>
      <c r="F498" s="20" t="s">
        <v>179</v>
      </c>
      <c r="G498" s="21" t="s">
        <v>97</v>
      </c>
      <c r="H498" s="21" t="s">
        <v>79</v>
      </c>
      <c r="I498" s="19" t="s">
        <v>63</v>
      </c>
      <c r="J498" s="19" t="s">
        <v>36</v>
      </c>
      <c r="K498" s="21" t="s">
        <v>51</v>
      </c>
      <c r="L498" s="33" t="str">
        <f t="shared" si="35"/>
        <v>2x SiOLED</v>
      </c>
      <c r="M498" s="21" t="s">
        <v>36</v>
      </c>
      <c r="N498" s="21"/>
      <c r="O498" s="27"/>
      <c r="P498" s="20"/>
      <c r="Q498" s="20"/>
      <c r="R498" s="29">
        <f t="shared" si="36"/>
        <v>0</v>
      </c>
      <c r="S498" s="20" t="s">
        <v>36</v>
      </c>
      <c r="T498" s="18" t="s">
        <v>143</v>
      </c>
      <c r="U498" s="20">
        <v>2</v>
      </c>
      <c r="V498" s="120">
        <v>3.4099999999999998E-2</v>
      </c>
      <c r="W498" s="69">
        <f t="shared" si="37"/>
        <v>2.5221699993599995</v>
      </c>
      <c r="X498" s="106">
        <v>73.963929599999986</v>
      </c>
      <c r="Y498" s="72" t="str">
        <f t="shared" si="38"/>
        <v>AR_2023_2x SiOLED_SiOLED glasses</v>
      </c>
      <c r="Z498" s="36" t="str">
        <f t="shared" si="39"/>
        <v>AR_2023_2x SiOLED</v>
      </c>
    </row>
    <row r="499" spans="3:26">
      <c r="C499" s="17">
        <v>491</v>
      </c>
      <c r="D499" s="109" t="s">
        <v>129</v>
      </c>
      <c r="E499" s="20" t="s">
        <v>12</v>
      </c>
      <c r="F499" s="20" t="s">
        <v>179</v>
      </c>
      <c r="G499" s="21" t="s">
        <v>186</v>
      </c>
      <c r="H499" s="21" t="s">
        <v>133</v>
      </c>
      <c r="I499" s="19" t="s">
        <v>63</v>
      </c>
      <c r="J499" s="19" t="s">
        <v>27</v>
      </c>
      <c r="K499" s="21" t="s">
        <v>51</v>
      </c>
      <c r="L499" s="33" t="str">
        <f t="shared" si="35"/>
        <v>2x SiOLED</v>
      </c>
      <c r="M499" s="21" t="s">
        <v>145</v>
      </c>
      <c r="N499" s="21"/>
      <c r="O499" s="27">
        <v>0.71</v>
      </c>
      <c r="P499" s="20">
        <v>1920</v>
      </c>
      <c r="Q499" s="20">
        <v>1080</v>
      </c>
      <c r="R499" s="29">
        <f t="shared" si="36"/>
        <v>3102.6861550454905</v>
      </c>
      <c r="S499" s="20">
        <v>90</v>
      </c>
      <c r="T499" s="18">
        <v>44470</v>
      </c>
      <c r="U499" s="20">
        <v>2</v>
      </c>
      <c r="V499" s="120">
        <v>6.6879999999999995E-3</v>
      </c>
      <c r="W499" s="69">
        <f t="shared" si="37"/>
        <v>0.49467076116479985</v>
      </c>
      <c r="X499" s="106">
        <v>73.963929599999986</v>
      </c>
      <c r="Y499" s="72" t="str">
        <f t="shared" si="38"/>
        <v>AR_2023_2x SiOLED_Air</v>
      </c>
      <c r="Z499" s="36" t="str">
        <f t="shared" si="39"/>
        <v>AR_2023_2x SiOLED</v>
      </c>
    </row>
    <row r="500" spans="3:26">
      <c r="C500" s="17">
        <v>492</v>
      </c>
      <c r="D500" s="109" t="s">
        <v>129</v>
      </c>
      <c r="E500" s="20" t="s">
        <v>12</v>
      </c>
      <c r="F500" s="20" t="s">
        <v>179</v>
      </c>
      <c r="G500" s="21" t="s">
        <v>186</v>
      </c>
      <c r="H500" s="21" t="s">
        <v>188</v>
      </c>
      <c r="I500" s="19" t="s">
        <v>63</v>
      </c>
      <c r="J500" s="19" t="s">
        <v>27</v>
      </c>
      <c r="K500" s="21" t="s">
        <v>51</v>
      </c>
      <c r="L500" s="33" t="str">
        <f t="shared" si="35"/>
        <v>2x SiOLED</v>
      </c>
      <c r="M500" s="21" t="s">
        <v>6</v>
      </c>
      <c r="N500" s="21"/>
      <c r="O500" s="27">
        <v>0.55000000000000004</v>
      </c>
      <c r="P500" s="20">
        <v>1920</v>
      </c>
      <c r="Q500" s="20">
        <v>1080</v>
      </c>
      <c r="R500" s="29">
        <f t="shared" si="36"/>
        <v>4005.2857637859966</v>
      </c>
      <c r="S500" s="20">
        <v>120</v>
      </c>
      <c r="T500" s="18">
        <v>45170</v>
      </c>
      <c r="U500" s="20">
        <v>2</v>
      </c>
      <c r="V500" s="120">
        <v>7.5240000000000001E-2</v>
      </c>
      <c r="W500" s="69">
        <f t="shared" si="37"/>
        <v>4.1382000000000003</v>
      </c>
      <c r="X500" s="106">
        <v>55</v>
      </c>
      <c r="Y500" s="72" t="str">
        <f t="shared" si="38"/>
        <v>AR_2023_2x SiOLED_Air 2</v>
      </c>
      <c r="Z500" s="36" t="str">
        <f t="shared" si="39"/>
        <v>AR_2023_2x SiOLED</v>
      </c>
    </row>
    <row r="501" spans="3:26">
      <c r="C501" s="17">
        <v>493</v>
      </c>
      <c r="D501" s="109" t="s">
        <v>129</v>
      </c>
      <c r="E501" s="20" t="s">
        <v>12</v>
      </c>
      <c r="F501" s="20" t="s">
        <v>179</v>
      </c>
      <c r="G501" s="21" t="s">
        <v>189</v>
      </c>
      <c r="H501" s="21" t="s">
        <v>190</v>
      </c>
      <c r="I501" s="19" t="s">
        <v>63</v>
      </c>
      <c r="J501" s="19" t="s">
        <v>31</v>
      </c>
      <c r="K501" s="21" t="s">
        <v>120</v>
      </c>
      <c r="L501" s="33" t="str">
        <f t="shared" si="35"/>
        <v>2x MicroLED</v>
      </c>
      <c r="M501" s="21" t="s">
        <v>144</v>
      </c>
      <c r="N501" s="21"/>
      <c r="O501" s="27">
        <v>0.13</v>
      </c>
      <c r="P501" s="20">
        <v>640</v>
      </c>
      <c r="Q501" s="20">
        <v>480</v>
      </c>
      <c r="R501" s="29">
        <f t="shared" si="36"/>
        <v>6153.8461538461534</v>
      </c>
      <c r="S501" s="20" t="s">
        <v>36</v>
      </c>
      <c r="T501" s="18">
        <v>45261</v>
      </c>
      <c r="U501" s="20">
        <v>2</v>
      </c>
      <c r="V501" s="120">
        <v>1.2E-2</v>
      </c>
      <c r="W501" s="69">
        <f t="shared" si="37"/>
        <v>0.89005381439999987</v>
      </c>
      <c r="X501" s="106">
        <v>74.171151199999983</v>
      </c>
      <c r="Y501" s="72" t="str">
        <f t="shared" si="38"/>
        <v>AR_2023_2x MicroLED_MYVU</v>
      </c>
      <c r="Z501" s="36" t="str">
        <f t="shared" si="39"/>
        <v>AR_2023_2x MicroLED</v>
      </c>
    </row>
    <row r="502" spans="3:26">
      <c r="C502" s="17">
        <v>494</v>
      </c>
      <c r="D502" s="109" t="s">
        <v>129</v>
      </c>
      <c r="E502" s="20" t="s">
        <v>12</v>
      </c>
      <c r="F502" s="20" t="s">
        <v>179</v>
      </c>
      <c r="G502" s="21" t="s">
        <v>191</v>
      </c>
      <c r="H502" s="21" t="s">
        <v>192</v>
      </c>
      <c r="I502" s="19" t="s">
        <v>63</v>
      </c>
      <c r="J502" s="19" t="s">
        <v>31</v>
      </c>
      <c r="K502" s="21" t="s">
        <v>120</v>
      </c>
      <c r="L502" s="33" t="str">
        <f t="shared" si="35"/>
        <v>1x MicroLED</v>
      </c>
      <c r="M502" s="21" t="s">
        <v>144</v>
      </c>
      <c r="N502" s="21"/>
      <c r="O502" s="27">
        <v>0.13</v>
      </c>
      <c r="P502" s="20">
        <v>640</v>
      </c>
      <c r="Q502" s="20">
        <v>480</v>
      </c>
      <c r="R502" s="29">
        <f t="shared" si="36"/>
        <v>6153.8461538461534</v>
      </c>
      <c r="S502" s="20" t="s">
        <v>36</v>
      </c>
      <c r="T502" s="18">
        <v>45170</v>
      </c>
      <c r="U502" s="20">
        <v>1</v>
      </c>
      <c r="V502" s="120">
        <v>5.4999999999999997E-3</v>
      </c>
      <c r="W502" s="69">
        <f t="shared" si="37"/>
        <v>0.4079413315999999</v>
      </c>
      <c r="X502" s="106">
        <v>74.171151199999983</v>
      </c>
      <c r="Y502" s="72" t="str">
        <f t="shared" si="38"/>
        <v>AR_2023_1x MicroLED_Go</v>
      </c>
      <c r="Z502" s="36" t="str">
        <f t="shared" si="39"/>
        <v>AR_2023_1x MicroLED</v>
      </c>
    </row>
    <row r="503" spans="3:26">
      <c r="C503" s="17">
        <v>495</v>
      </c>
      <c r="D503" s="109" t="s">
        <v>26</v>
      </c>
      <c r="E503" s="20" t="s">
        <v>12</v>
      </c>
      <c r="F503" s="20" t="s">
        <v>182</v>
      </c>
      <c r="G503" s="21" t="s">
        <v>141</v>
      </c>
      <c r="H503" s="21" t="s">
        <v>169</v>
      </c>
      <c r="I503" s="19" t="s">
        <v>44</v>
      </c>
      <c r="J503" s="19" t="s">
        <v>31</v>
      </c>
      <c r="K503" s="21" t="s">
        <v>51</v>
      </c>
      <c r="L503" s="33" t="str">
        <f t="shared" si="35"/>
        <v>2x SiOLED</v>
      </c>
      <c r="M503" s="21" t="s">
        <v>6</v>
      </c>
      <c r="N503" s="21"/>
      <c r="O503" s="27">
        <v>1.42</v>
      </c>
      <c r="P503" s="20">
        <v>3660</v>
      </c>
      <c r="Q503" s="20">
        <v>3200</v>
      </c>
      <c r="R503" s="29">
        <f t="shared" si="36"/>
        <v>3423.6942337059722</v>
      </c>
      <c r="S503" s="20">
        <v>100</v>
      </c>
      <c r="T503" s="18">
        <v>45323</v>
      </c>
      <c r="U503" s="20">
        <v>2</v>
      </c>
      <c r="V503" s="120">
        <v>0.31</v>
      </c>
      <c r="W503" s="69">
        <f t="shared" si="37"/>
        <v>80.599999999999994</v>
      </c>
      <c r="X503" s="106">
        <v>260</v>
      </c>
      <c r="Y503" s="72" t="str">
        <f t="shared" si="38"/>
        <v>VR_2023_2x SiOLED_Vision Pro</v>
      </c>
      <c r="Z503" s="36" t="str">
        <f t="shared" si="39"/>
        <v>VR_2023_2x SiOLED</v>
      </c>
    </row>
    <row r="504" spans="3:26">
      <c r="C504" s="17">
        <v>496</v>
      </c>
      <c r="D504" s="109" t="s">
        <v>26</v>
      </c>
      <c r="E504" s="20" t="s">
        <v>12</v>
      </c>
      <c r="F504" s="20" t="s">
        <v>182</v>
      </c>
      <c r="G504" s="21" t="s">
        <v>164</v>
      </c>
      <c r="H504" s="21" t="s">
        <v>165</v>
      </c>
      <c r="I504" s="19" t="s">
        <v>26</v>
      </c>
      <c r="J504" s="19" t="s">
        <v>27</v>
      </c>
      <c r="K504" s="21" t="s">
        <v>51</v>
      </c>
      <c r="L504" s="33" t="str">
        <f t="shared" si="35"/>
        <v>2x SiOLED</v>
      </c>
      <c r="M504" s="21" t="s">
        <v>116</v>
      </c>
      <c r="N504" s="21"/>
      <c r="O504" s="27">
        <v>1.03</v>
      </c>
      <c r="P504" s="20">
        <v>2560</v>
      </c>
      <c r="Q504" s="20">
        <v>2560</v>
      </c>
      <c r="R504" s="29">
        <f t="shared" si="36"/>
        <v>3514.9385627913821</v>
      </c>
      <c r="S504" s="20">
        <v>90</v>
      </c>
      <c r="T504" s="18"/>
      <c r="U504" s="20">
        <v>2</v>
      </c>
      <c r="V504" s="120">
        <v>8.8000000000000005E-3</v>
      </c>
      <c r="W504" s="69">
        <f t="shared" si="37"/>
        <v>1.232</v>
      </c>
      <c r="X504" s="106">
        <v>140</v>
      </c>
      <c r="Y504" s="72" t="str">
        <f t="shared" si="38"/>
        <v>VR_2023_2x SiOLED_Beyond</v>
      </c>
      <c r="Z504" s="36" t="str">
        <f t="shared" si="39"/>
        <v>VR_2023_2x SiOLED</v>
      </c>
    </row>
    <row r="505" spans="3:26">
      <c r="C505" s="17">
        <v>497</v>
      </c>
      <c r="D505" s="109" t="s">
        <v>26</v>
      </c>
      <c r="E505" s="20" t="s">
        <v>12</v>
      </c>
      <c r="F505" s="20" t="s">
        <v>182</v>
      </c>
      <c r="G505" s="21" t="s">
        <v>106</v>
      </c>
      <c r="H505" s="21" t="s">
        <v>107</v>
      </c>
      <c r="I505" s="19" t="s">
        <v>26</v>
      </c>
      <c r="J505" s="19" t="s">
        <v>31</v>
      </c>
      <c r="K505" s="21" t="s">
        <v>15</v>
      </c>
      <c r="L505" s="33" t="str">
        <f t="shared" si="35"/>
        <v>1x LCD</v>
      </c>
      <c r="M505" s="21" t="s">
        <v>36</v>
      </c>
      <c r="N505" s="21" t="s">
        <v>143</v>
      </c>
      <c r="O505" s="27"/>
      <c r="P505" s="20"/>
      <c r="Q505" s="20"/>
      <c r="R505" s="29">
        <f t="shared" si="36"/>
        <v>0</v>
      </c>
      <c r="S505" s="20" t="s">
        <v>36</v>
      </c>
      <c r="T505" s="18">
        <v>43770</v>
      </c>
      <c r="U505" s="20">
        <v>1</v>
      </c>
      <c r="V505" s="120">
        <v>9.1300000000000007E-4</v>
      </c>
      <c r="W505" s="69">
        <f t="shared" si="37"/>
        <v>5.0527327804799994E-2</v>
      </c>
      <c r="X505" s="106">
        <v>55.342089599999987</v>
      </c>
      <c r="Y505" s="72" t="str">
        <f t="shared" si="38"/>
        <v>VR_2023_1x LCD_P1 family</v>
      </c>
      <c r="Z505" s="36" t="str">
        <f t="shared" si="39"/>
        <v>VR_2023_1x LCD</v>
      </c>
    </row>
    <row r="506" spans="3:26">
      <c r="C506" s="17">
        <v>498</v>
      </c>
      <c r="D506" s="109" t="s">
        <v>26</v>
      </c>
      <c r="E506" s="20" t="s">
        <v>12</v>
      </c>
      <c r="F506" s="20" t="s">
        <v>182</v>
      </c>
      <c r="G506" s="21" t="s">
        <v>34</v>
      </c>
      <c r="H506" s="21" t="s">
        <v>37</v>
      </c>
      <c r="I506" s="19" t="s">
        <v>26</v>
      </c>
      <c r="J506" s="19" t="s">
        <v>27</v>
      </c>
      <c r="K506" s="21" t="s">
        <v>15</v>
      </c>
      <c r="L506" s="33" t="str">
        <f t="shared" si="35"/>
        <v>2x LCD</v>
      </c>
      <c r="M506" s="21" t="s">
        <v>36</v>
      </c>
      <c r="N506" s="21" t="s">
        <v>143</v>
      </c>
      <c r="O506" s="27">
        <v>2.89</v>
      </c>
      <c r="P506" s="20">
        <v>2160</v>
      </c>
      <c r="Q506" s="20">
        <v>2160</v>
      </c>
      <c r="R506" s="29">
        <f t="shared" si="36"/>
        <v>1056.990067379199</v>
      </c>
      <c r="S506" s="20">
        <v>90</v>
      </c>
      <c r="T506" s="18">
        <v>44136</v>
      </c>
      <c r="U506" s="20">
        <v>2</v>
      </c>
      <c r="V506" s="120">
        <v>2.2000000000000001E-4</v>
      </c>
      <c r="W506" s="69">
        <f t="shared" si="37"/>
        <v>8.1168398080000009E-3</v>
      </c>
      <c r="X506" s="106">
        <v>36.894726400000003</v>
      </c>
      <c r="Y506" s="72" t="str">
        <f t="shared" si="38"/>
        <v>VR_2023_2x LCD_Reverb G2</v>
      </c>
      <c r="Z506" s="36" t="str">
        <f t="shared" si="39"/>
        <v>VR_2023_2x LCD</v>
      </c>
    </row>
    <row r="507" spans="3:26">
      <c r="C507" s="17">
        <v>499</v>
      </c>
      <c r="D507" s="109" t="s">
        <v>26</v>
      </c>
      <c r="E507" s="20" t="s">
        <v>12</v>
      </c>
      <c r="F507" s="20" t="s">
        <v>182</v>
      </c>
      <c r="G507" s="21" t="s">
        <v>41</v>
      </c>
      <c r="H507" s="21" t="s">
        <v>178</v>
      </c>
      <c r="I507" s="19" t="s">
        <v>26</v>
      </c>
      <c r="J507" s="19" t="s">
        <v>31</v>
      </c>
      <c r="K507" s="21" t="s">
        <v>15</v>
      </c>
      <c r="L507" s="33" t="str">
        <f t="shared" si="35"/>
        <v>2x LCD</v>
      </c>
      <c r="M507" s="21" t="s">
        <v>2</v>
      </c>
      <c r="N507" s="21" t="s">
        <v>143</v>
      </c>
      <c r="O507" s="27"/>
      <c r="P507" s="20"/>
      <c r="Q507" s="20"/>
      <c r="R507" s="29">
        <f t="shared" si="36"/>
        <v>0</v>
      </c>
      <c r="S507" s="20" t="s">
        <v>36</v>
      </c>
      <c r="T507" s="18">
        <v>43739</v>
      </c>
      <c r="U507" s="20">
        <v>2</v>
      </c>
      <c r="V507" s="120">
        <v>2.4199999999999998E-3</v>
      </c>
      <c r="W507" s="69">
        <f t="shared" si="37"/>
        <v>8.9285237887999996E-2</v>
      </c>
      <c r="X507" s="106">
        <v>36.894726400000003</v>
      </c>
      <c r="Y507" s="72" t="str">
        <f t="shared" si="38"/>
        <v>VR_2023_2x LCD_Vive LCD headsets</v>
      </c>
      <c r="Z507" s="36" t="str">
        <f t="shared" si="39"/>
        <v>VR_2023_2x LCD</v>
      </c>
    </row>
    <row r="508" spans="3:26">
      <c r="C508" s="17">
        <v>500</v>
      </c>
      <c r="D508" s="109" t="s">
        <v>26</v>
      </c>
      <c r="E508" s="20" t="s">
        <v>12</v>
      </c>
      <c r="F508" s="20" t="s">
        <v>182</v>
      </c>
      <c r="G508" s="21" t="s">
        <v>77</v>
      </c>
      <c r="H508" s="21" t="s">
        <v>163</v>
      </c>
      <c r="I508" s="19" t="s">
        <v>44</v>
      </c>
      <c r="J508" s="19" t="s">
        <v>31</v>
      </c>
      <c r="K508" s="21" t="s">
        <v>15</v>
      </c>
      <c r="L508" s="33" t="str">
        <f t="shared" si="35"/>
        <v>2x LCD</v>
      </c>
      <c r="M508" s="21" t="s">
        <v>36</v>
      </c>
      <c r="N508" s="21"/>
      <c r="O508" s="27"/>
      <c r="P508" s="20"/>
      <c r="Q508" s="20"/>
      <c r="R508" s="29">
        <f t="shared" si="36"/>
        <v>0</v>
      </c>
      <c r="S508" s="20" t="s">
        <v>36</v>
      </c>
      <c r="T508" s="18">
        <v>45078</v>
      </c>
      <c r="U508" s="20">
        <v>2</v>
      </c>
      <c r="V508" s="120">
        <v>1.1000000000000001E-3</v>
      </c>
      <c r="W508" s="69">
        <f t="shared" si="37"/>
        <v>4.0584199040000005E-2</v>
      </c>
      <c r="X508" s="106">
        <v>36.894726400000003</v>
      </c>
      <c r="Y508" s="72" t="str">
        <f t="shared" si="38"/>
        <v>VR_2023_2x LCD_ThinkReality VRX</v>
      </c>
      <c r="Z508" s="36" t="str">
        <f t="shared" si="39"/>
        <v>VR_2023_2x LCD</v>
      </c>
    </row>
    <row r="509" spans="3:26">
      <c r="C509" s="17">
        <v>501</v>
      </c>
      <c r="D509" s="109" t="s">
        <v>26</v>
      </c>
      <c r="E509" s="20" t="s">
        <v>12</v>
      </c>
      <c r="F509" s="20" t="s">
        <v>182</v>
      </c>
      <c r="G509" s="21" t="s">
        <v>112</v>
      </c>
      <c r="H509" s="21" t="s">
        <v>32</v>
      </c>
      <c r="I509" s="19" t="s">
        <v>26</v>
      </c>
      <c r="J509" s="19" t="s">
        <v>31</v>
      </c>
      <c r="K509" s="21" t="s">
        <v>15</v>
      </c>
      <c r="L509" s="33" t="str">
        <f t="shared" si="35"/>
        <v>1x LCD</v>
      </c>
      <c r="M509" s="21" t="s">
        <v>2</v>
      </c>
      <c r="N509" s="21" t="s">
        <v>166</v>
      </c>
      <c r="O509" s="27">
        <v>5.5</v>
      </c>
      <c r="P509" s="20">
        <v>3840</v>
      </c>
      <c r="Q509" s="20">
        <v>1832</v>
      </c>
      <c r="R509" s="29">
        <f t="shared" si="36"/>
        <v>773.56797048396322</v>
      </c>
      <c r="S509" s="20">
        <v>90</v>
      </c>
      <c r="T509" s="18">
        <v>44105</v>
      </c>
      <c r="U509" s="20">
        <v>1</v>
      </c>
      <c r="V509" s="120">
        <v>5.5329999999999997E-2</v>
      </c>
      <c r="W509" s="69">
        <f t="shared" si="37"/>
        <v>3.062077817567999</v>
      </c>
      <c r="X509" s="106">
        <v>55.342089599999987</v>
      </c>
      <c r="Y509" s="72" t="str">
        <f t="shared" si="38"/>
        <v>VR_2023_1x LCD_Quest 2</v>
      </c>
      <c r="Z509" s="36" t="str">
        <f t="shared" si="39"/>
        <v>VR_2023_1x LCD</v>
      </c>
    </row>
    <row r="510" spans="3:26">
      <c r="C510" s="17">
        <v>502</v>
      </c>
      <c r="D510" s="109" t="s">
        <v>26</v>
      </c>
      <c r="E510" s="20" t="s">
        <v>12</v>
      </c>
      <c r="F510" s="20" t="s">
        <v>182</v>
      </c>
      <c r="G510" s="21" t="s">
        <v>112</v>
      </c>
      <c r="H510" s="21" t="s">
        <v>137</v>
      </c>
      <c r="I510" s="19" t="s">
        <v>26</v>
      </c>
      <c r="J510" s="19" t="s">
        <v>31</v>
      </c>
      <c r="K510" s="21" t="s">
        <v>15</v>
      </c>
      <c r="L510" s="33" t="str">
        <f t="shared" si="35"/>
        <v>2x LCD</v>
      </c>
      <c r="M510" s="21" t="s">
        <v>4</v>
      </c>
      <c r="N510" s="21" t="s">
        <v>2</v>
      </c>
      <c r="O510" s="27"/>
      <c r="P510" s="20"/>
      <c r="Q510" s="20"/>
      <c r="R510" s="29">
        <f t="shared" si="36"/>
        <v>0</v>
      </c>
      <c r="S510" s="20"/>
      <c r="T510" s="18">
        <v>45200</v>
      </c>
      <c r="U510" s="20">
        <v>2</v>
      </c>
      <c r="V510" s="120">
        <v>1.3859999999999999</v>
      </c>
      <c r="W510" s="69">
        <f t="shared" si="37"/>
        <v>51.136090790399997</v>
      </c>
      <c r="X510" s="106">
        <v>36.894726400000003</v>
      </c>
      <c r="Y510" s="72" t="str">
        <f t="shared" si="38"/>
        <v>VR_2023_2x LCD_Quest 3</v>
      </c>
      <c r="Z510" s="36" t="str">
        <f t="shared" si="39"/>
        <v>VR_2023_2x LCD</v>
      </c>
    </row>
    <row r="511" spans="3:26">
      <c r="C511" s="17">
        <v>503</v>
      </c>
      <c r="D511" s="109" t="s">
        <v>26</v>
      </c>
      <c r="E511" s="20" t="s">
        <v>12</v>
      </c>
      <c r="F511" s="20" t="s">
        <v>182</v>
      </c>
      <c r="G511" s="21" t="s">
        <v>110</v>
      </c>
      <c r="H511" s="21" t="s">
        <v>162</v>
      </c>
      <c r="I511" s="19" t="s">
        <v>26</v>
      </c>
      <c r="J511" s="19" t="s">
        <v>31</v>
      </c>
      <c r="K511" s="21" t="s">
        <v>15</v>
      </c>
      <c r="L511" s="33" t="str">
        <f t="shared" si="35"/>
        <v>1x LCD</v>
      </c>
      <c r="M511" s="21" t="s">
        <v>2</v>
      </c>
      <c r="N511" s="21" t="s">
        <v>146</v>
      </c>
      <c r="O511" s="27">
        <v>5.5</v>
      </c>
      <c r="P511" s="20">
        <v>3840</v>
      </c>
      <c r="Q511" s="20">
        <v>1832</v>
      </c>
      <c r="R511" s="29">
        <f t="shared" si="36"/>
        <v>773.56797048396322</v>
      </c>
      <c r="S511" s="20">
        <v>90</v>
      </c>
      <c r="T511" s="18">
        <v>44317</v>
      </c>
      <c r="U511" s="20">
        <v>1</v>
      </c>
      <c r="V511" s="120">
        <v>1.661E-2</v>
      </c>
      <c r="W511" s="69">
        <f t="shared" si="37"/>
        <v>0.91923210825599977</v>
      </c>
      <c r="X511" s="106">
        <v>55.342089599999987</v>
      </c>
      <c r="Y511" s="72" t="str">
        <f t="shared" si="38"/>
        <v>VR_2023_1x LCD_Neo 3 / G3</v>
      </c>
      <c r="Z511" s="36" t="str">
        <f t="shared" si="39"/>
        <v>VR_2023_1x LCD</v>
      </c>
    </row>
    <row r="512" spans="3:26">
      <c r="C512" s="17">
        <v>504</v>
      </c>
      <c r="D512" s="109" t="s">
        <v>26</v>
      </c>
      <c r="E512" s="20" t="s">
        <v>12</v>
      </c>
      <c r="F512" s="20" t="s">
        <v>182</v>
      </c>
      <c r="G512" s="21" t="s">
        <v>110</v>
      </c>
      <c r="H512" s="21" t="s">
        <v>134</v>
      </c>
      <c r="I512" s="19" t="s">
        <v>26</v>
      </c>
      <c r="J512" s="19" t="s">
        <v>31</v>
      </c>
      <c r="K512" s="21" t="s">
        <v>15</v>
      </c>
      <c r="L512" s="33" t="str">
        <f t="shared" si="35"/>
        <v>2x LCD</v>
      </c>
      <c r="M512" s="21" t="s">
        <v>146</v>
      </c>
      <c r="N512" s="21"/>
      <c r="O512" s="27">
        <v>2.56</v>
      </c>
      <c r="P512" s="20">
        <v>2160</v>
      </c>
      <c r="Q512" s="20">
        <v>2160</v>
      </c>
      <c r="R512" s="29">
        <f t="shared" si="36"/>
        <v>1193.242693252299</v>
      </c>
      <c r="S512" s="20">
        <v>90</v>
      </c>
      <c r="T512" s="18">
        <v>44805</v>
      </c>
      <c r="U512" s="20">
        <v>2</v>
      </c>
      <c r="V512" s="120">
        <v>0.14080000000000001</v>
      </c>
      <c r="W512" s="69">
        <f t="shared" si="37"/>
        <v>5.1947774771200006</v>
      </c>
      <c r="X512" s="106">
        <v>36.894726400000003</v>
      </c>
      <c r="Y512" s="72" t="str">
        <f t="shared" si="38"/>
        <v>VR_2023_2x LCD_Pico 4</v>
      </c>
      <c r="Z512" s="36" t="str">
        <f t="shared" si="39"/>
        <v>VR_2023_2x LCD</v>
      </c>
    </row>
    <row r="513" spans="3:26">
      <c r="C513" s="17">
        <v>505</v>
      </c>
      <c r="D513" s="109" t="s">
        <v>26</v>
      </c>
      <c r="E513" s="20" t="s">
        <v>12</v>
      </c>
      <c r="F513" s="20" t="s">
        <v>182</v>
      </c>
      <c r="G513" s="21" t="s">
        <v>108</v>
      </c>
      <c r="H513" s="21" t="s">
        <v>109</v>
      </c>
      <c r="I513" s="19" t="s">
        <v>26</v>
      </c>
      <c r="J513" s="19" t="s">
        <v>27</v>
      </c>
      <c r="K513" s="21" t="s">
        <v>15</v>
      </c>
      <c r="L513" s="33" t="str">
        <f t="shared" si="35"/>
        <v>2x LCD</v>
      </c>
      <c r="M513" s="21" t="s">
        <v>145</v>
      </c>
      <c r="N513" s="21" t="s">
        <v>146</v>
      </c>
      <c r="O513" s="27"/>
      <c r="P513" s="20"/>
      <c r="Q513" s="20"/>
      <c r="R513" s="29">
        <f t="shared" si="36"/>
        <v>0</v>
      </c>
      <c r="S513" s="20" t="s">
        <v>36</v>
      </c>
      <c r="T513" s="18" t="s">
        <v>143</v>
      </c>
      <c r="U513" s="20">
        <v>2</v>
      </c>
      <c r="V513" s="120">
        <v>1.32E-3</v>
      </c>
      <c r="W513" s="69">
        <f t="shared" si="37"/>
        <v>4.8701038848000006E-2</v>
      </c>
      <c r="X513" s="106">
        <v>36.894726400000003</v>
      </c>
      <c r="Y513" s="72" t="str">
        <f t="shared" si="38"/>
        <v>VR_2023_2x LCD_Pimax VR</v>
      </c>
      <c r="Z513" s="36" t="str">
        <f t="shared" si="39"/>
        <v>VR_2023_2x LCD</v>
      </c>
    </row>
    <row r="514" spans="3:26">
      <c r="C514" s="17">
        <v>506</v>
      </c>
      <c r="D514" s="109" t="s">
        <v>26</v>
      </c>
      <c r="E514" s="20" t="s">
        <v>12</v>
      </c>
      <c r="F514" s="20" t="s">
        <v>182</v>
      </c>
      <c r="G514" s="21" t="s">
        <v>6</v>
      </c>
      <c r="H514" s="21" t="s">
        <v>126</v>
      </c>
      <c r="I514" s="19" t="s">
        <v>26</v>
      </c>
      <c r="J514" s="19" t="s">
        <v>27</v>
      </c>
      <c r="K514" s="21" t="s">
        <v>28</v>
      </c>
      <c r="L514" s="33" t="str">
        <f t="shared" si="35"/>
        <v>2x AMOLED</v>
      </c>
      <c r="M514" s="21" t="s">
        <v>3</v>
      </c>
      <c r="N514" s="21"/>
      <c r="O514" s="27">
        <v>3.36</v>
      </c>
      <c r="P514" s="20">
        <v>2040</v>
      </c>
      <c r="Q514" s="20">
        <v>2000</v>
      </c>
      <c r="R514" s="29">
        <f t="shared" si="36"/>
        <v>850.25339693662363</v>
      </c>
      <c r="S514" s="20">
        <v>120</v>
      </c>
      <c r="T514" s="18">
        <v>44958</v>
      </c>
      <c r="U514" s="20">
        <v>2</v>
      </c>
      <c r="V514" s="120">
        <v>0.2</v>
      </c>
      <c r="W514" s="69">
        <f t="shared" si="37"/>
        <v>9.4119200000000003</v>
      </c>
      <c r="X514" s="106">
        <v>47.059599999999996</v>
      </c>
      <c r="Y514" s="72" t="str">
        <f t="shared" si="38"/>
        <v>VR_2023_2x AMOLED_PlayStation VR2</v>
      </c>
      <c r="Z514" s="36" t="str">
        <f t="shared" si="39"/>
        <v>VR_2023_2x AMOLED</v>
      </c>
    </row>
    <row r="515" spans="3:26">
      <c r="C515" s="17">
        <v>507</v>
      </c>
      <c r="D515" s="109" t="s">
        <v>26</v>
      </c>
      <c r="E515" s="20" t="s">
        <v>12</v>
      </c>
      <c r="F515" s="20" t="s">
        <v>182</v>
      </c>
      <c r="G515" s="21" t="s">
        <v>97</v>
      </c>
      <c r="H515" s="21" t="s">
        <v>161</v>
      </c>
      <c r="I515" s="19" t="s">
        <v>26</v>
      </c>
      <c r="J515" s="19" t="s">
        <v>36</v>
      </c>
      <c r="K515" s="21" t="s">
        <v>15</v>
      </c>
      <c r="L515" s="33" t="str">
        <f t="shared" si="35"/>
        <v>1x LCD</v>
      </c>
      <c r="M515" s="21" t="s">
        <v>36</v>
      </c>
      <c r="N515" s="21" t="s">
        <v>143</v>
      </c>
      <c r="O515" s="27"/>
      <c r="P515" s="20"/>
      <c r="Q515" s="20"/>
      <c r="R515" s="29">
        <f t="shared" si="36"/>
        <v>0</v>
      </c>
      <c r="S515" s="20" t="s">
        <v>36</v>
      </c>
      <c r="T515" s="18" t="s">
        <v>143</v>
      </c>
      <c r="U515" s="20">
        <v>1</v>
      </c>
      <c r="V515" s="120">
        <v>4.9500000000000002E-2</v>
      </c>
      <c r="W515" s="69">
        <f t="shared" si="37"/>
        <v>2.7394334351999996</v>
      </c>
      <c r="X515" s="106">
        <v>55.342089599999987</v>
      </c>
      <c r="Y515" s="72" t="str">
        <f t="shared" si="38"/>
        <v>VR_2023_1x LCD_Single LCD VR headset</v>
      </c>
      <c r="Z515" s="36" t="str">
        <f t="shared" si="39"/>
        <v>VR_2023_1x LCD</v>
      </c>
    </row>
    <row r="516" spans="3:26">
      <c r="C516" s="17">
        <v>508</v>
      </c>
      <c r="D516" s="109" t="s">
        <v>26</v>
      </c>
      <c r="E516" s="20" t="s">
        <v>12</v>
      </c>
      <c r="F516" s="20" t="s">
        <v>182</v>
      </c>
      <c r="G516" s="21" t="s">
        <v>180</v>
      </c>
      <c r="H516" s="21" t="s">
        <v>181</v>
      </c>
      <c r="I516" s="19" t="s">
        <v>26</v>
      </c>
      <c r="J516" s="19" t="s">
        <v>27</v>
      </c>
      <c r="K516" s="21" t="s">
        <v>51</v>
      </c>
      <c r="L516" s="33" t="str">
        <f t="shared" si="35"/>
        <v>2x SiOLED</v>
      </c>
      <c r="M516" s="21" t="s">
        <v>116</v>
      </c>
      <c r="N516" s="21"/>
      <c r="O516" s="27">
        <v>1.03</v>
      </c>
      <c r="P516" s="20">
        <v>2560</v>
      </c>
      <c r="Q516" s="20">
        <v>2560</v>
      </c>
      <c r="R516" s="29">
        <f t="shared" si="36"/>
        <v>3514.9385627913821</v>
      </c>
      <c r="S516" s="20"/>
      <c r="T516" s="18">
        <v>43497</v>
      </c>
      <c r="U516" s="20">
        <v>2</v>
      </c>
      <c r="V516" s="120">
        <v>2.8159999999999999E-3</v>
      </c>
      <c r="W516" s="69">
        <f t="shared" si="37"/>
        <v>0.45163007999999999</v>
      </c>
      <c r="X516" s="106">
        <v>160.38</v>
      </c>
      <c r="Y516" s="72" t="str">
        <f t="shared" si="38"/>
        <v>VR_2023_2x SiOLED_Bionic models</v>
      </c>
      <c r="Z516" s="36" t="str">
        <f t="shared" si="39"/>
        <v>VR_2023_2x SiOLED</v>
      </c>
    </row>
    <row r="517" spans="3:26">
      <c r="C517" s="17">
        <v>509</v>
      </c>
      <c r="D517" s="109" t="s">
        <v>26</v>
      </c>
      <c r="E517" s="20" t="s">
        <v>12</v>
      </c>
      <c r="F517" s="20" t="s">
        <v>182</v>
      </c>
      <c r="G517" s="21" t="s">
        <v>180</v>
      </c>
      <c r="H517" s="21" t="s">
        <v>183</v>
      </c>
      <c r="I517" s="19" t="s">
        <v>26</v>
      </c>
      <c r="J517" s="19" t="s">
        <v>27</v>
      </c>
      <c r="K517" s="21" t="s">
        <v>15</v>
      </c>
      <c r="L517" s="33" t="str">
        <f t="shared" si="35"/>
        <v>2x LCD</v>
      </c>
      <c r="M517" s="21" t="s">
        <v>36</v>
      </c>
      <c r="N517" s="21"/>
      <c r="O517" s="27">
        <v>3.2</v>
      </c>
      <c r="P517" s="20">
        <v>2880</v>
      </c>
      <c r="Q517" s="20">
        <v>2720</v>
      </c>
      <c r="R517" s="29">
        <f t="shared" si="36"/>
        <v>1237.9418403139946</v>
      </c>
      <c r="S517" s="20">
        <v>90</v>
      </c>
      <c r="T517" s="18">
        <v>44470</v>
      </c>
      <c r="U517" s="20">
        <v>2</v>
      </c>
      <c r="V517" s="120">
        <v>8.8000000000000003E-4</v>
      </c>
      <c r="W517" s="69">
        <f t="shared" si="37"/>
        <v>4.8399999999999999E-2</v>
      </c>
      <c r="X517" s="106">
        <v>55</v>
      </c>
      <c r="Y517" s="72" t="str">
        <f t="shared" si="38"/>
        <v>VR_2023_2x LCD_Aero</v>
      </c>
      <c r="Z517" s="36" t="str">
        <f t="shared" si="39"/>
        <v>VR_2023_2x LCD</v>
      </c>
    </row>
    <row r="518" spans="3:26">
      <c r="C518" s="17">
        <v>510</v>
      </c>
      <c r="D518" s="109" t="s">
        <v>26</v>
      </c>
      <c r="E518" s="20" t="s">
        <v>12</v>
      </c>
      <c r="F518" s="20" t="s">
        <v>182</v>
      </c>
      <c r="G518" s="21" t="s">
        <v>180</v>
      </c>
      <c r="H518" s="21" t="s">
        <v>184</v>
      </c>
      <c r="I518" s="19" t="s">
        <v>26</v>
      </c>
      <c r="J518" s="19" t="s">
        <v>27</v>
      </c>
      <c r="K518" s="21" t="s">
        <v>15</v>
      </c>
      <c r="L518" s="33" t="str">
        <f t="shared" si="35"/>
        <v>2x LCD</v>
      </c>
      <c r="M518" s="21" t="s">
        <v>301</v>
      </c>
      <c r="N518" s="21"/>
      <c r="O518" s="27">
        <v>3.59</v>
      </c>
      <c r="P518" s="20">
        <v>3840</v>
      </c>
      <c r="Q518" s="20">
        <v>3744</v>
      </c>
      <c r="R518" s="29">
        <f t="shared" si="36"/>
        <v>1493.9073665208787</v>
      </c>
      <c r="S518" s="20">
        <v>90</v>
      </c>
      <c r="T518" s="18">
        <v>45261</v>
      </c>
      <c r="U518" s="20">
        <v>2</v>
      </c>
      <c r="V518" s="120">
        <v>2.2000000000000001E-3</v>
      </c>
      <c r="W518" s="69">
        <f t="shared" si="37"/>
        <v>0.12100000000000001</v>
      </c>
      <c r="X518" s="106">
        <v>55</v>
      </c>
      <c r="Y518" s="72" t="str">
        <f t="shared" si="38"/>
        <v>VR_2023_2x LCD_XR-4</v>
      </c>
      <c r="Z518" s="36" t="str">
        <f t="shared" si="39"/>
        <v>VR_2023_2x LCD</v>
      </c>
    </row>
    <row r="519" spans="3:26">
      <c r="C519" s="17">
        <v>511</v>
      </c>
      <c r="D519" s="109" t="s">
        <v>129</v>
      </c>
      <c r="E519" s="20" t="s">
        <v>12</v>
      </c>
      <c r="F519" s="20" t="s">
        <v>182</v>
      </c>
      <c r="G519" s="21" t="s">
        <v>73</v>
      </c>
      <c r="H519" s="21" t="s">
        <v>74</v>
      </c>
      <c r="I519" s="19" t="s">
        <v>63</v>
      </c>
      <c r="J519" s="19" t="s">
        <v>31</v>
      </c>
      <c r="K519" s="21" t="s">
        <v>51</v>
      </c>
      <c r="L519" s="33" t="str">
        <f t="shared" si="35"/>
        <v>2x SiOLED</v>
      </c>
      <c r="M519" s="21" t="s">
        <v>73</v>
      </c>
      <c r="N519" s="21"/>
      <c r="O519" s="27">
        <v>0.43</v>
      </c>
      <c r="P519" s="20">
        <v>1280</v>
      </c>
      <c r="Q519" s="20">
        <v>720</v>
      </c>
      <c r="R519" s="29">
        <f t="shared" si="36"/>
        <v>3415.3599536159668</v>
      </c>
      <c r="S519" s="20" t="s">
        <v>36</v>
      </c>
      <c r="T519" s="18">
        <v>42401</v>
      </c>
      <c r="U519" s="20">
        <v>2</v>
      </c>
      <c r="V519" s="120">
        <v>1.056E-2</v>
      </c>
      <c r="W519" s="69">
        <f t="shared" si="37"/>
        <v>0.73919999999999997</v>
      </c>
      <c r="X519" s="106">
        <v>70</v>
      </c>
      <c r="Y519" s="72" t="str">
        <f t="shared" si="38"/>
        <v>AR_2023_2x SiOLED_Moverio</v>
      </c>
      <c r="Z519" s="36" t="str">
        <f t="shared" si="39"/>
        <v>AR_2023_2x SiOLED</v>
      </c>
    </row>
    <row r="520" spans="3:26">
      <c r="C520" s="17">
        <v>512</v>
      </c>
      <c r="D520" s="109" t="s">
        <v>129</v>
      </c>
      <c r="E520" s="20" t="s">
        <v>12</v>
      </c>
      <c r="F520" s="20" t="s">
        <v>182</v>
      </c>
      <c r="G520" s="21" t="s">
        <v>77</v>
      </c>
      <c r="H520" s="21" t="s">
        <v>131</v>
      </c>
      <c r="I520" s="19" t="s">
        <v>63</v>
      </c>
      <c r="J520" s="19" t="s">
        <v>27</v>
      </c>
      <c r="K520" s="21" t="s">
        <v>51</v>
      </c>
      <c r="L520" s="33" t="str">
        <f t="shared" si="35"/>
        <v>2x SiOLED</v>
      </c>
      <c r="M520" s="21" t="s">
        <v>116</v>
      </c>
      <c r="N520" s="21"/>
      <c r="O520" s="27">
        <v>0.49</v>
      </c>
      <c r="P520" s="20">
        <v>1920</v>
      </c>
      <c r="Q520" s="20">
        <v>1080</v>
      </c>
      <c r="R520" s="29">
        <f t="shared" si="36"/>
        <v>4495.7289185353029</v>
      </c>
      <c r="S520" s="20">
        <v>60</v>
      </c>
      <c r="T520" s="18">
        <v>44866</v>
      </c>
      <c r="U520" s="20">
        <v>2</v>
      </c>
      <c r="V520" s="120">
        <v>6.6E-3</v>
      </c>
      <c r="W520" s="69">
        <f t="shared" si="37"/>
        <v>0.33</v>
      </c>
      <c r="X520" s="106">
        <v>50</v>
      </c>
      <c r="Y520" s="72" t="str">
        <f t="shared" si="38"/>
        <v>AR_2023_2x SiOLED_T1</v>
      </c>
      <c r="Z520" s="36" t="str">
        <f t="shared" si="39"/>
        <v>AR_2023_2x SiOLED</v>
      </c>
    </row>
    <row r="521" spans="3:26">
      <c r="C521" s="17">
        <v>513</v>
      </c>
      <c r="D521" s="109" t="s">
        <v>129</v>
      </c>
      <c r="E521" s="20" t="s">
        <v>12</v>
      </c>
      <c r="F521" s="20" t="s">
        <v>182</v>
      </c>
      <c r="G521" s="21" t="s">
        <v>65</v>
      </c>
      <c r="H521" s="21" t="s">
        <v>117</v>
      </c>
      <c r="I521" s="19" t="s">
        <v>63</v>
      </c>
      <c r="J521" s="19" t="s">
        <v>31</v>
      </c>
      <c r="K521" s="21" t="s">
        <v>67</v>
      </c>
      <c r="L521" s="33" t="str">
        <f t="shared" ref="L521:L584" si="40">IF(U521=0, "", U521&amp;"x "&amp;K521)</f>
        <v>2x LCoS</v>
      </c>
      <c r="M521" s="21" t="s">
        <v>36</v>
      </c>
      <c r="N521" s="21"/>
      <c r="O521" s="27"/>
      <c r="P521" s="20">
        <v>1440</v>
      </c>
      <c r="Q521" s="20">
        <v>1760</v>
      </c>
      <c r="R521" s="29">
        <f t="shared" ref="R521:R584" si="41">IF(O521=0, 0, SQRT(Q521^2+P521^2)/O521)</f>
        <v>0</v>
      </c>
      <c r="S521" s="20" t="s">
        <v>36</v>
      </c>
      <c r="T521" s="18">
        <v>44805</v>
      </c>
      <c r="U521" s="20">
        <v>2</v>
      </c>
      <c r="V521" s="120">
        <v>6.6E-4</v>
      </c>
      <c r="W521" s="69">
        <f t="shared" ref="W521:W584" si="42">V521*X521</f>
        <v>2.9163694863600001E-2</v>
      </c>
      <c r="X521" s="106">
        <v>44.187416460000001</v>
      </c>
      <c r="Y521" s="72" t="str">
        <f t="shared" ref="Y521:Y584" si="43">D521&amp;"_"&amp;E521&amp;"_"&amp;L521&amp;"_"&amp;H521</f>
        <v>AR_2023_2x LCoS_ML 2</v>
      </c>
      <c r="Z521" s="36" t="str">
        <f t="shared" ref="Z521:Z584" si="44">D521&amp;"_"&amp;E521&amp;"_"&amp;L521</f>
        <v>AR_2023_2x LCoS</v>
      </c>
    </row>
    <row r="522" spans="3:26">
      <c r="C522" s="17">
        <v>514</v>
      </c>
      <c r="D522" s="109" t="s">
        <v>129</v>
      </c>
      <c r="E522" s="20" t="s">
        <v>12</v>
      </c>
      <c r="F522" s="20" t="s">
        <v>182</v>
      </c>
      <c r="G522" s="21" t="s">
        <v>132</v>
      </c>
      <c r="H522" s="21" t="s">
        <v>133</v>
      </c>
      <c r="I522" s="19" t="s">
        <v>63</v>
      </c>
      <c r="J522" s="19" t="s">
        <v>27</v>
      </c>
      <c r="K522" s="21" t="s">
        <v>51</v>
      </c>
      <c r="L522" s="33" t="str">
        <f t="shared" si="40"/>
        <v>2x SiOLED</v>
      </c>
      <c r="M522" s="21" t="s">
        <v>116</v>
      </c>
      <c r="N522" s="21"/>
      <c r="O522" s="27">
        <v>0.49</v>
      </c>
      <c r="P522" s="20">
        <v>1920</v>
      </c>
      <c r="Q522" s="20">
        <v>1080</v>
      </c>
      <c r="R522" s="29">
        <f t="shared" si="41"/>
        <v>4495.7289185353029</v>
      </c>
      <c r="S522" s="20">
        <v>75</v>
      </c>
      <c r="T522" s="18">
        <v>44501</v>
      </c>
      <c r="U522" s="20">
        <v>2</v>
      </c>
      <c r="V522" s="120">
        <v>2.2000000000000001E-3</v>
      </c>
      <c r="W522" s="69">
        <f t="shared" si="42"/>
        <v>0.11</v>
      </c>
      <c r="X522" s="106">
        <v>50</v>
      </c>
      <c r="Y522" s="72" t="str">
        <f t="shared" si="43"/>
        <v>AR_2023_2x SiOLED_Air</v>
      </c>
      <c r="Z522" s="36" t="str">
        <f t="shared" si="44"/>
        <v>AR_2023_2x SiOLED</v>
      </c>
    </row>
    <row r="523" spans="3:26">
      <c r="C523" s="17">
        <v>515</v>
      </c>
      <c r="D523" s="109" t="s">
        <v>129</v>
      </c>
      <c r="E523" s="20" t="s">
        <v>12</v>
      </c>
      <c r="F523" s="20" t="s">
        <v>182</v>
      </c>
      <c r="G523" s="21" t="s">
        <v>132</v>
      </c>
      <c r="H523" s="21" t="s">
        <v>160</v>
      </c>
      <c r="I523" s="19" t="s">
        <v>63</v>
      </c>
      <c r="J523" s="19" t="s">
        <v>27</v>
      </c>
      <c r="K523" s="21" t="s">
        <v>51</v>
      </c>
      <c r="L523" s="33" t="str">
        <f t="shared" si="40"/>
        <v>2x SiOLED</v>
      </c>
      <c r="M523" s="21" t="s">
        <v>6</v>
      </c>
      <c r="N523" s="21"/>
      <c r="O523" s="27">
        <v>0.55000000000000004</v>
      </c>
      <c r="P523" s="20">
        <v>1920</v>
      </c>
      <c r="Q523" s="20">
        <v>1080</v>
      </c>
      <c r="R523" s="29">
        <f t="shared" si="41"/>
        <v>4005.2857637859966</v>
      </c>
      <c r="S523" s="20">
        <v>120</v>
      </c>
      <c r="T523" s="18">
        <v>45017</v>
      </c>
      <c r="U523" s="20">
        <v>2</v>
      </c>
      <c r="V523" s="120">
        <v>1.54E-2</v>
      </c>
      <c r="W523" s="69">
        <f t="shared" si="42"/>
        <v>0.84699999999999998</v>
      </c>
      <c r="X523" s="106">
        <v>55</v>
      </c>
      <c r="Y523" s="72" t="str">
        <f t="shared" si="43"/>
        <v>AR_2023_2x SiOLED_Max</v>
      </c>
      <c r="Z523" s="36" t="str">
        <f t="shared" si="44"/>
        <v>AR_2023_2x SiOLED</v>
      </c>
    </row>
    <row r="524" spans="3:26">
      <c r="C524" s="17">
        <v>516</v>
      </c>
      <c r="D524" s="109" t="s">
        <v>129</v>
      </c>
      <c r="E524" s="20" t="s">
        <v>12</v>
      </c>
      <c r="F524" s="20" t="s">
        <v>182</v>
      </c>
      <c r="G524" s="21" t="s">
        <v>135</v>
      </c>
      <c r="H524" s="21" t="s">
        <v>136</v>
      </c>
      <c r="I524" s="19" t="s">
        <v>63</v>
      </c>
      <c r="J524" s="19" t="s">
        <v>27</v>
      </c>
      <c r="K524" s="21" t="s">
        <v>51</v>
      </c>
      <c r="L524" s="33" t="str">
        <f t="shared" si="40"/>
        <v>2x SiOLED</v>
      </c>
      <c r="M524" s="21" t="s">
        <v>6</v>
      </c>
      <c r="N524" s="21"/>
      <c r="O524" s="27">
        <v>0.55000000000000004</v>
      </c>
      <c r="P524" s="20">
        <v>1920</v>
      </c>
      <c r="Q524" s="20">
        <v>1080</v>
      </c>
      <c r="R524" s="29">
        <f t="shared" si="41"/>
        <v>4005.2857637859966</v>
      </c>
      <c r="S524" s="20" t="s">
        <v>36</v>
      </c>
      <c r="T524" s="18">
        <v>44866</v>
      </c>
      <c r="U524" s="20">
        <v>2</v>
      </c>
      <c r="V524" s="120">
        <v>4.6200000000000005E-2</v>
      </c>
      <c r="W524" s="69">
        <f t="shared" si="42"/>
        <v>2.5410000000000004</v>
      </c>
      <c r="X524" s="106">
        <v>55</v>
      </c>
      <c r="Y524" s="72" t="str">
        <f t="shared" si="43"/>
        <v>AR_2023_2x SiOLED_NXTWear</v>
      </c>
      <c r="Z524" s="36" t="str">
        <f t="shared" si="44"/>
        <v>AR_2023_2x SiOLED</v>
      </c>
    </row>
    <row r="525" spans="3:26">
      <c r="C525" s="17">
        <v>517</v>
      </c>
      <c r="D525" s="109" t="s">
        <v>129</v>
      </c>
      <c r="E525" s="20" t="s">
        <v>12</v>
      </c>
      <c r="F525" s="20" t="s">
        <v>182</v>
      </c>
      <c r="G525" s="21" t="s">
        <v>68</v>
      </c>
      <c r="H525" s="21" t="s">
        <v>69</v>
      </c>
      <c r="I525" s="19" t="s">
        <v>63</v>
      </c>
      <c r="J525" s="19" t="s">
        <v>31</v>
      </c>
      <c r="K525" s="21" t="s">
        <v>70</v>
      </c>
      <c r="L525" s="33" t="str">
        <f t="shared" si="40"/>
        <v>1x DLP</v>
      </c>
      <c r="M525" s="21" t="s">
        <v>172</v>
      </c>
      <c r="N525" s="21"/>
      <c r="O525" s="27"/>
      <c r="P525" s="20">
        <v>853</v>
      </c>
      <c r="Q525" s="20">
        <v>480</v>
      </c>
      <c r="R525" s="29">
        <f t="shared" si="41"/>
        <v>0</v>
      </c>
      <c r="S525" s="20" t="s">
        <v>36</v>
      </c>
      <c r="T525" s="18">
        <v>43466</v>
      </c>
      <c r="U525" s="20">
        <v>1</v>
      </c>
      <c r="V525" s="120">
        <v>1.1E-4</v>
      </c>
      <c r="W525" s="69">
        <f t="shared" si="42"/>
        <v>8.7702415712999984E-3</v>
      </c>
      <c r="X525" s="106">
        <v>79.729468829999988</v>
      </c>
      <c r="Y525" s="72" t="str">
        <f t="shared" si="43"/>
        <v>AR_2023_1x DLP_Blade</v>
      </c>
      <c r="Z525" s="36" t="str">
        <f t="shared" si="44"/>
        <v>AR_2023_1x DLP</v>
      </c>
    </row>
    <row r="526" spans="3:26">
      <c r="C526" s="17">
        <v>518</v>
      </c>
      <c r="D526" s="109" t="s">
        <v>129</v>
      </c>
      <c r="E526" s="20" t="s">
        <v>12</v>
      </c>
      <c r="F526" s="20" t="s">
        <v>182</v>
      </c>
      <c r="G526" s="21" t="s">
        <v>68</v>
      </c>
      <c r="H526" s="21" t="s">
        <v>122</v>
      </c>
      <c r="I526" s="19" t="s">
        <v>63</v>
      </c>
      <c r="J526" s="19" t="s">
        <v>31</v>
      </c>
      <c r="K526" s="21" t="s">
        <v>120</v>
      </c>
      <c r="L526" s="33" t="str">
        <f t="shared" si="40"/>
        <v>2x MicroLED</v>
      </c>
      <c r="M526" s="21" t="s">
        <v>144</v>
      </c>
      <c r="N526" s="21"/>
      <c r="O526" s="27">
        <v>0.13</v>
      </c>
      <c r="P526" s="20">
        <v>640</v>
      </c>
      <c r="Q526" s="20">
        <v>480</v>
      </c>
      <c r="R526" s="29">
        <f t="shared" si="41"/>
        <v>6153.8461538461534</v>
      </c>
      <c r="S526" s="20" t="s">
        <v>36</v>
      </c>
      <c r="T526" s="18">
        <v>44896</v>
      </c>
      <c r="U526" s="20">
        <v>2</v>
      </c>
      <c r="V526" s="120">
        <v>2.2000000000000001E-4</v>
      </c>
      <c r="W526" s="69">
        <f t="shared" si="42"/>
        <v>1.6317653263999997E-2</v>
      </c>
      <c r="X526" s="106">
        <v>74.171151199999983</v>
      </c>
      <c r="Y526" s="72" t="str">
        <f t="shared" si="43"/>
        <v>AR_2023_2x MicroLED_Shield</v>
      </c>
      <c r="Z526" s="36" t="str">
        <f t="shared" si="44"/>
        <v>AR_2023_2x MicroLED</v>
      </c>
    </row>
    <row r="527" spans="3:26">
      <c r="C527" s="17">
        <v>519</v>
      </c>
      <c r="D527" s="109" t="s">
        <v>129</v>
      </c>
      <c r="E527" s="20" t="s">
        <v>12</v>
      </c>
      <c r="F527" s="20" t="s">
        <v>182</v>
      </c>
      <c r="G527" s="21" t="s">
        <v>97</v>
      </c>
      <c r="H527" s="21" t="s">
        <v>123</v>
      </c>
      <c r="I527" s="19" t="s">
        <v>63</v>
      </c>
      <c r="J527" s="19" t="s">
        <v>36</v>
      </c>
      <c r="K527" s="21" t="s">
        <v>120</v>
      </c>
      <c r="L527" s="33" t="str">
        <f t="shared" si="40"/>
        <v>2x MicroLED</v>
      </c>
      <c r="M527" s="21" t="s">
        <v>36</v>
      </c>
      <c r="N527" s="21"/>
      <c r="O527" s="27"/>
      <c r="P527" s="20"/>
      <c r="Q527" s="20"/>
      <c r="R527" s="29">
        <f t="shared" si="41"/>
        <v>0</v>
      </c>
      <c r="S527" s="20" t="s">
        <v>36</v>
      </c>
      <c r="T527" s="18" t="s">
        <v>143</v>
      </c>
      <c r="U527" s="20">
        <v>2</v>
      </c>
      <c r="V527" s="120">
        <v>2.2000000000000001E-3</v>
      </c>
      <c r="W527" s="69">
        <f t="shared" si="42"/>
        <v>0.16317653263999998</v>
      </c>
      <c r="X527" s="106">
        <v>74.171151199999983</v>
      </c>
      <c r="Y527" s="72" t="str">
        <f t="shared" si="43"/>
        <v>AR_2023_2x MicroLED_Binocular MicroLED</v>
      </c>
      <c r="Z527" s="36" t="str">
        <f t="shared" si="44"/>
        <v>AR_2023_2x MicroLED</v>
      </c>
    </row>
    <row r="528" spans="3:26">
      <c r="C528" s="17">
        <v>520</v>
      </c>
      <c r="D528" s="109" t="s">
        <v>129</v>
      </c>
      <c r="E528" s="20" t="s">
        <v>12</v>
      </c>
      <c r="F528" s="20" t="s">
        <v>182</v>
      </c>
      <c r="G528" s="21" t="s">
        <v>97</v>
      </c>
      <c r="H528" s="21" t="s">
        <v>75</v>
      </c>
      <c r="I528" s="19" t="s">
        <v>63</v>
      </c>
      <c r="J528" s="19" t="s">
        <v>36</v>
      </c>
      <c r="K528" s="21" t="s">
        <v>67</v>
      </c>
      <c r="L528" s="33" t="str">
        <f t="shared" si="40"/>
        <v>2x LCoS</v>
      </c>
      <c r="M528" s="21" t="s">
        <v>36</v>
      </c>
      <c r="N528" s="21"/>
      <c r="O528" s="27"/>
      <c r="P528" s="20"/>
      <c r="Q528" s="20"/>
      <c r="R528" s="29">
        <f t="shared" si="41"/>
        <v>0</v>
      </c>
      <c r="S528" s="20" t="s">
        <v>36</v>
      </c>
      <c r="T528" s="18" t="s">
        <v>143</v>
      </c>
      <c r="U528" s="20">
        <v>2</v>
      </c>
      <c r="V528" s="120">
        <v>4.4000000000000003E-3</v>
      </c>
      <c r="W528" s="69">
        <f t="shared" si="42"/>
        <v>0.19442463242400002</v>
      </c>
      <c r="X528" s="106">
        <v>44.187416460000001</v>
      </c>
      <c r="Y528" s="72" t="str">
        <f t="shared" si="43"/>
        <v>AR_2023_2x LCoS_LCoS glasses</v>
      </c>
      <c r="Z528" s="36" t="str">
        <f t="shared" si="44"/>
        <v>AR_2023_2x LCoS</v>
      </c>
    </row>
    <row r="529" spans="3:26">
      <c r="C529" s="17">
        <v>521</v>
      </c>
      <c r="D529" s="109" t="s">
        <v>129</v>
      </c>
      <c r="E529" s="20" t="s">
        <v>12</v>
      </c>
      <c r="F529" s="20" t="s">
        <v>182</v>
      </c>
      <c r="G529" s="21" t="s">
        <v>97</v>
      </c>
      <c r="H529" s="21" t="s">
        <v>121</v>
      </c>
      <c r="I529" s="19" t="s">
        <v>63</v>
      </c>
      <c r="J529" s="19" t="s">
        <v>36</v>
      </c>
      <c r="K529" s="21" t="s">
        <v>120</v>
      </c>
      <c r="L529" s="33" t="str">
        <f t="shared" si="40"/>
        <v>1x MicroLED</v>
      </c>
      <c r="M529" s="21" t="s">
        <v>36</v>
      </c>
      <c r="N529" s="21"/>
      <c r="O529" s="27"/>
      <c r="P529" s="20"/>
      <c r="Q529" s="20"/>
      <c r="R529" s="29">
        <f t="shared" si="41"/>
        <v>0</v>
      </c>
      <c r="S529" s="20" t="s">
        <v>36</v>
      </c>
      <c r="T529" s="18" t="s">
        <v>143</v>
      </c>
      <c r="U529" s="20">
        <v>1</v>
      </c>
      <c r="V529" s="120">
        <v>1.1E-4</v>
      </c>
      <c r="W529" s="69">
        <f t="shared" si="42"/>
        <v>8.1588266319999984E-3</v>
      </c>
      <c r="X529" s="106">
        <v>74.171151199999983</v>
      </c>
      <c r="Y529" s="72" t="str">
        <f t="shared" si="43"/>
        <v>AR_2023_1x MicroLED_Monocular MicroLED</v>
      </c>
      <c r="Z529" s="36" t="str">
        <f t="shared" si="44"/>
        <v>AR_2023_1x MicroLED</v>
      </c>
    </row>
    <row r="530" spans="3:26">
      <c r="C530" s="17">
        <v>522</v>
      </c>
      <c r="D530" s="109" t="s">
        <v>129</v>
      </c>
      <c r="E530" s="20" t="s">
        <v>12</v>
      </c>
      <c r="F530" s="20" t="s">
        <v>182</v>
      </c>
      <c r="G530" s="21" t="s">
        <v>97</v>
      </c>
      <c r="H530" s="21" t="s">
        <v>79</v>
      </c>
      <c r="I530" s="19" t="s">
        <v>63</v>
      </c>
      <c r="J530" s="19" t="s">
        <v>36</v>
      </c>
      <c r="K530" s="21" t="s">
        <v>51</v>
      </c>
      <c r="L530" s="33" t="str">
        <f t="shared" si="40"/>
        <v>2x SiOLED</v>
      </c>
      <c r="M530" s="21" t="s">
        <v>36</v>
      </c>
      <c r="N530" s="21"/>
      <c r="O530" s="27"/>
      <c r="P530" s="20"/>
      <c r="Q530" s="20"/>
      <c r="R530" s="29">
        <f t="shared" si="41"/>
        <v>0</v>
      </c>
      <c r="S530" s="20" t="s">
        <v>36</v>
      </c>
      <c r="T530" s="18" t="s">
        <v>143</v>
      </c>
      <c r="U530" s="20">
        <v>2</v>
      </c>
      <c r="V530" s="120">
        <v>1.474E-2</v>
      </c>
      <c r="W530" s="69">
        <f t="shared" si="42"/>
        <v>1.0902283223039997</v>
      </c>
      <c r="X530" s="106">
        <v>73.963929599999986</v>
      </c>
      <c r="Y530" s="72" t="str">
        <f t="shared" si="43"/>
        <v>AR_2023_2x SiOLED_SiOLED glasses</v>
      </c>
      <c r="Z530" s="36" t="str">
        <f t="shared" si="44"/>
        <v>AR_2023_2x SiOLED</v>
      </c>
    </row>
    <row r="531" spans="3:26">
      <c r="C531" s="17">
        <v>523</v>
      </c>
      <c r="D531" s="109" t="s">
        <v>129</v>
      </c>
      <c r="E531" s="20" t="s">
        <v>12</v>
      </c>
      <c r="F531" s="20" t="s">
        <v>182</v>
      </c>
      <c r="G531" s="21" t="s">
        <v>186</v>
      </c>
      <c r="H531" s="21" t="s">
        <v>188</v>
      </c>
      <c r="I531" s="19" t="s">
        <v>63</v>
      </c>
      <c r="J531" s="19" t="s">
        <v>27</v>
      </c>
      <c r="K531" s="21" t="s">
        <v>51</v>
      </c>
      <c r="L531" s="33" t="str">
        <f t="shared" si="40"/>
        <v>2x SiOLED</v>
      </c>
      <c r="M531" s="21" t="s">
        <v>6</v>
      </c>
      <c r="N531" s="21"/>
      <c r="O531" s="27">
        <v>0.55000000000000004</v>
      </c>
      <c r="P531" s="20">
        <v>1920</v>
      </c>
      <c r="Q531" s="20">
        <v>1080</v>
      </c>
      <c r="R531" s="29">
        <f t="shared" si="41"/>
        <v>4005.2857637859966</v>
      </c>
      <c r="S531" s="20">
        <v>120</v>
      </c>
      <c r="T531" s="18">
        <v>45170</v>
      </c>
      <c r="U531" s="20">
        <v>2</v>
      </c>
      <c r="V531" s="120">
        <v>5.3240000000000003E-2</v>
      </c>
      <c r="W531" s="69">
        <f t="shared" si="42"/>
        <v>2.9282000000000004</v>
      </c>
      <c r="X531" s="106">
        <v>55</v>
      </c>
      <c r="Y531" s="72" t="str">
        <f t="shared" si="43"/>
        <v>AR_2023_2x SiOLED_Air 2</v>
      </c>
      <c r="Z531" s="36" t="str">
        <f t="shared" si="44"/>
        <v>AR_2023_2x SiOLED</v>
      </c>
    </row>
    <row r="532" spans="3:26">
      <c r="C532" s="17">
        <v>524</v>
      </c>
      <c r="D532" s="109" t="s">
        <v>129</v>
      </c>
      <c r="E532" s="20" t="s">
        <v>12</v>
      </c>
      <c r="F532" s="20" t="s">
        <v>182</v>
      </c>
      <c r="G532" s="21" t="s">
        <v>191</v>
      </c>
      <c r="H532" s="21" t="s">
        <v>192</v>
      </c>
      <c r="I532" s="19" t="s">
        <v>63</v>
      </c>
      <c r="J532" s="19" t="s">
        <v>31</v>
      </c>
      <c r="K532" s="21" t="s">
        <v>120</v>
      </c>
      <c r="L532" s="33" t="str">
        <f t="shared" si="40"/>
        <v>1x MicroLED</v>
      </c>
      <c r="M532" s="21" t="s">
        <v>144</v>
      </c>
      <c r="N532" s="21"/>
      <c r="O532" s="27">
        <v>0.13</v>
      </c>
      <c r="P532" s="20">
        <v>640</v>
      </c>
      <c r="Q532" s="20">
        <v>480</v>
      </c>
      <c r="R532" s="29">
        <f t="shared" si="41"/>
        <v>6153.8461538461534</v>
      </c>
      <c r="S532" s="20" t="s">
        <v>36</v>
      </c>
      <c r="T532" s="18">
        <v>45170</v>
      </c>
      <c r="U532" s="20">
        <v>1</v>
      </c>
      <c r="V532" s="120">
        <v>4.4000000000000003E-3</v>
      </c>
      <c r="W532" s="69">
        <f t="shared" si="42"/>
        <v>0.32635306527999997</v>
      </c>
      <c r="X532" s="106">
        <v>74.171151199999983</v>
      </c>
      <c r="Y532" s="72" t="str">
        <f t="shared" si="43"/>
        <v>AR_2023_1x MicroLED_Go</v>
      </c>
      <c r="Z532" s="36" t="str">
        <f t="shared" si="44"/>
        <v>AR_2023_1x MicroLED</v>
      </c>
    </row>
    <row r="533" spans="3:26">
      <c r="C533" s="17">
        <v>525</v>
      </c>
      <c r="D533" s="109" t="s">
        <v>26</v>
      </c>
      <c r="E533" s="20" t="s">
        <v>13</v>
      </c>
      <c r="F533" s="20" t="s">
        <v>176</v>
      </c>
      <c r="G533" s="21" t="s">
        <v>141</v>
      </c>
      <c r="H533" s="21" t="s">
        <v>169</v>
      </c>
      <c r="I533" s="19" t="s">
        <v>44</v>
      </c>
      <c r="J533" s="19" t="s">
        <v>31</v>
      </c>
      <c r="K533" s="21" t="s">
        <v>51</v>
      </c>
      <c r="L533" s="33" t="str">
        <f t="shared" si="40"/>
        <v>2x SiOLED</v>
      </c>
      <c r="M533" s="21" t="s">
        <v>6</v>
      </c>
      <c r="N533" s="21"/>
      <c r="O533" s="27">
        <v>1.42</v>
      </c>
      <c r="P533" s="20">
        <v>3660</v>
      </c>
      <c r="Q533" s="20">
        <v>3200</v>
      </c>
      <c r="R533" s="29">
        <f t="shared" si="41"/>
        <v>3423.6942337059722</v>
      </c>
      <c r="S533" s="20">
        <v>100</v>
      </c>
      <c r="T533" s="18">
        <v>45323</v>
      </c>
      <c r="U533" s="20">
        <v>2</v>
      </c>
      <c r="V533" s="120">
        <v>0.4</v>
      </c>
      <c r="W533" s="69">
        <f t="shared" si="42"/>
        <v>92</v>
      </c>
      <c r="X533" s="106">
        <v>230</v>
      </c>
      <c r="Y533" s="72" t="str">
        <f t="shared" si="43"/>
        <v>VR_2024_2x SiOLED_Vision Pro</v>
      </c>
      <c r="Z533" s="36" t="str">
        <f t="shared" si="44"/>
        <v>VR_2024_2x SiOLED</v>
      </c>
    </row>
    <row r="534" spans="3:26">
      <c r="C534" s="17">
        <v>526</v>
      </c>
      <c r="D534" s="109" t="s">
        <v>26</v>
      </c>
      <c r="E534" s="20" t="s">
        <v>13</v>
      </c>
      <c r="F534" s="20" t="s">
        <v>176</v>
      </c>
      <c r="G534" s="21" t="s">
        <v>164</v>
      </c>
      <c r="H534" s="21" t="s">
        <v>165</v>
      </c>
      <c r="I534" s="19" t="s">
        <v>26</v>
      </c>
      <c r="J534" s="19" t="s">
        <v>27</v>
      </c>
      <c r="K534" s="21" t="s">
        <v>51</v>
      </c>
      <c r="L534" s="33" t="str">
        <f t="shared" si="40"/>
        <v>2x SiOLED</v>
      </c>
      <c r="M534" s="21" t="s">
        <v>116</v>
      </c>
      <c r="N534" s="21"/>
      <c r="O534" s="27">
        <v>1.03</v>
      </c>
      <c r="P534" s="20">
        <v>2560</v>
      </c>
      <c r="Q534" s="20">
        <v>2560</v>
      </c>
      <c r="R534" s="29">
        <f t="shared" si="41"/>
        <v>3514.9385627913821</v>
      </c>
      <c r="S534" s="20">
        <v>90</v>
      </c>
      <c r="T534" s="18"/>
      <c r="U534" s="20">
        <v>2</v>
      </c>
      <c r="V534" s="120">
        <v>3.2399999999999998E-2</v>
      </c>
      <c r="W534" s="69">
        <f t="shared" si="42"/>
        <v>3.726</v>
      </c>
      <c r="X534" s="106">
        <v>115</v>
      </c>
      <c r="Y534" s="72" t="str">
        <f t="shared" si="43"/>
        <v>VR_2024_2x SiOLED_Beyond</v>
      </c>
      <c r="Z534" s="36" t="str">
        <f t="shared" si="44"/>
        <v>VR_2024_2x SiOLED</v>
      </c>
    </row>
    <row r="535" spans="3:26">
      <c r="C535" s="17">
        <v>527</v>
      </c>
      <c r="D535" s="109" t="s">
        <v>26</v>
      </c>
      <c r="E535" s="20" t="s">
        <v>13</v>
      </c>
      <c r="F535" s="20" t="s">
        <v>176</v>
      </c>
      <c r="G535" s="21" t="s">
        <v>106</v>
      </c>
      <c r="H535" s="21" t="s">
        <v>107</v>
      </c>
      <c r="I535" s="19" t="s">
        <v>26</v>
      </c>
      <c r="J535" s="19" t="s">
        <v>31</v>
      </c>
      <c r="K535" s="21" t="s">
        <v>15</v>
      </c>
      <c r="L535" s="33" t="str">
        <f t="shared" si="40"/>
        <v>1x LCD</v>
      </c>
      <c r="M535" s="21" t="s">
        <v>36</v>
      </c>
      <c r="N535" s="21" t="s">
        <v>143</v>
      </c>
      <c r="O535" s="27"/>
      <c r="P535" s="20"/>
      <c r="Q535" s="20"/>
      <c r="R535" s="29">
        <f t="shared" si="41"/>
        <v>0</v>
      </c>
      <c r="S535" s="20" t="s">
        <v>36</v>
      </c>
      <c r="T535" s="18">
        <v>43770</v>
      </c>
      <c r="U535" s="20">
        <v>1</v>
      </c>
      <c r="V535" s="120">
        <v>7.7000000000000002E-3</v>
      </c>
      <c r="W535" s="69">
        <f t="shared" si="42"/>
        <v>0.41761140812159991</v>
      </c>
      <c r="X535" s="106">
        <v>54.23524780799999</v>
      </c>
      <c r="Y535" s="72" t="str">
        <f t="shared" si="43"/>
        <v>VR_2024_1x LCD_P1 family</v>
      </c>
      <c r="Z535" s="36" t="str">
        <f t="shared" si="44"/>
        <v>VR_2024_1x LCD</v>
      </c>
    </row>
    <row r="536" spans="3:26">
      <c r="C536" s="17">
        <v>528</v>
      </c>
      <c r="D536" s="109" t="s">
        <v>26</v>
      </c>
      <c r="E536" s="20" t="s">
        <v>13</v>
      </c>
      <c r="F536" s="20" t="s">
        <v>176</v>
      </c>
      <c r="G536" s="21" t="s">
        <v>34</v>
      </c>
      <c r="H536" s="21" t="s">
        <v>37</v>
      </c>
      <c r="I536" s="19" t="s">
        <v>26</v>
      </c>
      <c r="J536" s="19" t="s">
        <v>27</v>
      </c>
      <c r="K536" s="21" t="s">
        <v>15</v>
      </c>
      <c r="L536" s="33" t="str">
        <f t="shared" si="40"/>
        <v>2x LCD</v>
      </c>
      <c r="M536" s="21" t="s">
        <v>36</v>
      </c>
      <c r="N536" s="21" t="s">
        <v>143</v>
      </c>
      <c r="O536" s="27">
        <v>2.89</v>
      </c>
      <c r="P536" s="20">
        <v>2160</v>
      </c>
      <c r="Q536" s="20">
        <v>2160</v>
      </c>
      <c r="R536" s="29">
        <f t="shared" si="41"/>
        <v>1056.990067379199</v>
      </c>
      <c r="S536" s="20">
        <v>90</v>
      </c>
      <c r="T536" s="18">
        <v>44136</v>
      </c>
      <c r="U536" s="20">
        <v>2</v>
      </c>
      <c r="V536" s="120">
        <v>2.2000000000000001E-4</v>
      </c>
      <c r="W536" s="69">
        <f t="shared" si="42"/>
        <v>7.9545030118400011E-3</v>
      </c>
      <c r="X536" s="106">
        <v>36.156831872000005</v>
      </c>
      <c r="Y536" s="72" t="str">
        <f t="shared" si="43"/>
        <v>VR_2024_2x LCD_Reverb G2</v>
      </c>
      <c r="Z536" s="36" t="str">
        <f t="shared" si="44"/>
        <v>VR_2024_2x LCD</v>
      </c>
    </row>
    <row r="537" spans="3:26">
      <c r="C537" s="17">
        <v>529</v>
      </c>
      <c r="D537" s="109" t="s">
        <v>26</v>
      </c>
      <c r="E537" s="20" t="s">
        <v>13</v>
      </c>
      <c r="F537" s="20" t="s">
        <v>176</v>
      </c>
      <c r="G537" s="21" t="s">
        <v>41</v>
      </c>
      <c r="H537" s="21" t="s">
        <v>178</v>
      </c>
      <c r="I537" s="19" t="s">
        <v>26</v>
      </c>
      <c r="J537" s="19" t="s">
        <v>31</v>
      </c>
      <c r="K537" s="21" t="s">
        <v>15</v>
      </c>
      <c r="L537" s="33" t="str">
        <f t="shared" si="40"/>
        <v>2x LCD</v>
      </c>
      <c r="M537" s="21" t="s">
        <v>2</v>
      </c>
      <c r="N537" s="21" t="s">
        <v>143</v>
      </c>
      <c r="O537" s="27"/>
      <c r="P537" s="20"/>
      <c r="Q537" s="20"/>
      <c r="R537" s="29">
        <f t="shared" si="41"/>
        <v>0</v>
      </c>
      <c r="S537" s="20" t="s">
        <v>36</v>
      </c>
      <c r="T537" s="18">
        <v>43739</v>
      </c>
      <c r="U537" s="20">
        <v>2</v>
      </c>
      <c r="V537" s="120">
        <v>1.1000000000000001E-3</v>
      </c>
      <c r="W537" s="69">
        <f t="shared" si="42"/>
        <v>3.9772515059200007E-2</v>
      </c>
      <c r="X537" s="106">
        <v>36.156831872000005</v>
      </c>
      <c r="Y537" s="72" t="str">
        <f t="shared" si="43"/>
        <v>VR_2024_2x LCD_Vive LCD headsets</v>
      </c>
      <c r="Z537" s="36" t="str">
        <f t="shared" si="44"/>
        <v>VR_2024_2x LCD</v>
      </c>
    </row>
    <row r="538" spans="3:26">
      <c r="C538" s="17">
        <v>530</v>
      </c>
      <c r="D538" s="109" t="s">
        <v>26</v>
      </c>
      <c r="E538" s="20" t="s">
        <v>13</v>
      </c>
      <c r="F538" s="20" t="s">
        <v>176</v>
      </c>
      <c r="G538" s="21" t="s">
        <v>77</v>
      </c>
      <c r="H538" s="21" t="s">
        <v>163</v>
      </c>
      <c r="I538" s="19" t="s">
        <v>44</v>
      </c>
      <c r="J538" s="19" t="s">
        <v>31</v>
      </c>
      <c r="K538" s="21" t="s">
        <v>15</v>
      </c>
      <c r="L538" s="33" t="str">
        <f t="shared" si="40"/>
        <v>2x LCD</v>
      </c>
      <c r="M538" s="21" t="s">
        <v>36</v>
      </c>
      <c r="N538" s="21"/>
      <c r="O538" s="27"/>
      <c r="P538" s="20"/>
      <c r="Q538" s="20"/>
      <c r="R538" s="29">
        <f t="shared" si="41"/>
        <v>0</v>
      </c>
      <c r="S538" s="20" t="s">
        <v>36</v>
      </c>
      <c r="T538" s="18">
        <v>45078</v>
      </c>
      <c r="U538" s="20">
        <v>2</v>
      </c>
      <c r="V538" s="120">
        <v>4.4000000000000002E-4</v>
      </c>
      <c r="W538" s="69">
        <f t="shared" si="42"/>
        <v>1.5909006023680002E-2</v>
      </c>
      <c r="X538" s="106">
        <v>36.156831872000005</v>
      </c>
      <c r="Y538" s="72" t="str">
        <f t="shared" si="43"/>
        <v>VR_2024_2x LCD_ThinkReality VRX</v>
      </c>
      <c r="Z538" s="36" t="str">
        <f t="shared" si="44"/>
        <v>VR_2024_2x LCD</v>
      </c>
    </row>
    <row r="539" spans="3:26">
      <c r="C539" s="17">
        <v>531</v>
      </c>
      <c r="D539" s="109" t="s">
        <v>26</v>
      </c>
      <c r="E539" s="20" t="s">
        <v>13</v>
      </c>
      <c r="F539" s="20" t="s">
        <v>176</v>
      </c>
      <c r="G539" s="21" t="s">
        <v>112</v>
      </c>
      <c r="H539" s="21" t="s">
        <v>32</v>
      </c>
      <c r="I539" s="19" t="s">
        <v>26</v>
      </c>
      <c r="J539" s="19" t="s">
        <v>31</v>
      </c>
      <c r="K539" s="21" t="s">
        <v>15</v>
      </c>
      <c r="L539" s="33" t="str">
        <f t="shared" si="40"/>
        <v>1x LCD</v>
      </c>
      <c r="M539" s="21" t="s">
        <v>2</v>
      </c>
      <c r="N539" s="21" t="s">
        <v>166</v>
      </c>
      <c r="O539" s="27">
        <v>5.5</v>
      </c>
      <c r="P539" s="20">
        <v>3840</v>
      </c>
      <c r="Q539" s="20">
        <v>1832</v>
      </c>
      <c r="R539" s="29">
        <f t="shared" si="41"/>
        <v>773.56797048396322</v>
      </c>
      <c r="S539" s="20">
        <v>90</v>
      </c>
      <c r="T539" s="18">
        <v>44105</v>
      </c>
      <c r="U539" s="20">
        <v>1</v>
      </c>
      <c r="V539" s="120">
        <v>0.04</v>
      </c>
      <c r="W539" s="69">
        <f t="shared" si="42"/>
        <v>2.1694099123199995</v>
      </c>
      <c r="X539" s="106">
        <v>54.23524780799999</v>
      </c>
      <c r="Y539" s="72" t="str">
        <f t="shared" si="43"/>
        <v>VR_2024_1x LCD_Quest 2</v>
      </c>
      <c r="Z539" s="36" t="str">
        <f t="shared" si="44"/>
        <v>VR_2024_1x LCD</v>
      </c>
    </row>
    <row r="540" spans="3:26">
      <c r="C540" s="17">
        <v>532</v>
      </c>
      <c r="D540" s="109" t="s">
        <v>26</v>
      </c>
      <c r="E540" s="20" t="s">
        <v>13</v>
      </c>
      <c r="F540" s="20" t="s">
        <v>176</v>
      </c>
      <c r="G540" s="21" t="s">
        <v>112</v>
      </c>
      <c r="H540" s="21" t="s">
        <v>137</v>
      </c>
      <c r="I540" s="19" t="s">
        <v>26</v>
      </c>
      <c r="J540" s="19" t="s">
        <v>31</v>
      </c>
      <c r="K540" s="21" t="s">
        <v>15</v>
      </c>
      <c r="L540" s="33" t="str">
        <f t="shared" si="40"/>
        <v>2x LCD</v>
      </c>
      <c r="M540" s="21" t="s">
        <v>4</v>
      </c>
      <c r="N540" s="21" t="s">
        <v>2</v>
      </c>
      <c r="O540" s="27"/>
      <c r="P540" s="20"/>
      <c r="Q540" s="20"/>
      <c r="R540" s="29">
        <f t="shared" si="41"/>
        <v>0</v>
      </c>
      <c r="S540" s="20"/>
      <c r="T540" s="18">
        <v>45200</v>
      </c>
      <c r="U540" s="20">
        <v>2</v>
      </c>
      <c r="V540" s="120">
        <v>1.1000000000000001</v>
      </c>
      <c r="W540" s="69">
        <f t="shared" si="42"/>
        <v>39.772515059200011</v>
      </c>
      <c r="X540" s="106">
        <v>36.156831872000005</v>
      </c>
      <c r="Y540" s="72" t="str">
        <f t="shared" si="43"/>
        <v>VR_2024_2x LCD_Quest 3</v>
      </c>
      <c r="Z540" s="36" t="str">
        <f t="shared" si="44"/>
        <v>VR_2024_2x LCD</v>
      </c>
    </row>
    <row r="541" spans="3:26">
      <c r="C541" s="17">
        <v>533</v>
      </c>
      <c r="D541" s="109" t="s">
        <v>26</v>
      </c>
      <c r="E541" s="20" t="s">
        <v>13</v>
      </c>
      <c r="F541" s="20" t="s">
        <v>176</v>
      </c>
      <c r="G541" s="21" t="s">
        <v>110</v>
      </c>
      <c r="H541" s="21" t="s">
        <v>162</v>
      </c>
      <c r="I541" s="19" t="s">
        <v>26</v>
      </c>
      <c r="J541" s="19" t="s">
        <v>31</v>
      </c>
      <c r="K541" s="21" t="s">
        <v>15</v>
      </c>
      <c r="L541" s="33" t="str">
        <f t="shared" si="40"/>
        <v>1x LCD</v>
      </c>
      <c r="M541" s="21" t="s">
        <v>2</v>
      </c>
      <c r="N541" s="21" t="s">
        <v>146</v>
      </c>
      <c r="O541" s="27">
        <v>5.5</v>
      </c>
      <c r="P541" s="20">
        <v>3840</v>
      </c>
      <c r="Q541" s="20">
        <v>1832</v>
      </c>
      <c r="R541" s="29">
        <f t="shared" si="41"/>
        <v>773.56797048396322</v>
      </c>
      <c r="S541" s="20">
        <v>90</v>
      </c>
      <c r="T541" s="18">
        <v>44317</v>
      </c>
      <c r="U541" s="20">
        <v>1</v>
      </c>
      <c r="V541" s="120">
        <v>6.6E-3</v>
      </c>
      <c r="W541" s="69">
        <f t="shared" si="42"/>
        <v>0.35795263553279993</v>
      </c>
      <c r="X541" s="106">
        <v>54.23524780799999</v>
      </c>
      <c r="Y541" s="72" t="str">
        <f t="shared" si="43"/>
        <v>VR_2024_1x LCD_Neo 3 / G3</v>
      </c>
      <c r="Z541" s="36" t="str">
        <f t="shared" si="44"/>
        <v>VR_2024_1x LCD</v>
      </c>
    </row>
    <row r="542" spans="3:26">
      <c r="C542" s="17">
        <v>534</v>
      </c>
      <c r="D542" s="109" t="s">
        <v>26</v>
      </c>
      <c r="E542" s="20" t="s">
        <v>13</v>
      </c>
      <c r="F542" s="20" t="s">
        <v>176</v>
      </c>
      <c r="G542" s="21" t="s">
        <v>110</v>
      </c>
      <c r="H542" s="21" t="s">
        <v>134</v>
      </c>
      <c r="I542" s="19" t="s">
        <v>26</v>
      </c>
      <c r="J542" s="19" t="s">
        <v>31</v>
      </c>
      <c r="K542" s="21" t="s">
        <v>15</v>
      </c>
      <c r="L542" s="33" t="str">
        <f t="shared" si="40"/>
        <v>2x LCD</v>
      </c>
      <c r="M542" s="21" t="s">
        <v>146</v>
      </c>
      <c r="N542" s="21"/>
      <c r="O542" s="27">
        <v>2.56</v>
      </c>
      <c r="P542" s="20">
        <v>2160</v>
      </c>
      <c r="Q542" s="20">
        <v>2160</v>
      </c>
      <c r="R542" s="29">
        <f t="shared" si="41"/>
        <v>1193.242693252299</v>
      </c>
      <c r="S542" s="20">
        <v>90</v>
      </c>
      <c r="T542" s="18">
        <v>44805</v>
      </c>
      <c r="U542" s="20">
        <v>2</v>
      </c>
      <c r="V542" s="120">
        <v>0.1716</v>
      </c>
      <c r="W542" s="69">
        <f t="shared" si="42"/>
        <v>6.204512349235201</v>
      </c>
      <c r="X542" s="106">
        <v>36.156831872000005</v>
      </c>
      <c r="Y542" s="72" t="str">
        <f t="shared" si="43"/>
        <v>VR_2024_2x LCD_Pico 4</v>
      </c>
      <c r="Z542" s="36" t="str">
        <f t="shared" si="44"/>
        <v>VR_2024_2x LCD</v>
      </c>
    </row>
    <row r="543" spans="3:26">
      <c r="C543" s="17">
        <v>535</v>
      </c>
      <c r="D543" s="109" t="s">
        <v>26</v>
      </c>
      <c r="E543" s="20" t="s">
        <v>13</v>
      </c>
      <c r="F543" s="20" t="s">
        <v>176</v>
      </c>
      <c r="G543" s="21" t="s">
        <v>108</v>
      </c>
      <c r="H543" s="21" t="s">
        <v>109</v>
      </c>
      <c r="I543" s="19" t="s">
        <v>26</v>
      </c>
      <c r="J543" s="19" t="s">
        <v>27</v>
      </c>
      <c r="K543" s="21" t="s">
        <v>15</v>
      </c>
      <c r="L543" s="33" t="str">
        <f t="shared" si="40"/>
        <v>2x LCD</v>
      </c>
      <c r="M543" s="21" t="s">
        <v>145</v>
      </c>
      <c r="N543" s="21" t="s">
        <v>146</v>
      </c>
      <c r="O543" s="27"/>
      <c r="P543" s="20"/>
      <c r="Q543" s="20"/>
      <c r="R543" s="29">
        <f t="shared" si="41"/>
        <v>0</v>
      </c>
      <c r="S543" s="20" t="s">
        <v>36</v>
      </c>
      <c r="T543" s="18" t="s">
        <v>143</v>
      </c>
      <c r="U543" s="20">
        <v>2</v>
      </c>
      <c r="V543" s="120">
        <v>1.32E-3</v>
      </c>
      <c r="W543" s="69">
        <f t="shared" si="42"/>
        <v>4.7727018071040003E-2</v>
      </c>
      <c r="X543" s="106">
        <v>36.156831872000005</v>
      </c>
      <c r="Y543" s="72" t="str">
        <f t="shared" si="43"/>
        <v>VR_2024_2x LCD_Pimax VR</v>
      </c>
      <c r="Z543" s="36" t="str">
        <f t="shared" si="44"/>
        <v>VR_2024_2x LCD</v>
      </c>
    </row>
    <row r="544" spans="3:26">
      <c r="C544" s="17">
        <v>536</v>
      </c>
      <c r="D544" s="109" t="s">
        <v>26</v>
      </c>
      <c r="E544" s="20" t="s">
        <v>13</v>
      </c>
      <c r="F544" s="20" t="s">
        <v>176</v>
      </c>
      <c r="G544" s="21" t="s">
        <v>97</v>
      </c>
      <c r="H544" s="21" t="s">
        <v>161</v>
      </c>
      <c r="I544" s="19" t="s">
        <v>26</v>
      </c>
      <c r="J544" s="19" t="s">
        <v>36</v>
      </c>
      <c r="K544" s="21" t="s">
        <v>15</v>
      </c>
      <c r="L544" s="33" t="str">
        <f t="shared" si="40"/>
        <v>1x LCD</v>
      </c>
      <c r="M544" s="21" t="s">
        <v>36</v>
      </c>
      <c r="N544" s="21" t="s">
        <v>143</v>
      </c>
      <c r="O544" s="27"/>
      <c r="P544" s="20"/>
      <c r="Q544" s="20"/>
      <c r="R544" s="29">
        <f t="shared" si="41"/>
        <v>0</v>
      </c>
      <c r="S544" s="20" t="s">
        <v>36</v>
      </c>
      <c r="T544" s="18" t="s">
        <v>143</v>
      </c>
      <c r="U544" s="20">
        <v>1</v>
      </c>
      <c r="V544" s="120">
        <v>3.5584999999999999E-2</v>
      </c>
      <c r="W544" s="69">
        <f t="shared" si="42"/>
        <v>1.9299612932476795</v>
      </c>
      <c r="X544" s="106">
        <v>54.23524780799999</v>
      </c>
      <c r="Y544" s="72" t="str">
        <f t="shared" si="43"/>
        <v>VR_2024_1x LCD_Single LCD VR headset</v>
      </c>
      <c r="Z544" s="36" t="str">
        <f t="shared" si="44"/>
        <v>VR_2024_1x LCD</v>
      </c>
    </row>
    <row r="545" spans="3:26">
      <c r="C545" s="17">
        <v>537</v>
      </c>
      <c r="D545" s="109" t="s">
        <v>26</v>
      </c>
      <c r="E545" s="20" t="s">
        <v>13</v>
      </c>
      <c r="F545" s="20" t="s">
        <v>176</v>
      </c>
      <c r="G545" s="21" t="s">
        <v>180</v>
      </c>
      <c r="H545" s="21" t="s">
        <v>181</v>
      </c>
      <c r="I545" s="19" t="s">
        <v>26</v>
      </c>
      <c r="J545" s="19" t="s">
        <v>27</v>
      </c>
      <c r="K545" s="21" t="s">
        <v>51</v>
      </c>
      <c r="L545" s="33" t="str">
        <f t="shared" si="40"/>
        <v>2x SiOLED</v>
      </c>
      <c r="M545" s="21" t="s">
        <v>116</v>
      </c>
      <c r="N545" s="21"/>
      <c r="O545" s="27">
        <v>1.03</v>
      </c>
      <c r="P545" s="20">
        <v>2560</v>
      </c>
      <c r="Q545" s="20">
        <v>2560</v>
      </c>
      <c r="R545" s="29">
        <f t="shared" si="41"/>
        <v>3514.9385627913821</v>
      </c>
      <c r="S545" s="20"/>
      <c r="T545" s="18">
        <v>43497</v>
      </c>
      <c r="U545" s="20">
        <v>2</v>
      </c>
      <c r="V545" s="120">
        <v>2.64E-3</v>
      </c>
      <c r="W545" s="69">
        <f t="shared" si="42"/>
        <v>0.34719062400000006</v>
      </c>
      <c r="X545" s="106">
        <v>131.51160000000002</v>
      </c>
      <c r="Y545" s="72" t="str">
        <f t="shared" si="43"/>
        <v>VR_2024_2x SiOLED_Bionic models</v>
      </c>
      <c r="Z545" s="36" t="str">
        <f t="shared" si="44"/>
        <v>VR_2024_2x SiOLED</v>
      </c>
    </row>
    <row r="546" spans="3:26">
      <c r="C546" s="17">
        <v>538</v>
      </c>
      <c r="D546" s="109" t="s">
        <v>26</v>
      </c>
      <c r="E546" s="20" t="s">
        <v>13</v>
      </c>
      <c r="F546" s="20" t="s">
        <v>176</v>
      </c>
      <c r="G546" s="21" t="s">
        <v>180</v>
      </c>
      <c r="H546" s="21" t="s">
        <v>183</v>
      </c>
      <c r="I546" s="19" t="s">
        <v>26</v>
      </c>
      <c r="J546" s="19" t="s">
        <v>27</v>
      </c>
      <c r="K546" s="21" t="s">
        <v>15</v>
      </c>
      <c r="L546" s="33" t="str">
        <f t="shared" si="40"/>
        <v>2x LCD</v>
      </c>
      <c r="M546" s="21" t="s">
        <v>36</v>
      </c>
      <c r="N546" s="21"/>
      <c r="O546" s="27">
        <v>3.2</v>
      </c>
      <c r="P546" s="20">
        <v>2880</v>
      </c>
      <c r="Q546" s="20">
        <v>2720</v>
      </c>
      <c r="R546" s="29">
        <f t="shared" si="41"/>
        <v>1237.9418403139946</v>
      </c>
      <c r="S546" s="20">
        <v>90</v>
      </c>
      <c r="T546" s="18">
        <v>44470</v>
      </c>
      <c r="U546" s="20">
        <v>2</v>
      </c>
      <c r="V546" s="120">
        <v>4.4000000000000002E-4</v>
      </c>
      <c r="W546" s="69">
        <f t="shared" si="42"/>
        <v>2.4199999999999999E-2</v>
      </c>
      <c r="X546" s="106">
        <v>55</v>
      </c>
      <c r="Y546" s="72" t="str">
        <f t="shared" si="43"/>
        <v>VR_2024_2x LCD_Aero</v>
      </c>
      <c r="Z546" s="36" t="str">
        <f t="shared" si="44"/>
        <v>VR_2024_2x LCD</v>
      </c>
    </row>
    <row r="547" spans="3:26">
      <c r="C547" s="17">
        <v>539</v>
      </c>
      <c r="D547" s="109" t="s">
        <v>26</v>
      </c>
      <c r="E547" s="20" t="s">
        <v>13</v>
      </c>
      <c r="F547" s="20" t="s">
        <v>176</v>
      </c>
      <c r="G547" s="21" t="s">
        <v>180</v>
      </c>
      <c r="H547" s="21" t="s">
        <v>184</v>
      </c>
      <c r="I547" s="19" t="s">
        <v>26</v>
      </c>
      <c r="J547" s="19" t="s">
        <v>27</v>
      </c>
      <c r="K547" s="21" t="s">
        <v>15</v>
      </c>
      <c r="L547" s="33" t="str">
        <f t="shared" si="40"/>
        <v>2x LCD</v>
      </c>
      <c r="M547" s="21" t="s">
        <v>301</v>
      </c>
      <c r="N547" s="21"/>
      <c r="O547" s="27">
        <v>3.59</v>
      </c>
      <c r="P547" s="20">
        <v>3840</v>
      </c>
      <c r="Q547" s="20">
        <v>3744</v>
      </c>
      <c r="R547" s="29">
        <f t="shared" si="41"/>
        <v>1493.9073665208787</v>
      </c>
      <c r="S547" s="20">
        <v>90</v>
      </c>
      <c r="T547" s="18">
        <v>45261</v>
      </c>
      <c r="U547" s="20">
        <v>2</v>
      </c>
      <c r="V547" s="120">
        <v>2.2000000000000001E-3</v>
      </c>
      <c r="W547" s="69">
        <f t="shared" si="42"/>
        <v>0.12100000000000001</v>
      </c>
      <c r="X547" s="106">
        <v>55</v>
      </c>
      <c r="Y547" s="72" t="str">
        <f t="shared" si="43"/>
        <v>VR_2024_2x LCD_XR-4</v>
      </c>
      <c r="Z547" s="36" t="str">
        <f t="shared" si="44"/>
        <v>VR_2024_2x LCD</v>
      </c>
    </row>
    <row r="548" spans="3:26">
      <c r="C548" s="17">
        <v>540</v>
      </c>
      <c r="D548" s="109" t="s">
        <v>129</v>
      </c>
      <c r="E548" s="20" t="s">
        <v>13</v>
      </c>
      <c r="F548" s="20" t="s">
        <v>176</v>
      </c>
      <c r="G548" s="21" t="s">
        <v>73</v>
      </c>
      <c r="H548" s="21" t="s">
        <v>74</v>
      </c>
      <c r="I548" s="19" t="s">
        <v>63</v>
      </c>
      <c r="J548" s="19" t="s">
        <v>31</v>
      </c>
      <c r="K548" s="21" t="s">
        <v>51</v>
      </c>
      <c r="L548" s="33" t="str">
        <f t="shared" si="40"/>
        <v>2x SiOLED</v>
      </c>
      <c r="M548" s="21" t="s">
        <v>73</v>
      </c>
      <c r="N548" s="21"/>
      <c r="O548" s="27">
        <v>0.43</v>
      </c>
      <c r="P548" s="20">
        <v>1280</v>
      </c>
      <c r="Q548" s="20">
        <v>720</v>
      </c>
      <c r="R548" s="29">
        <f t="shared" si="41"/>
        <v>3415.3599536159668</v>
      </c>
      <c r="S548" s="20" t="s">
        <v>36</v>
      </c>
      <c r="T548" s="18">
        <v>42401</v>
      </c>
      <c r="U548" s="20">
        <v>2</v>
      </c>
      <c r="V548" s="120">
        <v>9.4600000000000014E-3</v>
      </c>
      <c r="W548" s="69">
        <f t="shared" si="42"/>
        <v>0.61490000000000011</v>
      </c>
      <c r="X548" s="106">
        <v>65</v>
      </c>
      <c r="Y548" s="72" t="str">
        <f t="shared" si="43"/>
        <v>AR_2024_2x SiOLED_Moverio</v>
      </c>
      <c r="Z548" s="36" t="str">
        <f t="shared" si="44"/>
        <v>AR_2024_2x SiOLED</v>
      </c>
    </row>
    <row r="549" spans="3:26">
      <c r="C549" s="17">
        <v>541</v>
      </c>
      <c r="D549" s="109" t="s">
        <v>129</v>
      </c>
      <c r="E549" s="20" t="s">
        <v>13</v>
      </c>
      <c r="F549" s="20" t="s">
        <v>176</v>
      </c>
      <c r="G549" s="21" t="s">
        <v>77</v>
      </c>
      <c r="H549" s="21" t="s">
        <v>131</v>
      </c>
      <c r="I549" s="19" t="s">
        <v>63</v>
      </c>
      <c r="J549" s="19" t="s">
        <v>27</v>
      </c>
      <c r="K549" s="21" t="s">
        <v>51</v>
      </c>
      <c r="L549" s="33" t="str">
        <f t="shared" si="40"/>
        <v>2x SiOLED</v>
      </c>
      <c r="M549" s="21" t="s">
        <v>116</v>
      </c>
      <c r="N549" s="21"/>
      <c r="O549" s="27">
        <v>0.49</v>
      </c>
      <c r="P549" s="20">
        <v>1920</v>
      </c>
      <c r="Q549" s="20">
        <v>1080</v>
      </c>
      <c r="R549" s="29">
        <f t="shared" si="41"/>
        <v>4495.7289185353029</v>
      </c>
      <c r="S549" s="20">
        <v>60</v>
      </c>
      <c r="T549" s="18">
        <v>44866</v>
      </c>
      <c r="U549" s="20">
        <v>2</v>
      </c>
      <c r="V549" s="120">
        <v>6.6E-3</v>
      </c>
      <c r="W549" s="69">
        <f t="shared" si="42"/>
        <v>0.33</v>
      </c>
      <c r="X549" s="106">
        <v>50</v>
      </c>
      <c r="Y549" s="72" t="str">
        <f t="shared" si="43"/>
        <v>AR_2024_2x SiOLED_T1</v>
      </c>
      <c r="Z549" s="36" t="str">
        <f t="shared" si="44"/>
        <v>AR_2024_2x SiOLED</v>
      </c>
    </row>
    <row r="550" spans="3:26">
      <c r="C550" s="17">
        <v>542</v>
      </c>
      <c r="D550" s="109" t="s">
        <v>129</v>
      </c>
      <c r="E550" s="20" t="s">
        <v>13</v>
      </c>
      <c r="F550" s="20" t="s">
        <v>176</v>
      </c>
      <c r="G550" s="21" t="s">
        <v>132</v>
      </c>
      <c r="H550" s="21" t="s">
        <v>133</v>
      </c>
      <c r="I550" s="19" t="s">
        <v>63</v>
      </c>
      <c r="J550" s="19" t="s">
        <v>27</v>
      </c>
      <c r="K550" s="21" t="s">
        <v>51</v>
      </c>
      <c r="L550" s="33" t="str">
        <f t="shared" si="40"/>
        <v>2x SiOLED</v>
      </c>
      <c r="M550" s="21" t="s">
        <v>116</v>
      </c>
      <c r="N550" s="21"/>
      <c r="O550" s="27">
        <v>0.49</v>
      </c>
      <c r="P550" s="20">
        <v>1920</v>
      </c>
      <c r="Q550" s="20">
        <v>1080</v>
      </c>
      <c r="R550" s="29">
        <f t="shared" si="41"/>
        <v>4495.7289185353029</v>
      </c>
      <c r="S550" s="20">
        <v>75</v>
      </c>
      <c r="T550" s="18">
        <v>44501</v>
      </c>
      <c r="U550" s="20">
        <v>2</v>
      </c>
      <c r="V550" s="120">
        <v>1.8E-3</v>
      </c>
      <c r="W550" s="69">
        <f t="shared" si="42"/>
        <v>0.09</v>
      </c>
      <c r="X550" s="106">
        <v>50</v>
      </c>
      <c r="Y550" s="72" t="str">
        <f t="shared" si="43"/>
        <v>AR_2024_2x SiOLED_Air</v>
      </c>
      <c r="Z550" s="36" t="str">
        <f t="shared" si="44"/>
        <v>AR_2024_2x SiOLED</v>
      </c>
    </row>
    <row r="551" spans="3:26">
      <c r="C551" s="17">
        <v>543</v>
      </c>
      <c r="D551" s="109" t="s">
        <v>129</v>
      </c>
      <c r="E551" s="20" t="s">
        <v>13</v>
      </c>
      <c r="F551" s="20" t="s">
        <v>176</v>
      </c>
      <c r="G551" s="21" t="s">
        <v>132</v>
      </c>
      <c r="H551" s="21" t="s">
        <v>160</v>
      </c>
      <c r="I551" s="19" t="s">
        <v>63</v>
      </c>
      <c r="J551" s="19" t="s">
        <v>27</v>
      </c>
      <c r="K551" s="21" t="s">
        <v>51</v>
      </c>
      <c r="L551" s="33" t="str">
        <f t="shared" si="40"/>
        <v>2x SiOLED</v>
      </c>
      <c r="M551" s="21" t="s">
        <v>6</v>
      </c>
      <c r="N551" s="21"/>
      <c r="O551" s="27">
        <v>0.55000000000000004</v>
      </c>
      <c r="P551" s="20">
        <v>1920</v>
      </c>
      <c r="Q551" s="20">
        <v>1080</v>
      </c>
      <c r="R551" s="29">
        <f t="shared" si="41"/>
        <v>4005.2857637859966</v>
      </c>
      <c r="S551" s="20">
        <v>120</v>
      </c>
      <c r="T551" s="18">
        <v>45017</v>
      </c>
      <c r="U551" s="20">
        <v>2</v>
      </c>
      <c r="V551" s="120">
        <v>6.6E-3</v>
      </c>
      <c r="W551" s="69">
        <f t="shared" si="42"/>
        <v>0.36299999999999999</v>
      </c>
      <c r="X551" s="106">
        <v>55</v>
      </c>
      <c r="Y551" s="72" t="str">
        <f t="shared" si="43"/>
        <v>AR_2024_2x SiOLED_Max</v>
      </c>
      <c r="Z551" s="36" t="str">
        <f t="shared" si="44"/>
        <v>AR_2024_2x SiOLED</v>
      </c>
    </row>
    <row r="552" spans="3:26">
      <c r="C552" s="17">
        <v>544</v>
      </c>
      <c r="D552" s="109" t="s">
        <v>129</v>
      </c>
      <c r="E552" s="20" t="s">
        <v>13</v>
      </c>
      <c r="F552" s="20" t="s">
        <v>176</v>
      </c>
      <c r="G552" s="21" t="s">
        <v>135</v>
      </c>
      <c r="H552" s="21" t="s">
        <v>136</v>
      </c>
      <c r="I552" s="19" t="s">
        <v>63</v>
      </c>
      <c r="J552" s="19" t="s">
        <v>27</v>
      </c>
      <c r="K552" s="21" t="s">
        <v>51</v>
      </c>
      <c r="L552" s="33" t="str">
        <f t="shared" si="40"/>
        <v>2x SiOLED</v>
      </c>
      <c r="M552" s="21" t="s">
        <v>6</v>
      </c>
      <c r="N552" s="21"/>
      <c r="O552" s="27">
        <v>0.55000000000000004</v>
      </c>
      <c r="P552" s="20">
        <v>1920</v>
      </c>
      <c r="Q552" s="20">
        <v>1080</v>
      </c>
      <c r="R552" s="29">
        <f t="shared" si="41"/>
        <v>4005.2857637859966</v>
      </c>
      <c r="S552" s="20" t="s">
        <v>36</v>
      </c>
      <c r="T552" s="18">
        <v>44866</v>
      </c>
      <c r="U552" s="20">
        <v>2</v>
      </c>
      <c r="V552" s="120">
        <v>4.0259999999999997E-2</v>
      </c>
      <c r="W552" s="69">
        <f t="shared" si="42"/>
        <v>2.2142999999999997</v>
      </c>
      <c r="X552" s="106">
        <v>55</v>
      </c>
      <c r="Y552" s="72" t="str">
        <f t="shared" si="43"/>
        <v>AR_2024_2x SiOLED_NXTWear</v>
      </c>
      <c r="Z552" s="36" t="str">
        <f t="shared" si="44"/>
        <v>AR_2024_2x SiOLED</v>
      </c>
    </row>
    <row r="553" spans="3:26">
      <c r="C553" s="17">
        <v>545</v>
      </c>
      <c r="D553" s="109" t="s">
        <v>129</v>
      </c>
      <c r="E553" s="20" t="s">
        <v>13</v>
      </c>
      <c r="F553" s="20" t="s">
        <v>176</v>
      </c>
      <c r="G553" s="21" t="s">
        <v>68</v>
      </c>
      <c r="H553" s="21" t="s">
        <v>69</v>
      </c>
      <c r="I553" s="19" t="s">
        <v>63</v>
      </c>
      <c r="J553" s="19" t="s">
        <v>31</v>
      </c>
      <c r="K553" s="21" t="s">
        <v>70</v>
      </c>
      <c r="L553" s="33" t="str">
        <f t="shared" si="40"/>
        <v>1x DLP</v>
      </c>
      <c r="M553" s="21" t="s">
        <v>172</v>
      </c>
      <c r="N553" s="21"/>
      <c r="O553" s="27"/>
      <c r="P553" s="20">
        <v>853</v>
      </c>
      <c r="Q553" s="20">
        <v>480</v>
      </c>
      <c r="R553" s="29">
        <f t="shared" si="41"/>
        <v>0</v>
      </c>
      <c r="S553" s="20" t="s">
        <v>36</v>
      </c>
      <c r="T553" s="18">
        <v>43466</v>
      </c>
      <c r="U553" s="20">
        <v>1</v>
      </c>
      <c r="V553" s="120">
        <v>1.1E-4</v>
      </c>
      <c r="W553" s="69">
        <f t="shared" si="42"/>
        <v>8.6825391555869994E-3</v>
      </c>
      <c r="X553" s="106">
        <v>78.932174141699988</v>
      </c>
      <c r="Y553" s="72" t="str">
        <f t="shared" si="43"/>
        <v>AR_2024_1x DLP_Blade</v>
      </c>
      <c r="Z553" s="36" t="str">
        <f t="shared" si="44"/>
        <v>AR_2024_1x DLP</v>
      </c>
    </row>
    <row r="554" spans="3:26">
      <c r="C554" s="17">
        <v>546</v>
      </c>
      <c r="D554" s="109" t="s">
        <v>129</v>
      </c>
      <c r="E554" s="20" t="s">
        <v>13</v>
      </c>
      <c r="F554" s="20" t="s">
        <v>176</v>
      </c>
      <c r="G554" s="21" t="s">
        <v>68</v>
      </c>
      <c r="H554" s="21" t="s">
        <v>122</v>
      </c>
      <c r="I554" s="19" t="s">
        <v>63</v>
      </c>
      <c r="J554" s="19" t="s">
        <v>31</v>
      </c>
      <c r="K554" s="21" t="s">
        <v>120</v>
      </c>
      <c r="L554" s="33" t="str">
        <f t="shared" si="40"/>
        <v>2x MicroLED</v>
      </c>
      <c r="M554" s="21" t="s">
        <v>144</v>
      </c>
      <c r="N554" s="21"/>
      <c r="O554" s="27">
        <v>0.13</v>
      </c>
      <c r="P554" s="20">
        <v>640</v>
      </c>
      <c r="Q554" s="20">
        <v>480</v>
      </c>
      <c r="R554" s="29">
        <f t="shared" si="41"/>
        <v>6153.8461538461534</v>
      </c>
      <c r="S554" s="20" t="s">
        <v>36</v>
      </c>
      <c r="T554" s="18">
        <v>44896</v>
      </c>
      <c r="U554" s="20">
        <v>2</v>
      </c>
      <c r="V554" s="120">
        <v>4.4000000000000002E-4</v>
      </c>
      <c r="W554" s="69">
        <f t="shared" si="42"/>
        <v>3.0677188136319995E-2</v>
      </c>
      <c r="X554" s="106">
        <v>69.720882127999985</v>
      </c>
      <c r="Y554" s="72" t="str">
        <f t="shared" si="43"/>
        <v>AR_2024_2x MicroLED_Shield</v>
      </c>
      <c r="Z554" s="36" t="str">
        <f t="shared" si="44"/>
        <v>AR_2024_2x MicroLED</v>
      </c>
    </row>
    <row r="555" spans="3:26">
      <c r="C555" s="17">
        <v>547</v>
      </c>
      <c r="D555" s="109" t="s">
        <v>129</v>
      </c>
      <c r="E555" s="20" t="s">
        <v>13</v>
      </c>
      <c r="F555" s="20" t="s">
        <v>176</v>
      </c>
      <c r="G555" s="21" t="s">
        <v>97</v>
      </c>
      <c r="H555" s="21" t="s">
        <v>123</v>
      </c>
      <c r="I555" s="19" t="s">
        <v>63</v>
      </c>
      <c r="J555" s="19" t="s">
        <v>36</v>
      </c>
      <c r="K555" s="21" t="s">
        <v>120</v>
      </c>
      <c r="L555" s="33" t="str">
        <f t="shared" si="40"/>
        <v>2x MicroLED</v>
      </c>
      <c r="M555" s="21" t="s">
        <v>36</v>
      </c>
      <c r="N555" s="21"/>
      <c r="O555" s="27"/>
      <c r="P555" s="20"/>
      <c r="Q555" s="20"/>
      <c r="R555" s="29">
        <f t="shared" si="41"/>
        <v>0</v>
      </c>
      <c r="S555" s="20" t="s">
        <v>36</v>
      </c>
      <c r="T555" s="18" t="s">
        <v>143</v>
      </c>
      <c r="U555" s="20">
        <v>2</v>
      </c>
      <c r="V555" s="120">
        <v>1.7600000000000001E-3</v>
      </c>
      <c r="W555" s="69">
        <f t="shared" si="42"/>
        <v>0.12270875254527998</v>
      </c>
      <c r="X555" s="106">
        <v>69.720882127999985</v>
      </c>
      <c r="Y555" s="72" t="str">
        <f t="shared" si="43"/>
        <v>AR_2024_2x MicroLED_Binocular MicroLED</v>
      </c>
      <c r="Z555" s="36" t="str">
        <f t="shared" si="44"/>
        <v>AR_2024_2x MicroLED</v>
      </c>
    </row>
    <row r="556" spans="3:26">
      <c r="C556" s="17">
        <v>548</v>
      </c>
      <c r="D556" s="109" t="s">
        <v>129</v>
      </c>
      <c r="E556" s="20" t="s">
        <v>13</v>
      </c>
      <c r="F556" s="20" t="s">
        <v>176</v>
      </c>
      <c r="G556" s="21" t="s">
        <v>97</v>
      </c>
      <c r="H556" s="21" t="s">
        <v>75</v>
      </c>
      <c r="I556" s="19" t="s">
        <v>63</v>
      </c>
      <c r="J556" s="19" t="s">
        <v>36</v>
      </c>
      <c r="K556" s="21" t="s">
        <v>67</v>
      </c>
      <c r="L556" s="33" t="str">
        <f t="shared" si="40"/>
        <v>2x LCoS</v>
      </c>
      <c r="M556" s="21" t="s">
        <v>36</v>
      </c>
      <c r="N556" s="21"/>
      <c r="O556" s="27"/>
      <c r="P556" s="20"/>
      <c r="Q556" s="20"/>
      <c r="R556" s="29">
        <f t="shared" si="41"/>
        <v>0</v>
      </c>
      <c r="S556" s="20" t="s">
        <v>36</v>
      </c>
      <c r="T556" s="18" t="s">
        <v>143</v>
      </c>
      <c r="U556" s="20">
        <v>2</v>
      </c>
      <c r="V556" s="120">
        <v>4.4000000000000003E-3</v>
      </c>
      <c r="W556" s="69">
        <f t="shared" si="42"/>
        <v>0.19248038609976001</v>
      </c>
      <c r="X556" s="106">
        <v>43.7455422954</v>
      </c>
      <c r="Y556" s="72" t="str">
        <f t="shared" si="43"/>
        <v>AR_2024_2x LCoS_LCoS glasses</v>
      </c>
      <c r="Z556" s="36" t="str">
        <f t="shared" si="44"/>
        <v>AR_2024_2x LCoS</v>
      </c>
    </row>
    <row r="557" spans="3:26">
      <c r="C557" s="17">
        <v>549</v>
      </c>
      <c r="D557" s="109" t="s">
        <v>129</v>
      </c>
      <c r="E557" s="20" t="s">
        <v>13</v>
      </c>
      <c r="F557" s="20" t="s">
        <v>176</v>
      </c>
      <c r="G557" s="21" t="s">
        <v>186</v>
      </c>
      <c r="H557" s="21" t="s">
        <v>133</v>
      </c>
      <c r="I557" s="19" t="s">
        <v>63</v>
      </c>
      <c r="J557" s="19" t="s">
        <v>27</v>
      </c>
      <c r="K557" s="21" t="s">
        <v>51</v>
      </c>
      <c r="L557" s="33" t="str">
        <f t="shared" si="40"/>
        <v>2x SiOLED</v>
      </c>
      <c r="M557" s="21" t="s">
        <v>145</v>
      </c>
      <c r="N557" s="21"/>
      <c r="O557" s="27">
        <v>0.71</v>
      </c>
      <c r="P557" s="20">
        <v>1920</v>
      </c>
      <c r="Q557" s="20">
        <v>1080</v>
      </c>
      <c r="R557" s="29">
        <f t="shared" si="41"/>
        <v>3102.6861550454905</v>
      </c>
      <c r="S557" s="20">
        <v>90</v>
      </c>
      <c r="T557" s="18">
        <v>44470</v>
      </c>
      <c r="U557" s="20">
        <v>2</v>
      </c>
      <c r="V557" s="120">
        <v>6.6E-3</v>
      </c>
      <c r="W557" s="69">
        <f t="shared" si="42"/>
        <v>0.46375383859199987</v>
      </c>
      <c r="X557" s="106">
        <v>70.265733119999979</v>
      </c>
      <c r="Y557" s="72" t="str">
        <f t="shared" si="43"/>
        <v>AR_2024_2x SiOLED_Air</v>
      </c>
      <c r="Z557" s="36" t="str">
        <f t="shared" si="44"/>
        <v>AR_2024_2x SiOLED</v>
      </c>
    </row>
    <row r="558" spans="3:26">
      <c r="C558" s="17">
        <v>550</v>
      </c>
      <c r="D558" s="109" t="s">
        <v>129</v>
      </c>
      <c r="E558" s="20" t="s">
        <v>13</v>
      </c>
      <c r="F558" s="20" t="s">
        <v>176</v>
      </c>
      <c r="G558" s="21" t="s">
        <v>186</v>
      </c>
      <c r="H558" s="21" t="s">
        <v>188</v>
      </c>
      <c r="I558" s="19" t="s">
        <v>63</v>
      </c>
      <c r="J558" s="19" t="s">
        <v>27</v>
      </c>
      <c r="K558" s="21" t="s">
        <v>51</v>
      </c>
      <c r="L558" s="33" t="str">
        <f t="shared" si="40"/>
        <v>2x SiOLED</v>
      </c>
      <c r="M558" s="21" t="s">
        <v>6</v>
      </c>
      <c r="N558" s="21"/>
      <c r="O558" s="27">
        <v>0.55000000000000004</v>
      </c>
      <c r="P558" s="20">
        <v>1920</v>
      </c>
      <c r="Q558" s="20">
        <v>1080</v>
      </c>
      <c r="R558" s="29">
        <f t="shared" si="41"/>
        <v>4005.2857637859966</v>
      </c>
      <c r="S558" s="20">
        <v>120</v>
      </c>
      <c r="T558" s="18">
        <v>45170</v>
      </c>
      <c r="U558" s="20">
        <v>2</v>
      </c>
      <c r="V558" s="120">
        <v>6.613200000000001E-2</v>
      </c>
      <c r="W558" s="69">
        <f t="shared" si="42"/>
        <v>3.6372600000000004</v>
      </c>
      <c r="X558" s="106">
        <v>55</v>
      </c>
      <c r="Y558" s="72" t="str">
        <f t="shared" si="43"/>
        <v>AR_2024_2x SiOLED_Air 2</v>
      </c>
      <c r="Z558" s="36" t="str">
        <f t="shared" si="44"/>
        <v>AR_2024_2x SiOLED</v>
      </c>
    </row>
    <row r="559" spans="3:26">
      <c r="C559" s="17">
        <v>551</v>
      </c>
      <c r="D559" s="109" t="s">
        <v>129</v>
      </c>
      <c r="E559" s="20" t="s">
        <v>13</v>
      </c>
      <c r="F559" s="20" t="s">
        <v>176</v>
      </c>
      <c r="G559" s="21" t="s">
        <v>189</v>
      </c>
      <c r="H559" s="21" t="s">
        <v>190</v>
      </c>
      <c r="I559" s="19" t="s">
        <v>63</v>
      </c>
      <c r="J559" s="19" t="s">
        <v>31</v>
      </c>
      <c r="K559" s="21" t="s">
        <v>120</v>
      </c>
      <c r="L559" s="33" t="str">
        <f t="shared" si="40"/>
        <v>2x MicroLED</v>
      </c>
      <c r="M559" s="21" t="s">
        <v>144</v>
      </c>
      <c r="N559" s="21"/>
      <c r="O559" s="27">
        <v>0.13</v>
      </c>
      <c r="P559" s="20">
        <v>640</v>
      </c>
      <c r="Q559" s="20">
        <v>480</v>
      </c>
      <c r="R559" s="29">
        <f t="shared" si="41"/>
        <v>6153.8461538461534</v>
      </c>
      <c r="S559" s="20" t="s">
        <v>36</v>
      </c>
      <c r="T559" s="18">
        <v>45261</v>
      </c>
      <c r="U559" s="20">
        <v>2</v>
      </c>
      <c r="V559" s="120">
        <v>2.5000000000000001E-3</v>
      </c>
      <c r="W559" s="69">
        <f t="shared" si="42"/>
        <v>0.17430220531999996</v>
      </c>
      <c r="X559" s="106">
        <v>69.720882127999985</v>
      </c>
      <c r="Y559" s="72" t="str">
        <f t="shared" si="43"/>
        <v>AR_2024_2x MicroLED_MYVU</v>
      </c>
      <c r="Z559" s="36" t="str">
        <f t="shared" si="44"/>
        <v>AR_2024_2x MicroLED</v>
      </c>
    </row>
    <row r="560" spans="3:26">
      <c r="C560" s="17">
        <v>552</v>
      </c>
      <c r="D560" s="109" t="s">
        <v>129</v>
      </c>
      <c r="E560" s="20" t="s">
        <v>13</v>
      </c>
      <c r="F560" s="20" t="s">
        <v>176</v>
      </c>
      <c r="G560" s="21" t="s">
        <v>191</v>
      </c>
      <c r="H560" s="21" t="s">
        <v>192</v>
      </c>
      <c r="I560" s="19" t="s">
        <v>63</v>
      </c>
      <c r="J560" s="19" t="s">
        <v>31</v>
      </c>
      <c r="K560" s="21" t="s">
        <v>120</v>
      </c>
      <c r="L560" s="33" t="str">
        <f t="shared" si="40"/>
        <v>1x MicroLED</v>
      </c>
      <c r="M560" s="21" t="s">
        <v>144</v>
      </c>
      <c r="N560" s="21"/>
      <c r="O560" s="27">
        <v>0.13</v>
      </c>
      <c r="P560" s="20">
        <v>640</v>
      </c>
      <c r="Q560" s="20">
        <v>480</v>
      </c>
      <c r="R560" s="29">
        <f t="shared" si="41"/>
        <v>6153.8461538461534</v>
      </c>
      <c r="S560" s="20" t="s">
        <v>36</v>
      </c>
      <c r="T560" s="18">
        <v>45170</v>
      </c>
      <c r="U560" s="20">
        <v>1</v>
      </c>
      <c r="V560" s="120">
        <v>2.2000000000000001E-3</v>
      </c>
      <c r="W560" s="69">
        <f t="shared" si="42"/>
        <v>0.15338594068159997</v>
      </c>
      <c r="X560" s="106">
        <v>69.720882127999985</v>
      </c>
      <c r="Y560" s="72" t="str">
        <f t="shared" si="43"/>
        <v>AR_2024_1x MicroLED_Go</v>
      </c>
      <c r="Z560" s="36" t="str">
        <f t="shared" si="44"/>
        <v>AR_2024_1x MicroLED</v>
      </c>
    </row>
    <row r="561" spans="3:26">
      <c r="C561" s="17">
        <v>553</v>
      </c>
      <c r="D561" s="109" t="s">
        <v>129</v>
      </c>
      <c r="E561" s="20" t="s">
        <v>13</v>
      </c>
      <c r="F561" s="20" t="s">
        <v>176</v>
      </c>
      <c r="G561" s="21" t="s">
        <v>68</v>
      </c>
      <c r="H561" s="21" t="s">
        <v>273</v>
      </c>
      <c r="I561" s="19" t="s">
        <v>63</v>
      </c>
      <c r="J561" s="19" t="s">
        <v>27</v>
      </c>
      <c r="K561" s="21" t="s">
        <v>120</v>
      </c>
      <c r="L561" s="33" t="str">
        <f t="shared" si="40"/>
        <v>1x MicroLED</v>
      </c>
      <c r="M561" s="21" t="s">
        <v>144</v>
      </c>
      <c r="N561" s="21"/>
      <c r="O561" s="27">
        <v>0.13</v>
      </c>
      <c r="P561" s="20">
        <v>640</v>
      </c>
      <c r="Q561" s="20">
        <v>480</v>
      </c>
      <c r="R561" s="29">
        <f t="shared" si="41"/>
        <v>6153.8461538461534</v>
      </c>
      <c r="S561" s="20" t="s">
        <v>36</v>
      </c>
      <c r="T561" s="18">
        <v>45597</v>
      </c>
      <c r="U561" s="20">
        <v>1</v>
      </c>
      <c r="V561" s="120">
        <v>1E-4</v>
      </c>
      <c r="W561" s="69">
        <f t="shared" si="42"/>
        <v>6.9720882127999985E-3</v>
      </c>
      <c r="X561" s="106">
        <v>69.720882127999985</v>
      </c>
      <c r="Y561" s="72" t="str">
        <f t="shared" si="43"/>
        <v>AR_2024_1x MicroLED_Z100</v>
      </c>
      <c r="Z561" s="36" t="str">
        <f t="shared" si="44"/>
        <v>AR_2024_1x MicroLED</v>
      </c>
    </row>
    <row r="562" spans="3:26">
      <c r="C562" s="17">
        <v>554</v>
      </c>
      <c r="D562" s="109" t="s">
        <v>129</v>
      </c>
      <c r="E562" s="20" t="s">
        <v>13</v>
      </c>
      <c r="F562" s="20" t="s">
        <v>176</v>
      </c>
      <c r="G562" s="21" t="s">
        <v>283</v>
      </c>
      <c r="H562" s="21" t="s">
        <v>284</v>
      </c>
      <c r="I562" s="19" t="s">
        <v>63</v>
      </c>
      <c r="J562" s="19" t="s">
        <v>27</v>
      </c>
      <c r="K562" s="21" t="s">
        <v>51</v>
      </c>
      <c r="L562" s="33" t="str">
        <f t="shared" si="40"/>
        <v>2x SiOLED</v>
      </c>
      <c r="M562" s="21" t="s">
        <v>6</v>
      </c>
      <c r="N562" s="21"/>
      <c r="O562" s="27">
        <v>0.55000000000000004</v>
      </c>
      <c r="P562" s="20">
        <v>1920</v>
      </c>
      <c r="Q562" s="20">
        <v>1080</v>
      </c>
      <c r="R562" s="29">
        <f t="shared" si="41"/>
        <v>4005.2857637859966</v>
      </c>
      <c r="S562" s="20">
        <v>120</v>
      </c>
      <c r="T562" s="18">
        <v>45444</v>
      </c>
      <c r="U562" s="20">
        <v>2</v>
      </c>
      <c r="V562" s="120">
        <v>1.6500000000000001E-2</v>
      </c>
      <c r="W562" s="69">
        <f t="shared" si="42"/>
        <v>0.90750000000000008</v>
      </c>
      <c r="X562" s="106">
        <v>55</v>
      </c>
      <c r="Y562" s="72" t="str">
        <f t="shared" si="43"/>
        <v>AR_2024_2x SiOLED_Viture Pro</v>
      </c>
      <c r="Z562" s="36" t="str">
        <f t="shared" si="44"/>
        <v>AR_2024_2x SiOLED</v>
      </c>
    </row>
    <row r="563" spans="3:26">
      <c r="C563" s="17">
        <v>555</v>
      </c>
      <c r="D563" s="109" t="s">
        <v>26</v>
      </c>
      <c r="E563" s="20" t="s">
        <v>13</v>
      </c>
      <c r="F563" s="20" t="s">
        <v>177</v>
      </c>
      <c r="G563" s="21" t="s">
        <v>141</v>
      </c>
      <c r="H563" s="21" t="s">
        <v>169</v>
      </c>
      <c r="I563" s="19" t="s">
        <v>44</v>
      </c>
      <c r="J563" s="19" t="s">
        <v>31</v>
      </c>
      <c r="K563" s="21" t="s">
        <v>51</v>
      </c>
      <c r="L563" s="33" t="str">
        <f t="shared" si="40"/>
        <v>2x SiOLED</v>
      </c>
      <c r="M563" s="21" t="s">
        <v>6</v>
      </c>
      <c r="N563" s="21"/>
      <c r="O563" s="27">
        <v>1.42</v>
      </c>
      <c r="P563" s="20">
        <v>3660</v>
      </c>
      <c r="Q563" s="20">
        <v>3200</v>
      </c>
      <c r="R563" s="29">
        <f t="shared" si="41"/>
        <v>3423.6942337059722</v>
      </c>
      <c r="S563" s="20">
        <v>100</v>
      </c>
      <c r="T563" s="18">
        <v>45323</v>
      </c>
      <c r="U563" s="20">
        <v>2</v>
      </c>
      <c r="V563" s="120">
        <v>0.3</v>
      </c>
      <c r="W563" s="69">
        <f t="shared" si="42"/>
        <v>69</v>
      </c>
      <c r="X563" s="106">
        <v>230</v>
      </c>
      <c r="Y563" s="72" t="str">
        <f t="shared" si="43"/>
        <v>VR_2024_2x SiOLED_Vision Pro</v>
      </c>
      <c r="Z563" s="36" t="str">
        <f t="shared" si="44"/>
        <v>VR_2024_2x SiOLED</v>
      </c>
    </row>
    <row r="564" spans="3:26">
      <c r="C564" s="17">
        <v>556</v>
      </c>
      <c r="D564" s="109" t="s">
        <v>26</v>
      </c>
      <c r="E564" s="20" t="s">
        <v>13</v>
      </c>
      <c r="F564" s="20" t="s">
        <v>177</v>
      </c>
      <c r="G564" s="21" t="s">
        <v>164</v>
      </c>
      <c r="H564" s="21" t="s">
        <v>165</v>
      </c>
      <c r="I564" s="19" t="s">
        <v>26</v>
      </c>
      <c r="J564" s="19" t="s">
        <v>27</v>
      </c>
      <c r="K564" s="21" t="s">
        <v>51</v>
      </c>
      <c r="L564" s="33" t="str">
        <f t="shared" si="40"/>
        <v>2x SiOLED</v>
      </c>
      <c r="M564" s="21" t="s">
        <v>116</v>
      </c>
      <c r="N564" s="21"/>
      <c r="O564" s="27">
        <v>1.03</v>
      </c>
      <c r="P564" s="20">
        <v>2560</v>
      </c>
      <c r="Q564" s="20">
        <v>2560</v>
      </c>
      <c r="R564" s="29">
        <f t="shared" si="41"/>
        <v>3514.9385627913821</v>
      </c>
      <c r="S564" s="20">
        <v>90</v>
      </c>
      <c r="T564" s="18"/>
      <c r="U564" s="20">
        <v>2</v>
      </c>
      <c r="V564" s="120">
        <v>3.3000000000000002E-2</v>
      </c>
      <c r="W564" s="69">
        <f t="shared" si="42"/>
        <v>3.7950000000000004</v>
      </c>
      <c r="X564" s="106">
        <v>115</v>
      </c>
      <c r="Y564" s="72" t="str">
        <f t="shared" si="43"/>
        <v>VR_2024_2x SiOLED_Beyond</v>
      </c>
      <c r="Z564" s="36" t="str">
        <f t="shared" si="44"/>
        <v>VR_2024_2x SiOLED</v>
      </c>
    </row>
    <row r="565" spans="3:26">
      <c r="C565" s="17">
        <v>557</v>
      </c>
      <c r="D565" s="109" t="s">
        <v>26</v>
      </c>
      <c r="E565" s="20" t="s">
        <v>13</v>
      </c>
      <c r="F565" s="20" t="s">
        <v>177</v>
      </c>
      <c r="G565" s="21" t="s">
        <v>41</v>
      </c>
      <c r="H565" s="21" t="s">
        <v>178</v>
      </c>
      <c r="I565" s="19" t="s">
        <v>26</v>
      </c>
      <c r="J565" s="19" t="s">
        <v>31</v>
      </c>
      <c r="K565" s="21" t="s">
        <v>15</v>
      </c>
      <c r="L565" s="33" t="str">
        <f t="shared" si="40"/>
        <v>2x LCD</v>
      </c>
      <c r="M565" s="21" t="s">
        <v>2</v>
      </c>
      <c r="N565" s="21" t="s">
        <v>143</v>
      </c>
      <c r="O565" s="27"/>
      <c r="P565" s="20"/>
      <c r="Q565" s="20"/>
      <c r="R565" s="29">
        <f t="shared" si="41"/>
        <v>0</v>
      </c>
      <c r="S565" s="20" t="s">
        <v>36</v>
      </c>
      <c r="T565" s="18">
        <v>43739</v>
      </c>
      <c r="U565" s="20">
        <v>2</v>
      </c>
      <c r="V565" s="120">
        <v>2.7499999999999998E-3</v>
      </c>
      <c r="W565" s="69">
        <f t="shared" si="42"/>
        <v>9.9431287648000008E-2</v>
      </c>
      <c r="X565" s="106">
        <v>36.156831872000005</v>
      </c>
      <c r="Y565" s="72" t="str">
        <f t="shared" si="43"/>
        <v>VR_2024_2x LCD_Vive LCD headsets</v>
      </c>
      <c r="Z565" s="36" t="str">
        <f t="shared" si="44"/>
        <v>VR_2024_2x LCD</v>
      </c>
    </row>
    <row r="566" spans="3:26">
      <c r="C566" s="17">
        <v>558</v>
      </c>
      <c r="D566" s="109" t="s">
        <v>26</v>
      </c>
      <c r="E566" s="20" t="s">
        <v>13</v>
      </c>
      <c r="F566" s="20" t="s">
        <v>177</v>
      </c>
      <c r="G566" s="21" t="s">
        <v>77</v>
      </c>
      <c r="H566" s="21" t="s">
        <v>163</v>
      </c>
      <c r="I566" s="19" t="s">
        <v>44</v>
      </c>
      <c r="J566" s="19" t="s">
        <v>31</v>
      </c>
      <c r="K566" s="21" t="s">
        <v>15</v>
      </c>
      <c r="L566" s="33" t="str">
        <f t="shared" si="40"/>
        <v>2x LCD</v>
      </c>
      <c r="M566" s="21" t="s">
        <v>36</v>
      </c>
      <c r="N566" s="21"/>
      <c r="O566" s="27"/>
      <c r="P566" s="20"/>
      <c r="Q566" s="20"/>
      <c r="R566" s="29">
        <f t="shared" si="41"/>
        <v>0</v>
      </c>
      <c r="S566" s="20" t="s">
        <v>36</v>
      </c>
      <c r="T566" s="18">
        <v>45078</v>
      </c>
      <c r="U566" s="20">
        <v>2</v>
      </c>
      <c r="V566" s="120">
        <v>2.2000000000000001E-3</v>
      </c>
      <c r="W566" s="69">
        <f t="shared" si="42"/>
        <v>7.9545030118400015E-2</v>
      </c>
      <c r="X566" s="106">
        <v>36.156831872000005</v>
      </c>
      <c r="Y566" s="72" t="str">
        <f t="shared" si="43"/>
        <v>VR_2024_2x LCD_ThinkReality VRX</v>
      </c>
      <c r="Z566" s="36" t="str">
        <f t="shared" si="44"/>
        <v>VR_2024_2x LCD</v>
      </c>
    </row>
    <row r="567" spans="3:26">
      <c r="C567" s="17">
        <v>559</v>
      </c>
      <c r="D567" s="109" t="s">
        <v>26</v>
      </c>
      <c r="E567" s="20" t="s">
        <v>13</v>
      </c>
      <c r="F567" s="20" t="s">
        <v>177</v>
      </c>
      <c r="G567" s="21" t="s">
        <v>112</v>
      </c>
      <c r="H567" s="21" t="s">
        <v>137</v>
      </c>
      <c r="I567" s="19" t="s">
        <v>26</v>
      </c>
      <c r="J567" s="19" t="s">
        <v>31</v>
      </c>
      <c r="K567" s="21" t="s">
        <v>15</v>
      </c>
      <c r="L567" s="33" t="str">
        <f t="shared" si="40"/>
        <v>2x LCD</v>
      </c>
      <c r="M567" s="21" t="s">
        <v>4</v>
      </c>
      <c r="N567" s="21" t="s">
        <v>2</v>
      </c>
      <c r="O567" s="27"/>
      <c r="P567" s="20"/>
      <c r="Q567" s="20"/>
      <c r="R567" s="29">
        <f t="shared" si="41"/>
        <v>0</v>
      </c>
      <c r="S567" s="20"/>
      <c r="T567" s="18">
        <v>45200</v>
      </c>
      <c r="U567" s="20">
        <v>2</v>
      </c>
      <c r="V567" s="120">
        <v>1.1000000000000001</v>
      </c>
      <c r="W567" s="69">
        <f t="shared" si="42"/>
        <v>39.772515059200011</v>
      </c>
      <c r="X567" s="106">
        <v>36.156831872000005</v>
      </c>
      <c r="Y567" s="72" t="str">
        <f t="shared" si="43"/>
        <v>VR_2024_2x LCD_Quest 3</v>
      </c>
      <c r="Z567" s="36" t="str">
        <f t="shared" si="44"/>
        <v>VR_2024_2x LCD</v>
      </c>
    </row>
    <row r="568" spans="3:26">
      <c r="C568" s="17">
        <v>560</v>
      </c>
      <c r="D568" s="109" t="s">
        <v>26</v>
      </c>
      <c r="E568" s="20" t="s">
        <v>13</v>
      </c>
      <c r="F568" s="20" t="s">
        <v>177</v>
      </c>
      <c r="G568" s="21" t="s">
        <v>110</v>
      </c>
      <c r="H568" s="21" t="s">
        <v>134</v>
      </c>
      <c r="I568" s="19" t="s">
        <v>26</v>
      </c>
      <c r="J568" s="19" t="s">
        <v>31</v>
      </c>
      <c r="K568" s="21" t="s">
        <v>15</v>
      </c>
      <c r="L568" s="33" t="str">
        <f t="shared" si="40"/>
        <v>2x LCD</v>
      </c>
      <c r="M568" s="21" t="s">
        <v>146</v>
      </c>
      <c r="N568" s="21"/>
      <c r="O568" s="27">
        <v>2.56</v>
      </c>
      <c r="P568" s="20">
        <v>2160</v>
      </c>
      <c r="Q568" s="20">
        <v>2160</v>
      </c>
      <c r="R568" s="29">
        <f t="shared" si="41"/>
        <v>1193.242693252299</v>
      </c>
      <c r="S568" s="20">
        <v>90</v>
      </c>
      <c r="T568" s="18">
        <v>44805</v>
      </c>
      <c r="U568" s="20">
        <v>2</v>
      </c>
      <c r="V568" s="120">
        <v>0.14849999999999999</v>
      </c>
      <c r="W568" s="69">
        <f t="shared" si="42"/>
        <v>5.3692895329920001</v>
      </c>
      <c r="X568" s="106">
        <v>36.156831872000005</v>
      </c>
      <c r="Y568" s="72" t="str">
        <f t="shared" si="43"/>
        <v>VR_2024_2x LCD_Pico 4</v>
      </c>
      <c r="Z568" s="36" t="str">
        <f t="shared" si="44"/>
        <v>VR_2024_2x LCD</v>
      </c>
    </row>
    <row r="569" spans="3:26">
      <c r="C569" s="17">
        <v>561</v>
      </c>
      <c r="D569" s="109" t="s">
        <v>26</v>
      </c>
      <c r="E569" s="20" t="s">
        <v>13</v>
      </c>
      <c r="F569" s="20" t="s">
        <v>177</v>
      </c>
      <c r="G569" s="21" t="s">
        <v>97</v>
      </c>
      <c r="H569" s="21" t="s">
        <v>161</v>
      </c>
      <c r="I569" s="19" t="s">
        <v>26</v>
      </c>
      <c r="J569" s="19" t="s">
        <v>36</v>
      </c>
      <c r="K569" s="21" t="s">
        <v>15</v>
      </c>
      <c r="L569" s="33" t="str">
        <f t="shared" si="40"/>
        <v>1x LCD</v>
      </c>
      <c r="M569" s="21" t="s">
        <v>36</v>
      </c>
      <c r="N569" s="21" t="s">
        <v>143</v>
      </c>
      <c r="O569" s="27"/>
      <c r="P569" s="20"/>
      <c r="Q569" s="20"/>
      <c r="R569" s="29">
        <f t="shared" si="41"/>
        <v>0</v>
      </c>
      <c r="S569" s="20" t="s">
        <v>36</v>
      </c>
      <c r="T569" s="18" t="s">
        <v>143</v>
      </c>
      <c r="U569" s="20">
        <v>1</v>
      </c>
      <c r="V569" s="120">
        <v>2.145E-2</v>
      </c>
      <c r="W569" s="69">
        <f t="shared" si="42"/>
        <v>1.1633460654815997</v>
      </c>
      <c r="X569" s="106">
        <v>54.23524780799999</v>
      </c>
      <c r="Y569" s="72" t="str">
        <f t="shared" si="43"/>
        <v>VR_2024_1x LCD_Single LCD VR headset</v>
      </c>
      <c r="Z569" s="36" t="str">
        <f t="shared" si="44"/>
        <v>VR_2024_1x LCD</v>
      </c>
    </row>
    <row r="570" spans="3:26">
      <c r="C570" s="17">
        <v>562</v>
      </c>
      <c r="D570" s="109" t="s">
        <v>26</v>
      </c>
      <c r="E570" s="20" t="s">
        <v>13</v>
      </c>
      <c r="F570" s="20" t="s">
        <v>177</v>
      </c>
      <c r="G570" s="21" t="s">
        <v>180</v>
      </c>
      <c r="H570" s="21" t="s">
        <v>181</v>
      </c>
      <c r="I570" s="19" t="s">
        <v>26</v>
      </c>
      <c r="J570" s="19" t="s">
        <v>27</v>
      </c>
      <c r="K570" s="21" t="s">
        <v>51</v>
      </c>
      <c r="L570" s="33" t="str">
        <f t="shared" si="40"/>
        <v>2x SiOLED</v>
      </c>
      <c r="M570" s="21" t="s">
        <v>116</v>
      </c>
      <c r="N570" s="21"/>
      <c r="O570" s="27">
        <v>1.03</v>
      </c>
      <c r="P570" s="20">
        <v>2560</v>
      </c>
      <c r="Q570" s="20">
        <v>2560</v>
      </c>
      <c r="R570" s="29">
        <f t="shared" si="41"/>
        <v>3514.9385627913821</v>
      </c>
      <c r="S570" s="20"/>
      <c r="T570" s="18">
        <v>43497</v>
      </c>
      <c r="U570" s="20">
        <v>2</v>
      </c>
      <c r="V570" s="120">
        <v>1.7160000000000001E-3</v>
      </c>
      <c r="W570" s="69">
        <f t="shared" si="42"/>
        <v>0.22567390560000003</v>
      </c>
      <c r="X570" s="106">
        <v>131.51160000000002</v>
      </c>
      <c r="Y570" s="72" t="str">
        <f t="shared" si="43"/>
        <v>VR_2024_2x SiOLED_Bionic models</v>
      </c>
      <c r="Z570" s="36" t="str">
        <f t="shared" si="44"/>
        <v>VR_2024_2x SiOLED</v>
      </c>
    </row>
    <row r="571" spans="3:26">
      <c r="C571" s="17">
        <v>563</v>
      </c>
      <c r="D571" s="109" t="s">
        <v>26</v>
      </c>
      <c r="E571" s="20" t="s">
        <v>13</v>
      </c>
      <c r="F571" s="20" t="s">
        <v>177</v>
      </c>
      <c r="G571" s="21" t="s">
        <v>180</v>
      </c>
      <c r="H571" s="21" t="s">
        <v>183</v>
      </c>
      <c r="I571" s="19" t="s">
        <v>26</v>
      </c>
      <c r="J571" s="19" t="s">
        <v>27</v>
      </c>
      <c r="K571" s="21" t="s">
        <v>15</v>
      </c>
      <c r="L571" s="33" t="str">
        <f t="shared" si="40"/>
        <v>2x LCD</v>
      </c>
      <c r="M571" s="21" t="s">
        <v>36</v>
      </c>
      <c r="N571" s="21"/>
      <c r="O571" s="27">
        <v>3.2</v>
      </c>
      <c r="P571" s="20">
        <v>2880</v>
      </c>
      <c r="Q571" s="20">
        <v>2720</v>
      </c>
      <c r="R571" s="29">
        <f t="shared" si="41"/>
        <v>1237.9418403139946</v>
      </c>
      <c r="S571" s="20">
        <v>90</v>
      </c>
      <c r="T571" s="18">
        <v>44470</v>
      </c>
      <c r="U571" s="20">
        <v>2</v>
      </c>
      <c r="V571" s="120">
        <v>2.2000000000000001E-4</v>
      </c>
      <c r="W571" s="69">
        <f t="shared" si="42"/>
        <v>1.21E-2</v>
      </c>
      <c r="X571" s="106">
        <v>55</v>
      </c>
      <c r="Y571" s="72" t="str">
        <f t="shared" si="43"/>
        <v>VR_2024_2x LCD_Aero</v>
      </c>
      <c r="Z571" s="36" t="str">
        <f t="shared" si="44"/>
        <v>VR_2024_2x LCD</v>
      </c>
    </row>
    <row r="572" spans="3:26">
      <c r="C572" s="17">
        <v>564</v>
      </c>
      <c r="D572" s="109" t="s">
        <v>26</v>
      </c>
      <c r="E572" s="20" t="s">
        <v>13</v>
      </c>
      <c r="F572" s="20" t="s">
        <v>177</v>
      </c>
      <c r="G572" s="21" t="s">
        <v>180</v>
      </c>
      <c r="H572" s="21" t="s">
        <v>184</v>
      </c>
      <c r="I572" s="19" t="s">
        <v>26</v>
      </c>
      <c r="J572" s="19" t="s">
        <v>27</v>
      </c>
      <c r="K572" s="21" t="s">
        <v>15</v>
      </c>
      <c r="L572" s="33" t="str">
        <f t="shared" si="40"/>
        <v>2x LCD</v>
      </c>
      <c r="M572" s="21" t="s">
        <v>301</v>
      </c>
      <c r="N572" s="21"/>
      <c r="O572" s="27">
        <v>3.59</v>
      </c>
      <c r="P572" s="20">
        <v>3840</v>
      </c>
      <c r="Q572" s="20">
        <v>3744</v>
      </c>
      <c r="R572" s="29">
        <f t="shared" si="41"/>
        <v>1493.9073665208787</v>
      </c>
      <c r="S572" s="20">
        <v>90</v>
      </c>
      <c r="T572" s="18">
        <v>45261</v>
      </c>
      <c r="U572" s="20">
        <v>2</v>
      </c>
      <c r="V572" s="120">
        <v>2E-3</v>
      </c>
      <c r="W572" s="69">
        <f t="shared" si="42"/>
        <v>0.11</v>
      </c>
      <c r="X572" s="106">
        <v>55</v>
      </c>
      <c r="Y572" s="72" t="str">
        <f t="shared" si="43"/>
        <v>VR_2024_2x LCD_XR-4</v>
      </c>
      <c r="Z572" s="36" t="str">
        <f t="shared" si="44"/>
        <v>VR_2024_2x LCD</v>
      </c>
    </row>
    <row r="573" spans="3:26">
      <c r="C573" s="17">
        <v>565</v>
      </c>
      <c r="D573" s="109" t="s">
        <v>26</v>
      </c>
      <c r="E573" s="20" t="s">
        <v>13</v>
      </c>
      <c r="F573" s="20" t="s">
        <v>177</v>
      </c>
      <c r="G573" s="21" t="s">
        <v>112</v>
      </c>
      <c r="H573" s="21" t="s">
        <v>196</v>
      </c>
      <c r="I573" s="19" t="s">
        <v>26</v>
      </c>
      <c r="J573" s="19" t="s">
        <v>31</v>
      </c>
      <c r="K573" s="21" t="s">
        <v>15</v>
      </c>
      <c r="L573" s="33" t="str">
        <f t="shared" si="40"/>
        <v>1x LCD</v>
      </c>
      <c r="M573" s="21" t="s">
        <v>2</v>
      </c>
      <c r="N573" s="21" t="s">
        <v>4</v>
      </c>
      <c r="O573" s="27">
        <v>5.5</v>
      </c>
      <c r="P573" s="20">
        <v>3840</v>
      </c>
      <c r="Q573" s="20">
        <v>1832</v>
      </c>
      <c r="R573" s="29">
        <f t="shared" si="41"/>
        <v>773.56797048396322</v>
      </c>
      <c r="S573" s="20">
        <v>120</v>
      </c>
      <c r="T573" s="18">
        <v>45566</v>
      </c>
      <c r="U573" s="20">
        <v>1</v>
      </c>
      <c r="V573" s="120">
        <v>1.2</v>
      </c>
      <c r="W573" s="69">
        <f t="shared" si="42"/>
        <v>64.8</v>
      </c>
      <c r="X573" s="106">
        <v>54</v>
      </c>
      <c r="Y573" s="72" t="str">
        <f t="shared" si="43"/>
        <v>VR_2024_1x LCD_Quest 3S</v>
      </c>
      <c r="Z573" s="36" t="str">
        <f t="shared" si="44"/>
        <v>VR_2024_1x LCD</v>
      </c>
    </row>
    <row r="574" spans="3:26">
      <c r="C574" s="17">
        <v>566</v>
      </c>
      <c r="D574" s="109" t="s">
        <v>129</v>
      </c>
      <c r="E574" s="20" t="s">
        <v>13</v>
      </c>
      <c r="F574" s="20" t="s">
        <v>177</v>
      </c>
      <c r="G574" s="21" t="s">
        <v>73</v>
      </c>
      <c r="H574" s="21" t="s">
        <v>74</v>
      </c>
      <c r="I574" s="19" t="s">
        <v>63</v>
      </c>
      <c r="J574" s="19" t="s">
        <v>31</v>
      </c>
      <c r="K574" s="21" t="s">
        <v>51</v>
      </c>
      <c r="L574" s="33" t="str">
        <f t="shared" si="40"/>
        <v>2x SiOLED</v>
      </c>
      <c r="M574" s="21" t="s">
        <v>73</v>
      </c>
      <c r="N574" s="21"/>
      <c r="O574" s="27">
        <v>0.43</v>
      </c>
      <c r="P574" s="20">
        <v>1280</v>
      </c>
      <c r="Q574" s="20">
        <v>720</v>
      </c>
      <c r="R574" s="29">
        <f t="shared" si="41"/>
        <v>3415.3599536159668</v>
      </c>
      <c r="S574" s="20" t="s">
        <v>36</v>
      </c>
      <c r="T574" s="18">
        <v>42401</v>
      </c>
      <c r="U574" s="20">
        <v>2</v>
      </c>
      <c r="V574" s="120">
        <v>5.0599999999999994E-3</v>
      </c>
      <c r="W574" s="69">
        <f t="shared" si="42"/>
        <v>0.32889999999999997</v>
      </c>
      <c r="X574" s="106">
        <v>65</v>
      </c>
      <c r="Y574" s="72" t="str">
        <f t="shared" si="43"/>
        <v>AR_2024_2x SiOLED_Moverio</v>
      </c>
      <c r="Z574" s="36" t="str">
        <f t="shared" si="44"/>
        <v>AR_2024_2x SiOLED</v>
      </c>
    </row>
    <row r="575" spans="3:26">
      <c r="C575" s="17">
        <v>567</v>
      </c>
      <c r="D575" s="109" t="s">
        <v>129</v>
      </c>
      <c r="E575" s="20" t="s">
        <v>13</v>
      </c>
      <c r="F575" s="20" t="s">
        <v>177</v>
      </c>
      <c r="G575" s="21" t="s">
        <v>132</v>
      </c>
      <c r="H575" s="21" t="s">
        <v>160</v>
      </c>
      <c r="I575" s="19" t="s">
        <v>63</v>
      </c>
      <c r="J575" s="19" t="s">
        <v>27</v>
      </c>
      <c r="K575" s="21" t="s">
        <v>51</v>
      </c>
      <c r="L575" s="33" t="str">
        <f t="shared" si="40"/>
        <v>2x SiOLED</v>
      </c>
      <c r="M575" s="21" t="s">
        <v>6</v>
      </c>
      <c r="N575" s="21"/>
      <c r="O575" s="27">
        <v>0.55000000000000004</v>
      </c>
      <c r="P575" s="20">
        <v>1920</v>
      </c>
      <c r="Q575" s="20">
        <v>1080</v>
      </c>
      <c r="R575" s="29">
        <f t="shared" si="41"/>
        <v>4005.2857637859966</v>
      </c>
      <c r="S575" s="20">
        <v>120</v>
      </c>
      <c r="T575" s="18">
        <v>45017</v>
      </c>
      <c r="U575" s="20">
        <v>2</v>
      </c>
      <c r="V575" s="120">
        <v>6.6E-3</v>
      </c>
      <c r="W575" s="69">
        <f t="shared" si="42"/>
        <v>0.36299999999999999</v>
      </c>
      <c r="X575" s="106">
        <v>55</v>
      </c>
      <c r="Y575" s="72" t="str">
        <f t="shared" si="43"/>
        <v>AR_2024_2x SiOLED_Max</v>
      </c>
      <c r="Z575" s="36" t="str">
        <f t="shared" si="44"/>
        <v>AR_2024_2x SiOLED</v>
      </c>
    </row>
    <row r="576" spans="3:26">
      <c r="C576" s="17">
        <v>568</v>
      </c>
      <c r="D576" s="109" t="s">
        <v>129</v>
      </c>
      <c r="E576" s="20" t="s">
        <v>13</v>
      </c>
      <c r="F576" s="20" t="s">
        <v>177</v>
      </c>
      <c r="G576" s="21" t="s">
        <v>135</v>
      </c>
      <c r="H576" s="21" t="s">
        <v>136</v>
      </c>
      <c r="I576" s="19" t="s">
        <v>63</v>
      </c>
      <c r="J576" s="19" t="s">
        <v>27</v>
      </c>
      <c r="K576" s="21" t="s">
        <v>51</v>
      </c>
      <c r="L576" s="33" t="str">
        <f t="shared" si="40"/>
        <v>2x SiOLED</v>
      </c>
      <c r="M576" s="21" t="s">
        <v>6</v>
      </c>
      <c r="N576" s="21"/>
      <c r="O576" s="27">
        <v>0.55000000000000004</v>
      </c>
      <c r="P576" s="20">
        <v>1920</v>
      </c>
      <c r="Q576" s="20">
        <v>1080</v>
      </c>
      <c r="R576" s="29">
        <f t="shared" si="41"/>
        <v>4005.2857637859966</v>
      </c>
      <c r="S576" s="20" t="s">
        <v>36</v>
      </c>
      <c r="T576" s="18">
        <v>44866</v>
      </c>
      <c r="U576" s="20">
        <v>2</v>
      </c>
      <c r="V576" s="120">
        <v>4.5319999999999999E-2</v>
      </c>
      <c r="W576" s="69">
        <f t="shared" si="42"/>
        <v>2.4925999999999999</v>
      </c>
      <c r="X576" s="106">
        <v>55</v>
      </c>
      <c r="Y576" s="72" t="str">
        <f t="shared" si="43"/>
        <v>AR_2024_2x SiOLED_NXTWear</v>
      </c>
      <c r="Z576" s="36" t="str">
        <f t="shared" si="44"/>
        <v>AR_2024_2x SiOLED</v>
      </c>
    </row>
    <row r="577" spans="3:26">
      <c r="C577" s="17">
        <v>569</v>
      </c>
      <c r="D577" s="109" t="s">
        <v>129</v>
      </c>
      <c r="E577" s="20" t="s">
        <v>13</v>
      </c>
      <c r="F577" s="20" t="s">
        <v>177</v>
      </c>
      <c r="G577" s="21" t="s">
        <v>68</v>
      </c>
      <c r="H577" s="21" t="s">
        <v>69</v>
      </c>
      <c r="I577" s="19" t="s">
        <v>63</v>
      </c>
      <c r="J577" s="19" t="s">
        <v>31</v>
      </c>
      <c r="K577" s="21" t="s">
        <v>70</v>
      </c>
      <c r="L577" s="33" t="str">
        <f t="shared" si="40"/>
        <v>1x DLP</v>
      </c>
      <c r="M577" s="21" t="s">
        <v>172</v>
      </c>
      <c r="N577" s="21"/>
      <c r="O577" s="27"/>
      <c r="P577" s="20">
        <v>853</v>
      </c>
      <c r="Q577" s="20">
        <v>480</v>
      </c>
      <c r="R577" s="29">
        <f t="shared" si="41"/>
        <v>0</v>
      </c>
      <c r="S577" s="20" t="s">
        <v>36</v>
      </c>
      <c r="T577" s="18">
        <v>43466</v>
      </c>
      <c r="U577" s="20">
        <v>1</v>
      </c>
      <c r="V577" s="120">
        <v>5.5000000000000002E-5</v>
      </c>
      <c r="W577" s="69">
        <f t="shared" si="42"/>
        <v>4.3412695777934997E-3</v>
      </c>
      <c r="X577" s="106">
        <v>78.932174141699988</v>
      </c>
      <c r="Y577" s="72" t="str">
        <f t="shared" si="43"/>
        <v>AR_2024_1x DLP_Blade</v>
      </c>
      <c r="Z577" s="36" t="str">
        <f t="shared" si="44"/>
        <v>AR_2024_1x DLP</v>
      </c>
    </row>
    <row r="578" spans="3:26">
      <c r="C578" s="17">
        <v>570</v>
      </c>
      <c r="D578" s="109" t="s">
        <v>129</v>
      </c>
      <c r="E578" s="20" t="s">
        <v>13</v>
      </c>
      <c r="F578" s="20" t="s">
        <v>177</v>
      </c>
      <c r="G578" s="21" t="s">
        <v>68</v>
      </c>
      <c r="H578" s="21" t="s">
        <v>122</v>
      </c>
      <c r="I578" s="19" t="s">
        <v>63</v>
      </c>
      <c r="J578" s="19" t="s">
        <v>31</v>
      </c>
      <c r="K578" s="21" t="s">
        <v>120</v>
      </c>
      <c r="L578" s="33" t="str">
        <f t="shared" si="40"/>
        <v>2x MicroLED</v>
      </c>
      <c r="M578" s="21" t="s">
        <v>144</v>
      </c>
      <c r="N578" s="21"/>
      <c r="O578" s="27">
        <v>0.13</v>
      </c>
      <c r="P578" s="20">
        <v>640</v>
      </c>
      <c r="Q578" s="20">
        <v>480</v>
      </c>
      <c r="R578" s="29">
        <f t="shared" si="41"/>
        <v>6153.8461538461534</v>
      </c>
      <c r="S578" s="20" t="s">
        <v>36</v>
      </c>
      <c r="T578" s="18">
        <v>44896</v>
      </c>
      <c r="U578" s="20">
        <v>2</v>
      </c>
      <c r="V578" s="120">
        <v>1.76E-4</v>
      </c>
      <c r="W578" s="69">
        <f t="shared" si="42"/>
        <v>1.2270875254527996E-2</v>
      </c>
      <c r="X578" s="106">
        <v>69.720882127999985</v>
      </c>
      <c r="Y578" s="72" t="str">
        <f t="shared" si="43"/>
        <v>AR_2024_2x MicroLED_Shield</v>
      </c>
      <c r="Z578" s="36" t="str">
        <f t="shared" si="44"/>
        <v>AR_2024_2x MicroLED</v>
      </c>
    </row>
    <row r="579" spans="3:26">
      <c r="C579" s="17">
        <v>571</v>
      </c>
      <c r="D579" s="109" t="s">
        <v>129</v>
      </c>
      <c r="E579" s="20" t="s">
        <v>13</v>
      </c>
      <c r="F579" s="20" t="s">
        <v>177</v>
      </c>
      <c r="G579" s="21" t="s">
        <v>97</v>
      </c>
      <c r="H579" s="21" t="s">
        <v>123</v>
      </c>
      <c r="I579" s="19" t="s">
        <v>63</v>
      </c>
      <c r="J579" s="19" t="s">
        <v>36</v>
      </c>
      <c r="K579" s="21" t="s">
        <v>120</v>
      </c>
      <c r="L579" s="33" t="str">
        <f t="shared" si="40"/>
        <v>2x MicroLED</v>
      </c>
      <c r="M579" s="21" t="s">
        <v>36</v>
      </c>
      <c r="N579" s="21"/>
      <c r="O579" s="27"/>
      <c r="P579" s="20"/>
      <c r="Q579" s="20"/>
      <c r="R579" s="29">
        <f t="shared" si="41"/>
        <v>0</v>
      </c>
      <c r="S579" s="20" t="s">
        <v>36</v>
      </c>
      <c r="T579" s="18" t="s">
        <v>143</v>
      </c>
      <c r="U579" s="20">
        <v>2</v>
      </c>
      <c r="V579" s="120">
        <v>6.6E-4</v>
      </c>
      <c r="W579" s="69">
        <f t="shared" si="42"/>
        <v>4.6015782204479987E-2</v>
      </c>
      <c r="X579" s="106">
        <v>69.720882127999985</v>
      </c>
      <c r="Y579" s="72" t="str">
        <f t="shared" si="43"/>
        <v>AR_2024_2x MicroLED_Binocular MicroLED</v>
      </c>
      <c r="Z579" s="36" t="str">
        <f t="shared" si="44"/>
        <v>AR_2024_2x MicroLED</v>
      </c>
    </row>
    <row r="580" spans="3:26">
      <c r="C580" s="17">
        <v>572</v>
      </c>
      <c r="D580" s="109" t="s">
        <v>129</v>
      </c>
      <c r="E580" s="20" t="s">
        <v>13</v>
      </c>
      <c r="F580" s="20" t="s">
        <v>177</v>
      </c>
      <c r="G580" s="21" t="s">
        <v>97</v>
      </c>
      <c r="H580" s="21" t="s">
        <v>75</v>
      </c>
      <c r="I580" s="19" t="s">
        <v>63</v>
      </c>
      <c r="J580" s="19" t="s">
        <v>36</v>
      </c>
      <c r="K580" s="21" t="s">
        <v>67</v>
      </c>
      <c r="L580" s="33" t="str">
        <f t="shared" si="40"/>
        <v>2x LCoS</v>
      </c>
      <c r="M580" s="21" t="s">
        <v>36</v>
      </c>
      <c r="N580" s="21"/>
      <c r="O580" s="27"/>
      <c r="P580" s="20"/>
      <c r="Q580" s="20"/>
      <c r="R580" s="29">
        <f t="shared" si="41"/>
        <v>0</v>
      </c>
      <c r="S580" s="20" t="s">
        <v>36</v>
      </c>
      <c r="T580" s="18" t="s">
        <v>143</v>
      </c>
      <c r="U580" s="20">
        <v>2</v>
      </c>
      <c r="V580" s="120">
        <v>4.4000000000000002E-4</v>
      </c>
      <c r="W580" s="69">
        <f t="shared" si="42"/>
        <v>1.9248038609976002E-2</v>
      </c>
      <c r="X580" s="106">
        <v>43.7455422954</v>
      </c>
      <c r="Y580" s="72" t="str">
        <f t="shared" si="43"/>
        <v>AR_2024_2x LCoS_LCoS glasses</v>
      </c>
      <c r="Z580" s="36" t="str">
        <f t="shared" si="44"/>
        <v>AR_2024_2x LCoS</v>
      </c>
    </row>
    <row r="581" spans="3:26">
      <c r="C581" s="17">
        <v>573</v>
      </c>
      <c r="D581" s="109" t="s">
        <v>129</v>
      </c>
      <c r="E581" s="20" t="s">
        <v>13</v>
      </c>
      <c r="F581" s="20" t="s">
        <v>177</v>
      </c>
      <c r="G581" s="21" t="s">
        <v>97</v>
      </c>
      <c r="H581" s="21" t="s">
        <v>79</v>
      </c>
      <c r="I581" s="19" t="s">
        <v>63</v>
      </c>
      <c r="J581" s="19" t="s">
        <v>36</v>
      </c>
      <c r="K581" s="21" t="s">
        <v>51</v>
      </c>
      <c r="L581" s="33" t="str">
        <f t="shared" si="40"/>
        <v>2x SiOLED</v>
      </c>
      <c r="M581" s="21" t="s">
        <v>36</v>
      </c>
      <c r="N581" s="21"/>
      <c r="O581" s="27"/>
      <c r="P581" s="20"/>
      <c r="Q581" s="20"/>
      <c r="R581" s="29">
        <f t="shared" si="41"/>
        <v>0</v>
      </c>
      <c r="S581" s="20" t="s">
        <v>36</v>
      </c>
      <c r="T581" s="18" t="s">
        <v>143</v>
      </c>
      <c r="U581" s="20">
        <v>2</v>
      </c>
      <c r="V581" s="120">
        <v>2.3800000000000002E-2</v>
      </c>
      <c r="W581" s="69">
        <f t="shared" si="42"/>
        <v>1.5470000000000002</v>
      </c>
      <c r="X581" s="106">
        <v>65</v>
      </c>
      <c r="Y581" s="72" t="str">
        <f t="shared" si="43"/>
        <v>AR_2024_2x SiOLED_SiOLED glasses</v>
      </c>
      <c r="Z581" s="36" t="str">
        <f t="shared" si="44"/>
        <v>AR_2024_2x SiOLED</v>
      </c>
    </row>
    <row r="582" spans="3:26">
      <c r="C582" s="17">
        <v>574</v>
      </c>
      <c r="D582" s="109" t="s">
        <v>129</v>
      </c>
      <c r="E582" s="20" t="s">
        <v>13</v>
      </c>
      <c r="F582" s="20" t="s">
        <v>177</v>
      </c>
      <c r="G582" s="21" t="s">
        <v>186</v>
      </c>
      <c r="H582" s="21" t="s">
        <v>133</v>
      </c>
      <c r="I582" s="19" t="s">
        <v>63</v>
      </c>
      <c r="J582" s="19" t="s">
        <v>27</v>
      </c>
      <c r="K582" s="21" t="s">
        <v>51</v>
      </c>
      <c r="L582" s="33" t="str">
        <f t="shared" si="40"/>
        <v>2x SiOLED</v>
      </c>
      <c r="M582" s="21" t="s">
        <v>145</v>
      </c>
      <c r="N582" s="21"/>
      <c r="O582" s="27">
        <v>0.71</v>
      </c>
      <c r="P582" s="20">
        <v>1920</v>
      </c>
      <c r="Q582" s="20">
        <v>1080</v>
      </c>
      <c r="R582" s="29">
        <f t="shared" si="41"/>
        <v>3102.6861550454905</v>
      </c>
      <c r="S582" s="20">
        <v>90</v>
      </c>
      <c r="T582" s="18">
        <v>44470</v>
      </c>
      <c r="U582" s="20">
        <v>2</v>
      </c>
      <c r="V582" s="120">
        <v>1.0999999999999999E-2</v>
      </c>
      <c r="W582" s="69">
        <f t="shared" si="42"/>
        <v>0.77292306431999969</v>
      </c>
      <c r="X582" s="106">
        <v>70.265733119999979</v>
      </c>
      <c r="Y582" s="72" t="str">
        <f t="shared" si="43"/>
        <v>AR_2024_2x SiOLED_Air</v>
      </c>
      <c r="Z582" s="36" t="str">
        <f t="shared" si="44"/>
        <v>AR_2024_2x SiOLED</v>
      </c>
    </row>
    <row r="583" spans="3:26">
      <c r="C583" s="17">
        <v>575</v>
      </c>
      <c r="D583" s="109" t="s">
        <v>129</v>
      </c>
      <c r="E583" s="20" t="s">
        <v>13</v>
      </c>
      <c r="F583" s="20" t="s">
        <v>177</v>
      </c>
      <c r="G583" s="21" t="s">
        <v>186</v>
      </c>
      <c r="H583" s="21" t="s">
        <v>188</v>
      </c>
      <c r="I583" s="19" t="s">
        <v>63</v>
      </c>
      <c r="J583" s="19" t="s">
        <v>27</v>
      </c>
      <c r="K583" s="21" t="s">
        <v>51</v>
      </c>
      <c r="L583" s="33" t="str">
        <f t="shared" si="40"/>
        <v>2x SiOLED</v>
      </c>
      <c r="M583" s="21" t="s">
        <v>6</v>
      </c>
      <c r="N583" s="21"/>
      <c r="O583" s="27">
        <v>0.55000000000000004</v>
      </c>
      <c r="P583" s="20">
        <v>1920</v>
      </c>
      <c r="Q583" s="20">
        <v>1080</v>
      </c>
      <c r="R583" s="29">
        <f t="shared" si="41"/>
        <v>4005.2857637859966</v>
      </c>
      <c r="S583" s="20">
        <v>120</v>
      </c>
      <c r="T583" s="18">
        <v>45170</v>
      </c>
      <c r="U583" s="20">
        <v>2</v>
      </c>
      <c r="V583" s="120">
        <v>8.14E-2</v>
      </c>
      <c r="W583" s="69">
        <f t="shared" si="42"/>
        <v>4.4770000000000003</v>
      </c>
      <c r="X583" s="106">
        <v>55</v>
      </c>
      <c r="Y583" s="72" t="str">
        <f t="shared" si="43"/>
        <v>AR_2024_2x SiOLED_Air 2</v>
      </c>
      <c r="Z583" s="36" t="str">
        <f t="shared" si="44"/>
        <v>AR_2024_2x SiOLED</v>
      </c>
    </row>
    <row r="584" spans="3:26">
      <c r="C584" s="17">
        <v>576</v>
      </c>
      <c r="D584" s="109" t="s">
        <v>129</v>
      </c>
      <c r="E584" s="20" t="s">
        <v>13</v>
      </c>
      <c r="F584" s="20" t="s">
        <v>177</v>
      </c>
      <c r="G584" s="21" t="s">
        <v>191</v>
      </c>
      <c r="H584" s="21" t="s">
        <v>192</v>
      </c>
      <c r="I584" s="19" t="s">
        <v>63</v>
      </c>
      <c r="J584" s="19" t="s">
        <v>31</v>
      </c>
      <c r="K584" s="21" t="s">
        <v>120</v>
      </c>
      <c r="L584" s="33" t="str">
        <f t="shared" si="40"/>
        <v>1x MicroLED</v>
      </c>
      <c r="M584" s="21" t="s">
        <v>144</v>
      </c>
      <c r="N584" s="21"/>
      <c r="O584" s="27">
        <v>0.13</v>
      </c>
      <c r="P584" s="20">
        <v>640</v>
      </c>
      <c r="Q584" s="20">
        <v>480</v>
      </c>
      <c r="R584" s="29">
        <f t="shared" si="41"/>
        <v>6153.8461538461534</v>
      </c>
      <c r="S584" s="20" t="s">
        <v>36</v>
      </c>
      <c r="T584" s="18">
        <v>45170</v>
      </c>
      <c r="U584" s="20">
        <v>1</v>
      </c>
      <c r="V584" s="120">
        <v>8.8000000000000003E-4</v>
      </c>
      <c r="W584" s="69">
        <f t="shared" si="42"/>
        <v>6.1354376272639989E-2</v>
      </c>
      <c r="X584" s="106">
        <v>69.720882127999985</v>
      </c>
      <c r="Y584" s="72" t="str">
        <f t="shared" si="43"/>
        <v>AR_2024_1x MicroLED_Go</v>
      </c>
      <c r="Z584" s="36" t="str">
        <f t="shared" si="44"/>
        <v>AR_2024_1x MicroLED</v>
      </c>
    </row>
    <row r="585" spans="3:26">
      <c r="C585" s="17">
        <v>577</v>
      </c>
      <c r="D585" s="109" t="s">
        <v>129</v>
      </c>
      <c r="E585" s="20" t="s">
        <v>13</v>
      </c>
      <c r="F585" s="20" t="s">
        <v>177</v>
      </c>
      <c r="G585" s="21" t="s">
        <v>191</v>
      </c>
      <c r="H585" s="21" t="s">
        <v>197</v>
      </c>
      <c r="I585" s="19" t="s">
        <v>63</v>
      </c>
      <c r="J585" s="19" t="s">
        <v>31</v>
      </c>
      <c r="K585" s="21" t="s">
        <v>120</v>
      </c>
      <c r="L585" s="33" t="str">
        <f t="shared" ref="L585:L648" si="45">IF(U585=0, "", U585&amp;"x "&amp;K585)</f>
        <v>1x MicroLED</v>
      </c>
      <c r="M585" s="21" t="s">
        <v>144</v>
      </c>
      <c r="N585" s="21"/>
      <c r="O585" s="27">
        <v>0.13</v>
      </c>
      <c r="P585" s="20">
        <v>640</v>
      </c>
      <c r="Q585" s="20">
        <v>480</v>
      </c>
      <c r="R585" s="29">
        <f t="shared" ref="R585:R648" si="46">IF(O585=0, 0, SQRT(Q585^2+P585^2)/O585)</f>
        <v>6153.8461538461534</v>
      </c>
      <c r="S585" s="20" t="s">
        <v>36</v>
      </c>
      <c r="T585" s="18">
        <v>45627</v>
      </c>
      <c r="U585" s="20">
        <v>1</v>
      </c>
      <c r="V585" s="120">
        <v>1.4299999999999998E-3</v>
      </c>
      <c r="W585" s="69">
        <f t="shared" ref="W585:W648" si="47">V585*X585</f>
        <v>9.9700861443039968E-2</v>
      </c>
      <c r="X585" s="106">
        <v>69.720882127999985</v>
      </c>
      <c r="Y585" s="72" t="str">
        <f t="shared" ref="Y585:Y648" si="48">D585&amp;"_"&amp;E585&amp;"_"&amp;L585&amp;"_"&amp;H585</f>
        <v>AR_2024_1x MicroLED_Go 2</v>
      </c>
      <c r="Z585" s="36" t="str">
        <f t="shared" ref="Z585:Z648" si="49">D585&amp;"_"&amp;E585&amp;"_"&amp;L585</f>
        <v>AR_2024_1x MicroLED</v>
      </c>
    </row>
    <row r="586" spans="3:26">
      <c r="C586" s="17">
        <v>578</v>
      </c>
      <c r="D586" s="109" t="s">
        <v>129</v>
      </c>
      <c r="E586" s="20" t="s">
        <v>13</v>
      </c>
      <c r="F586" s="20" t="s">
        <v>177</v>
      </c>
      <c r="G586" s="21" t="s">
        <v>132</v>
      </c>
      <c r="H586" s="21" t="s">
        <v>193</v>
      </c>
      <c r="I586" s="19" t="s">
        <v>63</v>
      </c>
      <c r="J586" s="19" t="s">
        <v>27</v>
      </c>
      <c r="K586" s="21" t="s">
        <v>51</v>
      </c>
      <c r="L586" s="33" t="str">
        <f t="shared" si="45"/>
        <v>2x SiOLED</v>
      </c>
      <c r="M586" s="21" t="s">
        <v>6</v>
      </c>
      <c r="N586" s="21"/>
      <c r="O586" s="27">
        <v>0.68</v>
      </c>
      <c r="P586" s="20">
        <v>1920</v>
      </c>
      <c r="Q586" s="20">
        <v>1200</v>
      </c>
      <c r="R586" s="29">
        <f t="shared" si="46"/>
        <v>3329.6403995493893</v>
      </c>
      <c r="S586" s="20">
        <v>120</v>
      </c>
      <c r="T586" s="18">
        <v>45536</v>
      </c>
      <c r="U586" s="20">
        <v>2</v>
      </c>
      <c r="V586" s="120">
        <v>1.4E-2</v>
      </c>
      <c r="W586" s="69">
        <f t="shared" si="47"/>
        <v>0.91</v>
      </c>
      <c r="X586" s="106">
        <v>65</v>
      </c>
      <c r="Y586" s="72" t="str">
        <f t="shared" si="48"/>
        <v>AR_2024_2x SiOLED_Max 2</v>
      </c>
      <c r="Z586" s="36" t="str">
        <f t="shared" si="49"/>
        <v>AR_2024_2x SiOLED</v>
      </c>
    </row>
    <row r="587" spans="3:26">
      <c r="C587" s="17">
        <v>579</v>
      </c>
      <c r="D587" s="109" t="s">
        <v>129</v>
      </c>
      <c r="E587" s="20" t="s">
        <v>13</v>
      </c>
      <c r="F587" s="20" t="s">
        <v>177</v>
      </c>
      <c r="G587" s="21" t="s">
        <v>194</v>
      </c>
      <c r="H587" s="21" t="s">
        <v>195</v>
      </c>
      <c r="I587" s="19" t="s">
        <v>63</v>
      </c>
      <c r="J587" s="19" t="s">
        <v>27</v>
      </c>
      <c r="K587" s="21" t="s">
        <v>120</v>
      </c>
      <c r="L587" s="33" t="str">
        <f t="shared" si="45"/>
        <v>2x MicroLED</v>
      </c>
      <c r="M587" s="21" t="s">
        <v>144</v>
      </c>
      <c r="N587" s="21"/>
      <c r="O587" s="27">
        <v>0.13</v>
      </c>
      <c r="P587" s="20">
        <v>640</v>
      </c>
      <c r="Q587" s="20">
        <v>480</v>
      </c>
      <c r="R587" s="29">
        <f t="shared" si="46"/>
        <v>6153.8461538461534</v>
      </c>
      <c r="S587" s="20" t="s">
        <v>36</v>
      </c>
      <c r="T587" s="18">
        <v>45566</v>
      </c>
      <c r="U587" s="20">
        <v>2</v>
      </c>
      <c r="V587" s="120">
        <v>2.5999999999999999E-2</v>
      </c>
      <c r="W587" s="69">
        <f t="shared" si="47"/>
        <v>1.8127429353279996</v>
      </c>
      <c r="X587" s="106">
        <v>69.720882127999985</v>
      </c>
      <c r="Y587" s="72" t="str">
        <f t="shared" si="48"/>
        <v>AR_2024_2x MicroLED_G1</v>
      </c>
      <c r="Z587" s="36" t="str">
        <f t="shared" si="49"/>
        <v>AR_2024_2x MicroLED</v>
      </c>
    </row>
    <row r="588" spans="3:26">
      <c r="C588" s="17">
        <v>580</v>
      </c>
      <c r="D588" s="109" t="s">
        <v>129</v>
      </c>
      <c r="E588" s="20" t="s">
        <v>13</v>
      </c>
      <c r="F588" s="20" t="s">
        <v>177</v>
      </c>
      <c r="G588" s="21" t="s">
        <v>294</v>
      </c>
      <c r="H588" s="21" t="s">
        <v>198</v>
      </c>
      <c r="I588" s="19" t="s">
        <v>63</v>
      </c>
      <c r="J588" s="19" t="s">
        <v>27</v>
      </c>
      <c r="K588" s="21" t="s">
        <v>51</v>
      </c>
      <c r="L588" s="33" t="str">
        <f t="shared" si="45"/>
        <v>2x SiOLED</v>
      </c>
      <c r="M588" s="21" t="s">
        <v>116</v>
      </c>
      <c r="N588" s="21"/>
      <c r="O588" s="27">
        <v>0.6</v>
      </c>
      <c r="P588" s="20">
        <v>1920</v>
      </c>
      <c r="Q588" s="20">
        <v>1080</v>
      </c>
      <c r="R588" s="29">
        <f t="shared" si="46"/>
        <v>3671.5119501371641</v>
      </c>
      <c r="S588" s="20" t="s">
        <v>36</v>
      </c>
      <c r="T588" s="18">
        <v>45566</v>
      </c>
      <c r="U588" s="20">
        <v>2</v>
      </c>
      <c r="V588" s="120">
        <v>0.02</v>
      </c>
      <c r="W588" s="69">
        <f t="shared" si="47"/>
        <v>1.1000000000000001</v>
      </c>
      <c r="X588" s="106">
        <v>55</v>
      </c>
      <c r="Y588" s="72" t="str">
        <f t="shared" si="48"/>
        <v>AR_2024_2x SiOLED_Air 3</v>
      </c>
      <c r="Z588" s="36" t="str">
        <f t="shared" si="49"/>
        <v>AR_2024_2x SiOLED</v>
      </c>
    </row>
    <row r="589" spans="3:26">
      <c r="C589" s="17">
        <v>581</v>
      </c>
      <c r="D589" s="109" t="s">
        <v>129</v>
      </c>
      <c r="E589" s="20" t="s">
        <v>13</v>
      </c>
      <c r="F589" s="20" t="s">
        <v>177</v>
      </c>
      <c r="G589" s="21" t="s">
        <v>68</v>
      </c>
      <c r="H589" s="21" t="s">
        <v>273</v>
      </c>
      <c r="I589" s="19" t="s">
        <v>63</v>
      </c>
      <c r="J589" s="19" t="s">
        <v>27</v>
      </c>
      <c r="K589" s="21" t="s">
        <v>120</v>
      </c>
      <c r="L589" s="33" t="str">
        <f t="shared" si="45"/>
        <v>1x MicroLED</v>
      </c>
      <c r="M589" s="21" t="s">
        <v>144</v>
      </c>
      <c r="N589" s="21"/>
      <c r="O589" s="27">
        <v>0.13</v>
      </c>
      <c r="P589" s="20">
        <v>640</v>
      </c>
      <c r="Q589" s="20">
        <v>480</v>
      </c>
      <c r="R589" s="29">
        <f t="shared" si="46"/>
        <v>6153.8461538461534</v>
      </c>
      <c r="S589" s="20" t="s">
        <v>36</v>
      </c>
      <c r="T589" s="18">
        <v>45597</v>
      </c>
      <c r="U589" s="20">
        <v>1</v>
      </c>
      <c r="V589" s="120">
        <v>1E-4</v>
      </c>
      <c r="W589" s="69">
        <f t="shared" si="47"/>
        <v>6.9720882127999985E-3</v>
      </c>
      <c r="X589" s="106">
        <v>69.720882127999985</v>
      </c>
      <c r="Y589" s="72" t="str">
        <f t="shared" si="48"/>
        <v>AR_2024_1x MicroLED_Z100</v>
      </c>
      <c r="Z589" s="36" t="str">
        <f t="shared" si="49"/>
        <v>AR_2024_1x MicroLED</v>
      </c>
    </row>
    <row r="590" spans="3:26">
      <c r="C590" s="17">
        <v>582</v>
      </c>
      <c r="D590" s="109" t="s">
        <v>129</v>
      </c>
      <c r="E590" s="20" t="s">
        <v>13</v>
      </c>
      <c r="F590" s="20" t="s">
        <v>177</v>
      </c>
      <c r="G590" s="21" t="s">
        <v>189</v>
      </c>
      <c r="H590" s="21" t="s">
        <v>285</v>
      </c>
      <c r="I590" s="19" t="s">
        <v>63</v>
      </c>
      <c r="J590" s="19" t="s">
        <v>27</v>
      </c>
      <c r="K590" s="21" t="s">
        <v>51</v>
      </c>
      <c r="L590" s="33" t="str">
        <f t="shared" si="45"/>
        <v>2x SiOLED</v>
      </c>
      <c r="M590" s="21" t="s">
        <v>6</v>
      </c>
      <c r="N590" s="21"/>
      <c r="O590" s="27">
        <v>0.55000000000000004</v>
      </c>
      <c r="P590" s="20">
        <v>1920</v>
      </c>
      <c r="Q590" s="20">
        <v>1080</v>
      </c>
      <c r="R590" s="29">
        <f t="shared" si="46"/>
        <v>4005.2857637859966</v>
      </c>
      <c r="S590" s="20">
        <v>120</v>
      </c>
      <c r="T590" s="18">
        <v>45536</v>
      </c>
      <c r="U590" s="20">
        <v>2</v>
      </c>
      <c r="V590" s="120">
        <v>7.0000000000000001E-3</v>
      </c>
      <c r="W590" s="69">
        <f t="shared" si="47"/>
        <v>0.38500000000000001</v>
      </c>
      <c r="X590" s="106">
        <v>55</v>
      </c>
      <c r="Y590" s="72" t="str">
        <f t="shared" si="48"/>
        <v>AR_2024_2x SiOLED_Meizu StarV View</v>
      </c>
      <c r="Z590" s="36" t="str">
        <f t="shared" si="49"/>
        <v>AR_2024_2x SiOLED</v>
      </c>
    </row>
    <row r="591" spans="3:26">
      <c r="C591" s="17">
        <v>583</v>
      </c>
      <c r="D591" s="109" t="s">
        <v>129</v>
      </c>
      <c r="E591" s="20" t="s">
        <v>13</v>
      </c>
      <c r="F591" s="20" t="s">
        <v>177</v>
      </c>
      <c r="G591" s="21" t="s">
        <v>286</v>
      </c>
      <c r="H591" s="21" t="s">
        <v>287</v>
      </c>
      <c r="I591" s="19" t="s">
        <v>63</v>
      </c>
      <c r="J591" s="19" t="s">
        <v>27</v>
      </c>
      <c r="K591" s="21" t="s">
        <v>51</v>
      </c>
      <c r="L591" s="33" t="str">
        <f t="shared" si="45"/>
        <v>2x SiOLED</v>
      </c>
      <c r="M591" s="21" t="s">
        <v>6</v>
      </c>
      <c r="N591" s="21"/>
      <c r="O591" s="27">
        <v>0.55000000000000004</v>
      </c>
      <c r="P591" s="20">
        <v>1920</v>
      </c>
      <c r="Q591" s="20">
        <v>1080</v>
      </c>
      <c r="R591" s="29">
        <f t="shared" si="46"/>
        <v>4005.2857637859966</v>
      </c>
      <c r="S591" s="20">
        <v>120</v>
      </c>
      <c r="T591" s="18">
        <v>45536</v>
      </c>
      <c r="U591" s="20">
        <v>2</v>
      </c>
      <c r="V591" s="120">
        <v>2E-3</v>
      </c>
      <c r="W591" s="69">
        <f t="shared" si="47"/>
        <v>0.11</v>
      </c>
      <c r="X591" s="106">
        <v>55</v>
      </c>
      <c r="Y591" s="72" t="str">
        <f t="shared" si="48"/>
        <v>AR_2024_2x SiOLED_INAIR 2 Pro</v>
      </c>
      <c r="Z591" s="36" t="str">
        <f t="shared" si="49"/>
        <v>AR_2024_2x SiOLED</v>
      </c>
    </row>
    <row r="592" spans="3:26">
      <c r="C592" s="17">
        <v>584</v>
      </c>
      <c r="D592" s="109" t="s">
        <v>129</v>
      </c>
      <c r="E592" s="20" t="s">
        <v>13</v>
      </c>
      <c r="F592" s="20" t="s">
        <v>177</v>
      </c>
      <c r="G592" s="21" t="s">
        <v>286</v>
      </c>
      <c r="H592" s="21" t="s">
        <v>288</v>
      </c>
      <c r="I592" s="19" t="s">
        <v>63</v>
      </c>
      <c r="J592" s="19" t="s">
        <v>27</v>
      </c>
      <c r="K592" s="21" t="s">
        <v>51</v>
      </c>
      <c r="L592" s="33" t="str">
        <f t="shared" si="45"/>
        <v>2x SiOLED</v>
      </c>
      <c r="M592" s="21" t="s">
        <v>6</v>
      </c>
      <c r="N592" s="21"/>
      <c r="O592" s="27">
        <v>0.55000000000000004</v>
      </c>
      <c r="P592" s="20">
        <v>1920</v>
      </c>
      <c r="Q592" s="20">
        <v>1080</v>
      </c>
      <c r="R592" s="29">
        <f t="shared" si="46"/>
        <v>4005.2857637859966</v>
      </c>
      <c r="S592" s="20">
        <v>120</v>
      </c>
      <c r="T592" s="18">
        <v>45536</v>
      </c>
      <c r="U592" s="20">
        <v>2</v>
      </c>
      <c r="V592" s="120">
        <v>1E-3</v>
      </c>
      <c r="W592" s="69">
        <f t="shared" si="47"/>
        <v>5.5E-2</v>
      </c>
      <c r="X592" s="106">
        <v>55</v>
      </c>
      <c r="Y592" s="72" t="str">
        <f t="shared" si="48"/>
        <v>AR_2024_2x SiOLED_INAIR 2</v>
      </c>
      <c r="Z592" s="36" t="str">
        <f t="shared" si="49"/>
        <v>AR_2024_2x SiOLED</v>
      </c>
    </row>
    <row r="593" spans="3:26">
      <c r="C593" s="17">
        <v>585</v>
      </c>
      <c r="D593" s="109" t="s">
        <v>129</v>
      </c>
      <c r="E593" s="20" t="s">
        <v>13</v>
      </c>
      <c r="F593" s="20" t="s">
        <v>177</v>
      </c>
      <c r="G593" s="21" t="s">
        <v>283</v>
      </c>
      <c r="H593" s="21" t="s">
        <v>284</v>
      </c>
      <c r="I593" s="19" t="s">
        <v>63</v>
      </c>
      <c r="J593" s="19" t="s">
        <v>27</v>
      </c>
      <c r="K593" s="21" t="s">
        <v>51</v>
      </c>
      <c r="L593" s="33" t="str">
        <f t="shared" si="45"/>
        <v>2x SiOLED</v>
      </c>
      <c r="M593" s="21" t="s">
        <v>6</v>
      </c>
      <c r="N593" s="21"/>
      <c r="O593" s="27">
        <v>0.55000000000000004</v>
      </c>
      <c r="P593" s="20">
        <v>1920</v>
      </c>
      <c r="Q593" s="20">
        <v>1080</v>
      </c>
      <c r="R593" s="29">
        <f t="shared" si="46"/>
        <v>4005.2857637859966</v>
      </c>
      <c r="S593" s="20">
        <v>120</v>
      </c>
      <c r="T593" s="18">
        <v>45444</v>
      </c>
      <c r="U593" s="20">
        <v>2</v>
      </c>
      <c r="V593" s="120">
        <v>2.35E-2</v>
      </c>
      <c r="W593" s="69">
        <f t="shared" si="47"/>
        <v>1.2925</v>
      </c>
      <c r="X593" s="106">
        <v>55</v>
      </c>
      <c r="Y593" s="72" t="str">
        <f t="shared" si="48"/>
        <v>AR_2024_2x SiOLED_Viture Pro</v>
      </c>
      <c r="Z593" s="36" t="str">
        <f t="shared" si="49"/>
        <v>AR_2024_2x SiOLED</v>
      </c>
    </row>
    <row r="594" spans="3:26">
      <c r="C594" s="17">
        <v>586</v>
      </c>
      <c r="D594" s="109" t="s">
        <v>26</v>
      </c>
      <c r="E594" s="20" t="s">
        <v>13</v>
      </c>
      <c r="F594" s="20" t="s">
        <v>179</v>
      </c>
      <c r="G594" s="21" t="s">
        <v>164</v>
      </c>
      <c r="H594" s="21" t="s">
        <v>165</v>
      </c>
      <c r="I594" s="19" t="s">
        <v>26</v>
      </c>
      <c r="J594" s="19" t="s">
        <v>27</v>
      </c>
      <c r="K594" s="21" t="s">
        <v>51</v>
      </c>
      <c r="L594" s="33" t="str">
        <f t="shared" si="45"/>
        <v>2x SiOLED</v>
      </c>
      <c r="M594" s="21" t="s">
        <v>116</v>
      </c>
      <c r="N594" s="21"/>
      <c r="O594" s="27">
        <v>1.03</v>
      </c>
      <c r="P594" s="20">
        <v>2560</v>
      </c>
      <c r="Q594" s="20">
        <v>2560</v>
      </c>
      <c r="R594" s="29">
        <f t="shared" si="46"/>
        <v>3514.9385627913821</v>
      </c>
      <c r="S594" s="20">
        <v>90</v>
      </c>
      <c r="T594" s="18"/>
      <c r="U594" s="20">
        <v>2</v>
      </c>
      <c r="V594" s="120">
        <v>3.5000000000000003E-2</v>
      </c>
      <c r="W594" s="69">
        <f t="shared" si="47"/>
        <v>4.0250000000000004</v>
      </c>
      <c r="X594" s="106">
        <v>115</v>
      </c>
      <c r="Y594" s="72" t="str">
        <f t="shared" si="48"/>
        <v>VR_2024_2x SiOLED_Beyond</v>
      </c>
      <c r="Z594" s="36" t="str">
        <f t="shared" si="49"/>
        <v>VR_2024_2x SiOLED</v>
      </c>
    </row>
    <row r="595" spans="3:26">
      <c r="C595" s="17">
        <v>587</v>
      </c>
      <c r="D595" s="109" t="s">
        <v>26</v>
      </c>
      <c r="E595" s="20" t="s">
        <v>13</v>
      </c>
      <c r="F595" s="20" t="s">
        <v>179</v>
      </c>
      <c r="G595" s="21" t="s">
        <v>106</v>
      </c>
      <c r="H595" s="21" t="s">
        <v>107</v>
      </c>
      <c r="I595" s="19" t="s">
        <v>26</v>
      </c>
      <c r="J595" s="19" t="s">
        <v>31</v>
      </c>
      <c r="K595" s="21" t="s">
        <v>15</v>
      </c>
      <c r="L595" s="33" t="str">
        <f t="shared" si="45"/>
        <v>1x LCD</v>
      </c>
      <c r="M595" s="21" t="s">
        <v>36</v>
      </c>
      <c r="N595" s="21" t="s">
        <v>143</v>
      </c>
      <c r="O595" s="27"/>
      <c r="P595" s="20"/>
      <c r="Q595" s="20"/>
      <c r="R595" s="29">
        <f t="shared" si="46"/>
        <v>0</v>
      </c>
      <c r="S595" s="20" t="s">
        <v>36</v>
      </c>
      <c r="T595" s="18">
        <v>43770</v>
      </c>
      <c r="U595" s="20">
        <v>1</v>
      </c>
      <c r="V595" s="120">
        <v>1.3099999999999999E-2</v>
      </c>
      <c r="W595" s="69">
        <f t="shared" si="47"/>
        <v>0.71048174628479976</v>
      </c>
      <c r="X595" s="106">
        <v>54.23524780799999</v>
      </c>
      <c r="Y595" s="72" t="str">
        <f t="shared" si="48"/>
        <v>VR_2024_1x LCD_P1 family</v>
      </c>
      <c r="Z595" s="36" t="str">
        <f t="shared" si="49"/>
        <v>VR_2024_1x LCD</v>
      </c>
    </row>
    <row r="596" spans="3:26">
      <c r="C596" s="17">
        <v>588</v>
      </c>
      <c r="D596" s="109" t="s">
        <v>26</v>
      </c>
      <c r="E596" s="20" t="s">
        <v>13</v>
      </c>
      <c r="F596" s="20" t="s">
        <v>179</v>
      </c>
      <c r="G596" s="21" t="s">
        <v>112</v>
      </c>
      <c r="H596" s="21" t="s">
        <v>137</v>
      </c>
      <c r="I596" s="19" t="s">
        <v>26</v>
      </c>
      <c r="J596" s="19" t="s">
        <v>31</v>
      </c>
      <c r="K596" s="21" t="s">
        <v>15</v>
      </c>
      <c r="L596" s="33" t="str">
        <f t="shared" si="45"/>
        <v>2x LCD</v>
      </c>
      <c r="M596" s="21" t="s">
        <v>4</v>
      </c>
      <c r="N596" s="21" t="s">
        <v>2</v>
      </c>
      <c r="O596" s="27"/>
      <c r="P596" s="20"/>
      <c r="Q596" s="20"/>
      <c r="R596" s="29">
        <f t="shared" si="46"/>
        <v>0</v>
      </c>
      <c r="S596" s="20"/>
      <c r="T596" s="18">
        <v>45200</v>
      </c>
      <c r="U596" s="20">
        <v>2</v>
      </c>
      <c r="V596" s="120">
        <v>0.38400000000000001</v>
      </c>
      <c r="W596" s="69">
        <f t="shared" si="47"/>
        <v>13.884223438848002</v>
      </c>
      <c r="X596" s="106">
        <v>36.156831872000005</v>
      </c>
      <c r="Y596" s="72" t="str">
        <f t="shared" si="48"/>
        <v>VR_2024_2x LCD_Quest 3</v>
      </c>
      <c r="Z596" s="36" t="str">
        <f t="shared" si="49"/>
        <v>VR_2024_2x LCD</v>
      </c>
    </row>
    <row r="597" spans="3:26">
      <c r="C597" s="17">
        <v>589</v>
      </c>
      <c r="D597" s="109" t="s">
        <v>26</v>
      </c>
      <c r="E597" s="20" t="s">
        <v>13</v>
      </c>
      <c r="F597" s="20" t="s">
        <v>179</v>
      </c>
      <c r="G597" s="21" t="s">
        <v>110</v>
      </c>
      <c r="H597" s="21" t="s">
        <v>162</v>
      </c>
      <c r="I597" s="19" t="s">
        <v>26</v>
      </c>
      <c r="J597" s="19" t="s">
        <v>31</v>
      </c>
      <c r="K597" s="21" t="s">
        <v>15</v>
      </c>
      <c r="L597" s="33" t="str">
        <f t="shared" si="45"/>
        <v>1x LCD</v>
      </c>
      <c r="M597" s="21" t="s">
        <v>2</v>
      </c>
      <c r="N597" s="21" t="s">
        <v>146</v>
      </c>
      <c r="O597" s="27">
        <v>5.5</v>
      </c>
      <c r="P597" s="20">
        <v>3840</v>
      </c>
      <c r="Q597" s="20">
        <v>1832</v>
      </c>
      <c r="R597" s="29">
        <f t="shared" si="46"/>
        <v>773.56797048396322</v>
      </c>
      <c r="S597" s="20">
        <v>90</v>
      </c>
      <c r="T597" s="18">
        <v>44317</v>
      </c>
      <c r="U597" s="20">
        <v>1</v>
      </c>
      <c r="V597" s="120">
        <v>3.3E-3</v>
      </c>
      <c r="W597" s="69">
        <f t="shared" si="47"/>
        <v>0.17897631776639997</v>
      </c>
      <c r="X597" s="106">
        <v>54.23524780799999</v>
      </c>
      <c r="Y597" s="72" t="str">
        <f t="shared" si="48"/>
        <v>VR_2024_1x LCD_Neo 3 / G3</v>
      </c>
      <c r="Z597" s="36" t="str">
        <f t="shared" si="49"/>
        <v>VR_2024_1x LCD</v>
      </c>
    </row>
    <row r="598" spans="3:26">
      <c r="C598" s="17">
        <v>590</v>
      </c>
      <c r="D598" s="109" t="s">
        <v>26</v>
      </c>
      <c r="E598" s="20" t="s">
        <v>13</v>
      </c>
      <c r="F598" s="20" t="s">
        <v>179</v>
      </c>
      <c r="G598" s="21" t="s">
        <v>110</v>
      </c>
      <c r="H598" s="21" t="s">
        <v>134</v>
      </c>
      <c r="I598" s="19" t="s">
        <v>26</v>
      </c>
      <c r="J598" s="19" t="s">
        <v>31</v>
      </c>
      <c r="K598" s="21" t="s">
        <v>15</v>
      </c>
      <c r="L598" s="33" t="str">
        <f t="shared" si="45"/>
        <v>2x LCD</v>
      </c>
      <c r="M598" s="21" t="s">
        <v>146</v>
      </c>
      <c r="N598" s="21"/>
      <c r="O598" s="27">
        <v>2.56</v>
      </c>
      <c r="P598" s="20">
        <v>2160</v>
      </c>
      <c r="Q598" s="20">
        <v>2160</v>
      </c>
      <c r="R598" s="29">
        <f t="shared" si="46"/>
        <v>1193.242693252299</v>
      </c>
      <c r="S598" s="20">
        <v>90</v>
      </c>
      <c r="T598" s="18">
        <v>44805</v>
      </c>
      <c r="U598" s="20">
        <v>2</v>
      </c>
      <c r="V598" s="120">
        <v>0.09</v>
      </c>
      <c r="W598" s="69">
        <f t="shared" si="47"/>
        <v>3.2541148684800003</v>
      </c>
      <c r="X598" s="106">
        <v>36.156831872000005</v>
      </c>
      <c r="Y598" s="72" t="str">
        <f t="shared" si="48"/>
        <v>VR_2024_2x LCD_Pico 4</v>
      </c>
      <c r="Z598" s="36" t="str">
        <f t="shared" si="49"/>
        <v>VR_2024_2x LCD</v>
      </c>
    </row>
    <row r="599" spans="3:26">
      <c r="C599" s="17">
        <v>591</v>
      </c>
      <c r="D599" s="109" t="s">
        <v>26</v>
      </c>
      <c r="E599" s="20" t="s">
        <v>13</v>
      </c>
      <c r="F599" s="20" t="s">
        <v>179</v>
      </c>
      <c r="G599" s="21" t="s">
        <v>108</v>
      </c>
      <c r="H599" s="21" t="s">
        <v>109</v>
      </c>
      <c r="I599" s="19" t="s">
        <v>26</v>
      </c>
      <c r="J599" s="19" t="s">
        <v>27</v>
      </c>
      <c r="K599" s="21" t="s">
        <v>15</v>
      </c>
      <c r="L599" s="33" t="str">
        <f t="shared" si="45"/>
        <v>2x LCD</v>
      </c>
      <c r="M599" s="21" t="s">
        <v>145</v>
      </c>
      <c r="N599" s="21" t="s">
        <v>146</v>
      </c>
      <c r="O599" s="27"/>
      <c r="P599" s="20"/>
      <c r="Q599" s="20"/>
      <c r="R599" s="29">
        <f t="shared" si="46"/>
        <v>0</v>
      </c>
      <c r="S599" s="20" t="s">
        <v>36</v>
      </c>
      <c r="T599" s="18" t="s">
        <v>143</v>
      </c>
      <c r="U599" s="20">
        <v>2</v>
      </c>
      <c r="V599" s="120">
        <v>1.1000000000000001E-3</v>
      </c>
      <c r="W599" s="69">
        <f t="shared" si="47"/>
        <v>3.9772515059200007E-2</v>
      </c>
      <c r="X599" s="106">
        <v>36.156831872000005</v>
      </c>
      <c r="Y599" s="72" t="str">
        <f t="shared" si="48"/>
        <v>VR_2024_2x LCD_Pimax VR</v>
      </c>
      <c r="Z599" s="36" t="str">
        <f t="shared" si="49"/>
        <v>VR_2024_2x LCD</v>
      </c>
    </row>
    <row r="600" spans="3:26">
      <c r="C600" s="17">
        <v>592</v>
      </c>
      <c r="D600" s="109" t="s">
        <v>26</v>
      </c>
      <c r="E600" s="20" t="s">
        <v>13</v>
      </c>
      <c r="F600" s="20" t="s">
        <v>179</v>
      </c>
      <c r="G600" s="21" t="s">
        <v>97</v>
      </c>
      <c r="H600" s="21" t="s">
        <v>161</v>
      </c>
      <c r="I600" s="19" t="s">
        <v>26</v>
      </c>
      <c r="J600" s="19" t="s">
        <v>36</v>
      </c>
      <c r="K600" s="21" t="s">
        <v>15</v>
      </c>
      <c r="L600" s="33" t="str">
        <f t="shared" si="45"/>
        <v>1x LCD</v>
      </c>
      <c r="M600" s="21" t="s">
        <v>36</v>
      </c>
      <c r="N600" s="21" t="s">
        <v>143</v>
      </c>
      <c r="O600" s="27"/>
      <c r="P600" s="20"/>
      <c r="Q600" s="20"/>
      <c r="R600" s="29">
        <f t="shared" si="46"/>
        <v>0</v>
      </c>
      <c r="S600" s="20" t="s">
        <v>36</v>
      </c>
      <c r="T600" s="18" t="s">
        <v>143</v>
      </c>
      <c r="U600" s="20">
        <v>1</v>
      </c>
      <c r="V600" s="120">
        <v>2.145E-2</v>
      </c>
      <c r="W600" s="69">
        <f t="shared" si="47"/>
        <v>1.1633460654815997</v>
      </c>
      <c r="X600" s="106">
        <v>54.23524780799999</v>
      </c>
      <c r="Y600" s="72" t="str">
        <f t="shared" si="48"/>
        <v>VR_2024_1x LCD_Single LCD VR headset</v>
      </c>
      <c r="Z600" s="36" t="str">
        <f t="shared" si="49"/>
        <v>VR_2024_1x LCD</v>
      </c>
    </row>
    <row r="601" spans="3:26">
      <c r="C601" s="17">
        <v>593</v>
      </c>
      <c r="D601" s="109" t="s">
        <v>26</v>
      </c>
      <c r="E601" s="20" t="s">
        <v>13</v>
      </c>
      <c r="F601" s="20" t="s">
        <v>179</v>
      </c>
      <c r="G601" s="21" t="s">
        <v>180</v>
      </c>
      <c r="H601" s="21" t="s">
        <v>181</v>
      </c>
      <c r="I601" s="19" t="s">
        <v>26</v>
      </c>
      <c r="J601" s="19" t="s">
        <v>27</v>
      </c>
      <c r="K601" s="21" t="s">
        <v>51</v>
      </c>
      <c r="L601" s="33" t="str">
        <f t="shared" si="45"/>
        <v>2x SiOLED</v>
      </c>
      <c r="M601" s="21" t="s">
        <v>116</v>
      </c>
      <c r="N601" s="21"/>
      <c r="O601" s="27">
        <v>1.03</v>
      </c>
      <c r="P601" s="20">
        <v>2560</v>
      </c>
      <c r="Q601" s="20">
        <v>2560</v>
      </c>
      <c r="R601" s="29">
        <f t="shared" si="46"/>
        <v>3514.9385627913821</v>
      </c>
      <c r="S601" s="20"/>
      <c r="T601" s="18">
        <v>43497</v>
      </c>
      <c r="U601" s="20">
        <v>2</v>
      </c>
      <c r="V601" s="120">
        <v>1.5E-3</v>
      </c>
      <c r="W601" s="69">
        <f t="shared" si="47"/>
        <v>0.19726740000000004</v>
      </c>
      <c r="X601" s="106">
        <v>131.51160000000002</v>
      </c>
      <c r="Y601" s="72" t="str">
        <f t="shared" si="48"/>
        <v>VR_2024_2x SiOLED_Bionic models</v>
      </c>
      <c r="Z601" s="36" t="str">
        <f t="shared" si="49"/>
        <v>VR_2024_2x SiOLED</v>
      </c>
    </row>
    <row r="602" spans="3:26">
      <c r="C602" s="17">
        <v>594</v>
      </c>
      <c r="D602" s="109" t="s">
        <v>26</v>
      </c>
      <c r="E602" s="20" t="s">
        <v>13</v>
      </c>
      <c r="F602" s="20" t="s">
        <v>179</v>
      </c>
      <c r="G602" s="21" t="s">
        <v>180</v>
      </c>
      <c r="H602" s="21" t="s">
        <v>184</v>
      </c>
      <c r="I602" s="19" t="s">
        <v>26</v>
      </c>
      <c r="J602" s="19" t="s">
        <v>27</v>
      </c>
      <c r="K602" s="21" t="s">
        <v>15</v>
      </c>
      <c r="L602" s="33" t="str">
        <f t="shared" si="45"/>
        <v>2x LCD</v>
      </c>
      <c r="M602" s="21" t="s">
        <v>301</v>
      </c>
      <c r="N602" s="21"/>
      <c r="O602" s="27">
        <v>3.59</v>
      </c>
      <c r="P602" s="20">
        <v>3840</v>
      </c>
      <c r="Q602" s="20">
        <v>3744</v>
      </c>
      <c r="R602" s="29">
        <f t="shared" si="46"/>
        <v>1493.9073665208787</v>
      </c>
      <c r="S602" s="20">
        <v>90</v>
      </c>
      <c r="T602" s="18">
        <v>45261</v>
      </c>
      <c r="U602" s="20">
        <v>2</v>
      </c>
      <c r="V602" s="120">
        <v>2E-3</v>
      </c>
      <c r="W602" s="69">
        <f t="shared" si="47"/>
        <v>0.11</v>
      </c>
      <c r="X602" s="106">
        <v>55</v>
      </c>
      <c r="Y602" s="72" t="str">
        <f t="shared" si="48"/>
        <v>VR_2024_2x LCD_XR-4</v>
      </c>
      <c r="Z602" s="36" t="str">
        <f t="shared" si="49"/>
        <v>VR_2024_2x LCD</v>
      </c>
    </row>
    <row r="603" spans="3:26">
      <c r="C603" s="17">
        <v>595</v>
      </c>
      <c r="D603" s="109" t="s">
        <v>26</v>
      </c>
      <c r="E603" s="20" t="s">
        <v>13</v>
      </c>
      <c r="F603" s="20" t="s">
        <v>179</v>
      </c>
      <c r="G603" s="21" t="s">
        <v>112</v>
      </c>
      <c r="H603" s="21" t="s">
        <v>196</v>
      </c>
      <c r="I603" s="19" t="s">
        <v>26</v>
      </c>
      <c r="J603" s="19" t="s">
        <v>31</v>
      </c>
      <c r="K603" s="21" t="s">
        <v>15</v>
      </c>
      <c r="L603" s="33" t="str">
        <f t="shared" si="45"/>
        <v>1x LCD</v>
      </c>
      <c r="M603" s="21" t="s">
        <v>2</v>
      </c>
      <c r="N603" s="21" t="s">
        <v>4</v>
      </c>
      <c r="O603" s="27">
        <v>5.5</v>
      </c>
      <c r="P603" s="20">
        <v>3840</v>
      </c>
      <c r="Q603" s="20">
        <v>1832</v>
      </c>
      <c r="R603" s="29">
        <f t="shared" si="46"/>
        <v>773.56797048396322</v>
      </c>
      <c r="S603" s="20">
        <v>120</v>
      </c>
      <c r="T603" s="18">
        <v>45566</v>
      </c>
      <c r="U603" s="20">
        <v>1</v>
      </c>
      <c r="V603" s="120">
        <v>0.76800000000000002</v>
      </c>
      <c r="W603" s="69">
        <f t="shared" si="47"/>
        <v>41.472000000000001</v>
      </c>
      <c r="X603" s="106">
        <v>54</v>
      </c>
      <c r="Y603" s="72" t="str">
        <f t="shared" si="48"/>
        <v>VR_2024_1x LCD_Quest 3S</v>
      </c>
      <c r="Z603" s="36" t="str">
        <f t="shared" si="49"/>
        <v>VR_2024_1x LCD</v>
      </c>
    </row>
    <row r="604" spans="3:26">
      <c r="C604" s="17">
        <v>596</v>
      </c>
      <c r="D604" s="109" t="s">
        <v>26</v>
      </c>
      <c r="E604" s="20" t="s">
        <v>13</v>
      </c>
      <c r="F604" s="20" t="s">
        <v>179</v>
      </c>
      <c r="G604" s="21" t="s">
        <v>274</v>
      </c>
      <c r="H604" s="21" t="s">
        <v>275</v>
      </c>
      <c r="I604" s="19" t="s">
        <v>26</v>
      </c>
      <c r="J604" s="19" t="s">
        <v>27</v>
      </c>
      <c r="K604" s="21" t="s">
        <v>15</v>
      </c>
      <c r="L604" s="33" t="str">
        <f t="shared" si="45"/>
        <v>2x LCD</v>
      </c>
      <c r="M604" s="21" t="s">
        <v>145</v>
      </c>
      <c r="N604" s="21"/>
      <c r="O604" s="27">
        <v>3.2</v>
      </c>
      <c r="P604" s="20">
        <v>2880</v>
      </c>
      <c r="Q604" s="20">
        <v>2880</v>
      </c>
      <c r="R604" s="29">
        <f t="shared" si="46"/>
        <v>1272.7922061357856</v>
      </c>
      <c r="S604" s="20">
        <v>120</v>
      </c>
      <c r="T604" s="18">
        <v>45474</v>
      </c>
      <c r="U604" s="20">
        <v>2</v>
      </c>
      <c r="V604" s="120">
        <v>1.5E-3</v>
      </c>
      <c r="W604" s="69">
        <f t="shared" si="47"/>
        <v>8.2500000000000004E-2</v>
      </c>
      <c r="X604" s="106">
        <v>55</v>
      </c>
      <c r="Y604" s="72" t="str">
        <f t="shared" si="48"/>
        <v>VR_2024_2x LCD_VR1</v>
      </c>
      <c r="Z604" s="36" t="str">
        <f t="shared" si="49"/>
        <v>VR_2024_2x LCD</v>
      </c>
    </row>
    <row r="605" spans="3:26">
      <c r="C605" s="17">
        <v>597</v>
      </c>
      <c r="D605" s="109" t="s">
        <v>129</v>
      </c>
      <c r="E605" s="20" t="s">
        <v>13</v>
      </c>
      <c r="F605" s="20" t="s">
        <v>179</v>
      </c>
      <c r="G605" s="21" t="s">
        <v>73</v>
      </c>
      <c r="H605" s="21" t="s">
        <v>74</v>
      </c>
      <c r="I605" s="19" t="s">
        <v>63</v>
      </c>
      <c r="J605" s="19" t="s">
        <v>31</v>
      </c>
      <c r="K605" s="21" t="s">
        <v>51</v>
      </c>
      <c r="L605" s="33" t="str">
        <f t="shared" si="45"/>
        <v>2x SiOLED</v>
      </c>
      <c r="M605" s="21" t="s">
        <v>73</v>
      </c>
      <c r="N605" s="21"/>
      <c r="O605" s="27">
        <v>0.43</v>
      </c>
      <c r="P605" s="20">
        <v>1280</v>
      </c>
      <c r="Q605" s="20">
        <v>720</v>
      </c>
      <c r="R605" s="29">
        <f t="shared" si="46"/>
        <v>3415.3599536159668</v>
      </c>
      <c r="S605" s="20" t="s">
        <v>36</v>
      </c>
      <c r="T605" s="18">
        <v>42401</v>
      </c>
      <c r="U605" s="20">
        <v>2</v>
      </c>
      <c r="V605" s="120">
        <v>4.0000000000000001E-3</v>
      </c>
      <c r="W605" s="69">
        <f t="shared" si="47"/>
        <v>0.26</v>
      </c>
      <c r="X605" s="106">
        <v>65</v>
      </c>
      <c r="Y605" s="72" t="str">
        <f t="shared" si="48"/>
        <v>AR_2024_2x SiOLED_Moverio</v>
      </c>
      <c r="Z605" s="36" t="str">
        <f t="shared" si="49"/>
        <v>AR_2024_2x SiOLED</v>
      </c>
    </row>
    <row r="606" spans="3:26">
      <c r="C606" s="17">
        <v>598</v>
      </c>
      <c r="D606" s="109" t="s">
        <v>129</v>
      </c>
      <c r="E606" s="20" t="s">
        <v>13</v>
      </c>
      <c r="F606" s="20" t="s">
        <v>179</v>
      </c>
      <c r="G606" s="21" t="s">
        <v>77</v>
      </c>
      <c r="H606" s="21" t="s">
        <v>131</v>
      </c>
      <c r="I606" s="19" t="s">
        <v>63</v>
      </c>
      <c r="J606" s="19" t="s">
        <v>27</v>
      </c>
      <c r="K606" s="21" t="s">
        <v>51</v>
      </c>
      <c r="L606" s="33" t="str">
        <f t="shared" si="45"/>
        <v>2x SiOLED</v>
      </c>
      <c r="M606" s="21" t="s">
        <v>116</v>
      </c>
      <c r="N606" s="21"/>
      <c r="O606" s="27">
        <v>0.49</v>
      </c>
      <c r="P606" s="20">
        <v>1920</v>
      </c>
      <c r="Q606" s="20">
        <v>1080</v>
      </c>
      <c r="R606" s="29">
        <f t="shared" si="46"/>
        <v>4495.7289185353029</v>
      </c>
      <c r="S606" s="20">
        <v>60</v>
      </c>
      <c r="T606" s="18">
        <v>44866</v>
      </c>
      <c r="U606" s="20">
        <v>2</v>
      </c>
      <c r="V606" s="120">
        <v>1.32E-3</v>
      </c>
      <c r="W606" s="69">
        <f t="shared" si="47"/>
        <v>6.6000000000000003E-2</v>
      </c>
      <c r="X606" s="106">
        <v>50</v>
      </c>
      <c r="Y606" s="72" t="str">
        <f t="shared" si="48"/>
        <v>AR_2024_2x SiOLED_T1</v>
      </c>
      <c r="Z606" s="36" t="str">
        <f t="shared" si="49"/>
        <v>AR_2024_2x SiOLED</v>
      </c>
    </row>
    <row r="607" spans="3:26">
      <c r="C607" s="17">
        <v>599</v>
      </c>
      <c r="D607" s="109" t="s">
        <v>129</v>
      </c>
      <c r="E607" s="20" t="s">
        <v>13</v>
      </c>
      <c r="F607" s="20" t="s">
        <v>179</v>
      </c>
      <c r="G607" s="21" t="s">
        <v>132</v>
      </c>
      <c r="H607" s="21" t="s">
        <v>133</v>
      </c>
      <c r="I607" s="19" t="s">
        <v>63</v>
      </c>
      <c r="J607" s="19" t="s">
        <v>27</v>
      </c>
      <c r="K607" s="21" t="s">
        <v>51</v>
      </c>
      <c r="L607" s="33" t="str">
        <f t="shared" si="45"/>
        <v>2x SiOLED</v>
      </c>
      <c r="M607" s="21" t="s">
        <v>116</v>
      </c>
      <c r="N607" s="21"/>
      <c r="O607" s="27">
        <v>0.49</v>
      </c>
      <c r="P607" s="20">
        <v>1920</v>
      </c>
      <c r="Q607" s="20">
        <v>1080</v>
      </c>
      <c r="R607" s="29">
        <f t="shared" si="46"/>
        <v>4495.7289185353029</v>
      </c>
      <c r="S607" s="20">
        <v>75</v>
      </c>
      <c r="T607" s="18">
        <v>44501</v>
      </c>
      <c r="U607" s="20">
        <v>2</v>
      </c>
      <c r="V607" s="120">
        <v>1.1000000000000001E-3</v>
      </c>
      <c r="W607" s="69">
        <f t="shared" si="47"/>
        <v>5.5E-2</v>
      </c>
      <c r="X607" s="106">
        <v>50</v>
      </c>
      <c r="Y607" s="72" t="str">
        <f t="shared" si="48"/>
        <v>AR_2024_2x SiOLED_Air</v>
      </c>
      <c r="Z607" s="36" t="str">
        <f t="shared" si="49"/>
        <v>AR_2024_2x SiOLED</v>
      </c>
    </row>
    <row r="608" spans="3:26">
      <c r="C608" s="17">
        <v>600</v>
      </c>
      <c r="D608" s="109" t="s">
        <v>129</v>
      </c>
      <c r="E608" s="20" t="s">
        <v>13</v>
      </c>
      <c r="F608" s="20" t="s">
        <v>179</v>
      </c>
      <c r="G608" s="21" t="s">
        <v>132</v>
      </c>
      <c r="H608" s="21" t="s">
        <v>160</v>
      </c>
      <c r="I608" s="19" t="s">
        <v>63</v>
      </c>
      <c r="J608" s="19" t="s">
        <v>27</v>
      </c>
      <c r="K608" s="21" t="s">
        <v>51</v>
      </c>
      <c r="L608" s="33" t="str">
        <f t="shared" si="45"/>
        <v>2x SiOLED</v>
      </c>
      <c r="M608" s="21" t="s">
        <v>6</v>
      </c>
      <c r="N608" s="21"/>
      <c r="O608" s="27">
        <v>0.55000000000000004</v>
      </c>
      <c r="P608" s="20">
        <v>1920</v>
      </c>
      <c r="Q608" s="20">
        <v>1080</v>
      </c>
      <c r="R608" s="29">
        <f t="shared" si="46"/>
        <v>4005.2857637859966</v>
      </c>
      <c r="S608" s="20">
        <v>120</v>
      </c>
      <c r="T608" s="18">
        <v>45017</v>
      </c>
      <c r="U608" s="20">
        <v>2</v>
      </c>
      <c r="V608" s="120">
        <v>2.2000000000000001E-3</v>
      </c>
      <c r="W608" s="69">
        <f t="shared" si="47"/>
        <v>0.12100000000000001</v>
      </c>
      <c r="X608" s="106">
        <v>55</v>
      </c>
      <c r="Y608" s="72" t="str">
        <f t="shared" si="48"/>
        <v>AR_2024_2x SiOLED_Max</v>
      </c>
      <c r="Z608" s="36" t="str">
        <f t="shared" si="49"/>
        <v>AR_2024_2x SiOLED</v>
      </c>
    </row>
    <row r="609" spans="3:26">
      <c r="C609" s="17">
        <v>601</v>
      </c>
      <c r="D609" s="109" t="s">
        <v>129</v>
      </c>
      <c r="E609" s="20" t="s">
        <v>13</v>
      </c>
      <c r="F609" s="20" t="s">
        <v>179</v>
      </c>
      <c r="G609" s="21" t="s">
        <v>135</v>
      </c>
      <c r="H609" s="21" t="s">
        <v>136</v>
      </c>
      <c r="I609" s="19" t="s">
        <v>63</v>
      </c>
      <c r="J609" s="19" t="s">
        <v>27</v>
      </c>
      <c r="K609" s="21" t="s">
        <v>51</v>
      </c>
      <c r="L609" s="33" t="str">
        <f t="shared" si="45"/>
        <v>2x SiOLED</v>
      </c>
      <c r="M609" s="21" t="s">
        <v>6</v>
      </c>
      <c r="N609" s="21"/>
      <c r="O609" s="27">
        <v>0.55000000000000004</v>
      </c>
      <c r="P609" s="20">
        <v>1920</v>
      </c>
      <c r="Q609" s="20">
        <v>1080</v>
      </c>
      <c r="R609" s="29">
        <f t="shared" si="46"/>
        <v>4005.2857637859966</v>
      </c>
      <c r="S609" s="20" t="s">
        <v>36</v>
      </c>
      <c r="T609" s="18">
        <v>44866</v>
      </c>
      <c r="U609" s="20">
        <v>2</v>
      </c>
      <c r="V609" s="120">
        <v>4.4999999999999998E-2</v>
      </c>
      <c r="W609" s="69">
        <f t="shared" si="47"/>
        <v>2.4750000000000001</v>
      </c>
      <c r="X609" s="106">
        <v>55</v>
      </c>
      <c r="Y609" s="72" t="str">
        <f t="shared" si="48"/>
        <v>AR_2024_2x SiOLED_NXTWear</v>
      </c>
      <c r="Z609" s="36" t="str">
        <f t="shared" si="49"/>
        <v>AR_2024_2x SiOLED</v>
      </c>
    </row>
    <row r="610" spans="3:26">
      <c r="C610" s="17">
        <v>602</v>
      </c>
      <c r="D610" s="109" t="s">
        <v>129</v>
      </c>
      <c r="E610" s="20" t="s">
        <v>13</v>
      </c>
      <c r="F610" s="20" t="s">
        <v>179</v>
      </c>
      <c r="G610" s="21" t="s">
        <v>68</v>
      </c>
      <c r="H610" s="21" t="s">
        <v>69</v>
      </c>
      <c r="I610" s="19" t="s">
        <v>63</v>
      </c>
      <c r="J610" s="19" t="s">
        <v>31</v>
      </c>
      <c r="K610" s="21" t="s">
        <v>70</v>
      </c>
      <c r="L610" s="33" t="str">
        <f t="shared" si="45"/>
        <v>1x DLP</v>
      </c>
      <c r="M610" s="21" t="s">
        <v>172</v>
      </c>
      <c r="N610" s="21"/>
      <c r="O610" s="27"/>
      <c r="P610" s="20">
        <v>853</v>
      </c>
      <c r="Q610" s="20">
        <v>480</v>
      </c>
      <c r="R610" s="29">
        <f t="shared" si="46"/>
        <v>0</v>
      </c>
      <c r="S610" s="20" t="s">
        <v>36</v>
      </c>
      <c r="T610" s="18">
        <v>43466</v>
      </c>
      <c r="U610" s="20">
        <v>1</v>
      </c>
      <c r="V610" s="120">
        <v>1.4299999999999998E-4</v>
      </c>
      <c r="W610" s="69">
        <f t="shared" si="47"/>
        <v>1.1287300902263096E-2</v>
      </c>
      <c r="X610" s="106">
        <v>78.932174141699988</v>
      </c>
      <c r="Y610" s="72" t="str">
        <f t="shared" si="48"/>
        <v>AR_2024_1x DLP_Blade</v>
      </c>
      <c r="Z610" s="36" t="str">
        <f t="shared" si="49"/>
        <v>AR_2024_1x DLP</v>
      </c>
    </row>
    <row r="611" spans="3:26">
      <c r="C611" s="17">
        <v>603</v>
      </c>
      <c r="D611" s="109" t="s">
        <v>129</v>
      </c>
      <c r="E611" s="20" t="s">
        <v>13</v>
      </c>
      <c r="F611" s="20" t="s">
        <v>179</v>
      </c>
      <c r="G611" s="21" t="s">
        <v>68</v>
      </c>
      <c r="H611" s="21" t="s">
        <v>122</v>
      </c>
      <c r="I611" s="19" t="s">
        <v>63</v>
      </c>
      <c r="J611" s="19" t="s">
        <v>31</v>
      </c>
      <c r="K611" s="21" t="s">
        <v>120</v>
      </c>
      <c r="L611" s="33" t="str">
        <f t="shared" si="45"/>
        <v>2x MicroLED</v>
      </c>
      <c r="M611" s="21" t="s">
        <v>144</v>
      </c>
      <c r="N611" s="21"/>
      <c r="O611" s="27">
        <v>0.13</v>
      </c>
      <c r="P611" s="20">
        <v>640</v>
      </c>
      <c r="Q611" s="20">
        <v>480</v>
      </c>
      <c r="R611" s="29">
        <f t="shared" si="46"/>
        <v>6153.8461538461534</v>
      </c>
      <c r="S611" s="20" t="s">
        <v>36</v>
      </c>
      <c r="T611" s="18">
        <v>44896</v>
      </c>
      <c r="U611" s="20">
        <v>2</v>
      </c>
      <c r="V611" s="120">
        <v>1.1E-4</v>
      </c>
      <c r="W611" s="69">
        <f t="shared" si="47"/>
        <v>7.6692970340799986E-3</v>
      </c>
      <c r="X611" s="106">
        <v>69.720882127999985</v>
      </c>
      <c r="Y611" s="72" t="str">
        <f t="shared" si="48"/>
        <v>AR_2024_2x MicroLED_Shield</v>
      </c>
      <c r="Z611" s="36" t="str">
        <f t="shared" si="49"/>
        <v>AR_2024_2x MicroLED</v>
      </c>
    </row>
    <row r="612" spans="3:26">
      <c r="C612" s="17">
        <v>604</v>
      </c>
      <c r="D612" s="109" t="s">
        <v>129</v>
      </c>
      <c r="E612" s="20" t="s">
        <v>13</v>
      </c>
      <c r="F612" s="20" t="s">
        <v>179</v>
      </c>
      <c r="G612" s="21" t="s">
        <v>97</v>
      </c>
      <c r="H612" s="21" t="s">
        <v>123</v>
      </c>
      <c r="I612" s="19" t="s">
        <v>63</v>
      </c>
      <c r="J612" s="19" t="s">
        <v>36</v>
      </c>
      <c r="K612" s="21" t="s">
        <v>120</v>
      </c>
      <c r="L612" s="33" t="str">
        <f t="shared" si="45"/>
        <v>2x MicroLED</v>
      </c>
      <c r="M612" s="21" t="s">
        <v>36</v>
      </c>
      <c r="N612" s="21"/>
      <c r="O612" s="27"/>
      <c r="P612" s="20"/>
      <c r="Q612" s="20"/>
      <c r="R612" s="29">
        <f t="shared" si="46"/>
        <v>0</v>
      </c>
      <c r="S612" s="20" t="s">
        <v>36</v>
      </c>
      <c r="T612" s="18" t="s">
        <v>143</v>
      </c>
      <c r="U612" s="20">
        <v>2</v>
      </c>
      <c r="V612" s="120">
        <v>2.2000000000000001E-4</v>
      </c>
      <c r="W612" s="69">
        <f t="shared" si="47"/>
        <v>1.5338594068159997E-2</v>
      </c>
      <c r="X612" s="106">
        <v>69.720882127999985</v>
      </c>
      <c r="Y612" s="72" t="str">
        <f t="shared" si="48"/>
        <v>AR_2024_2x MicroLED_Binocular MicroLED</v>
      </c>
      <c r="Z612" s="36" t="str">
        <f t="shared" si="49"/>
        <v>AR_2024_2x MicroLED</v>
      </c>
    </row>
    <row r="613" spans="3:26">
      <c r="C613" s="17">
        <v>605</v>
      </c>
      <c r="D613" s="109" t="s">
        <v>129</v>
      </c>
      <c r="E613" s="20" t="s">
        <v>13</v>
      </c>
      <c r="F613" s="20" t="s">
        <v>179</v>
      </c>
      <c r="G613" s="21" t="s">
        <v>97</v>
      </c>
      <c r="H613" s="21" t="s">
        <v>79</v>
      </c>
      <c r="I613" s="19" t="s">
        <v>63</v>
      </c>
      <c r="J613" s="19" t="s">
        <v>36</v>
      </c>
      <c r="K613" s="21" t="s">
        <v>51</v>
      </c>
      <c r="L613" s="33" t="str">
        <f t="shared" si="45"/>
        <v>2x SiOLED</v>
      </c>
      <c r="M613" s="21" t="s">
        <v>36</v>
      </c>
      <c r="N613" s="21"/>
      <c r="O613" s="27"/>
      <c r="P613" s="20"/>
      <c r="Q613" s="20"/>
      <c r="R613" s="29">
        <f t="shared" si="46"/>
        <v>0</v>
      </c>
      <c r="S613" s="20" t="s">
        <v>36</v>
      </c>
      <c r="T613" s="18" t="s">
        <v>143</v>
      </c>
      <c r="U613" s="20">
        <v>2</v>
      </c>
      <c r="V613" s="120">
        <v>1.55E-2</v>
      </c>
      <c r="W613" s="69">
        <f t="shared" si="47"/>
        <v>0.85250000000000004</v>
      </c>
      <c r="X613" s="106">
        <v>55</v>
      </c>
      <c r="Y613" s="72" t="str">
        <f t="shared" si="48"/>
        <v>AR_2024_2x SiOLED_SiOLED glasses</v>
      </c>
      <c r="Z613" s="36" t="str">
        <f t="shared" si="49"/>
        <v>AR_2024_2x SiOLED</v>
      </c>
    </row>
    <row r="614" spans="3:26">
      <c r="C614" s="17">
        <v>606</v>
      </c>
      <c r="D614" s="109" t="s">
        <v>129</v>
      </c>
      <c r="E614" s="20" t="s">
        <v>13</v>
      </c>
      <c r="F614" s="20" t="s">
        <v>179</v>
      </c>
      <c r="G614" s="21" t="s">
        <v>186</v>
      </c>
      <c r="H614" s="21" t="s">
        <v>133</v>
      </c>
      <c r="I614" s="19" t="s">
        <v>63</v>
      </c>
      <c r="J614" s="19" t="s">
        <v>27</v>
      </c>
      <c r="K614" s="21" t="s">
        <v>51</v>
      </c>
      <c r="L614" s="33" t="str">
        <f t="shared" si="45"/>
        <v>2x SiOLED</v>
      </c>
      <c r="M614" s="21" t="s">
        <v>145</v>
      </c>
      <c r="N614" s="21"/>
      <c r="O614" s="27">
        <v>0.71</v>
      </c>
      <c r="P614" s="20">
        <v>1920</v>
      </c>
      <c r="Q614" s="20">
        <v>1080</v>
      </c>
      <c r="R614" s="29">
        <f t="shared" si="46"/>
        <v>3102.6861550454905</v>
      </c>
      <c r="S614" s="20">
        <v>90</v>
      </c>
      <c r="T614" s="18">
        <v>44470</v>
      </c>
      <c r="U614" s="20">
        <v>2</v>
      </c>
      <c r="V614" s="120">
        <v>1.1000000000000001E-3</v>
      </c>
      <c r="W614" s="69">
        <f t="shared" si="47"/>
        <v>7.7292306431999983E-2</v>
      </c>
      <c r="X614" s="106">
        <v>70.265733119999979</v>
      </c>
      <c r="Y614" s="72" t="str">
        <f t="shared" si="48"/>
        <v>AR_2024_2x SiOLED_Air</v>
      </c>
      <c r="Z614" s="36" t="str">
        <f t="shared" si="49"/>
        <v>AR_2024_2x SiOLED</v>
      </c>
    </row>
    <row r="615" spans="3:26">
      <c r="C615" s="17">
        <v>607</v>
      </c>
      <c r="D615" s="109" t="s">
        <v>129</v>
      </c>
      <c r="E615" s="20" t="s">
        <v>13</v>
      </c>
      <c r="F615" s="20" t="s">
        <v>179</v>
      </c>
      <c r="G615" s="21" t="s">
        <v>186</v>
      </c>
      <c r="H615" s="21" t="s">
        <v>188</v>
      </c>
      <c r="I615" s="19" t="s">
        <v>63</v>
      </c>
      <c r="J615" s="19" t="s">
        <v>27</v>
      </c>
      <c r="K615" s="21" t="s">
        <v>51</v>
      </c>
      <c r="L615" s="33" t="str">
        <f t="shared" si="45"/>
        <v>2x SiOLED</v>
      </c>
      <c r="M615" s="21" t="s">
        <v>6</v>
      </c>
      <c r="N615" s="21"/>
      <c r="O615" s="27">
        <v>0.55000000000000004</v>
      </c>
      <c r="P615" s="20">
        <v>1920</v>
      </c>
      <c r="Q615" s="20">
        <v>1080</v>
      </c>
      <c r="R615" s="29">
        <f t="shared" si="46"/>
        <v>4005.2857637859966</v>
      </c>
      <c r="S615" s="20">
        <v>120</v>
      </c>
      <c r="T615" s="18">
        <v>45170</v>
      </c>
      <c r="U615" s="20">
        <v>2</v>
      </c>
      <c r="V615" s="120">
        <v>0.02</v>
      </c>
      <c r="W615" s="69">
        <f t="shared" si="47"/>
        <v>1.1000000000000001</v>
      </c>
      <c r="X615" s="106">
        <v>55</v>
      </c>
      <c r="Y615" s="72" t="str">
        <f t="shared" si="48"/>
        <v>AR_2024_2x SiOLED_Air 2</v>
      </c>
      <c r="Z615" s="36" t="str">
        <f t="shared" si="49"/>
        <v>AR_2024_2x SiOLED</v>
      </c>
    </row>
    <row r="616" spans="3:26">
      <c r="C616" s="17">
        <v>608</v>
      </c>
      <c r="D616" s="109" t="s">
        <v>129</v>
      </c>
      <c r="E616" s="20" t="s">
        <v>13</v>
      </c>
      <c r="F616" s="20" t="s">
        <v>179</v>
      </c>
      <c r="G616" s="21" t="s">
        <v>189</v>
      </c>
      <c r="H616" s="21" t="s">
        <v>190</v>
      </c>
      <c r="I616" s="19" t="s">
        <v>63</v>
      </c>
      <c r="J616" s="19" t="s">
        <v>31</v>
      </c>
      <c r="K616" s="21" t="s">
        <v>120</v>
      </c>
      <c r="L616" s="33" t="str">
        <f t="shared" si="45"/>
        <v>2x MicroLED</v>
      </c>
      <c r="M616" s="21" t="s">
        <v>144</v>
      </c>
      <c r="N616" s="21"/>
      <c r="O616" s="27">
        <v>0.13</v>
      </c>
      <c r="P616" s="20">
        <v>640</v>
      </c>
      <c r="Q616" s="20">
        <v>480</v>
      </c>
      <c r="R616" s="29">
        <f t="shared" si="46"/>
        <v>6153.8461538461534</v>
      </c>
      <c r="S616" s="20" t="s">
        <v>36</v>
      </c>
      <c r="T616" s="18">
        <v>45261</v>
      </c>
      <c r="U616" s="20">
        <v>2</v>
      </c>
      <c r="V616" s="120">
        <v>2.2000000000000001E-4</v>
      </c>
      <c r="W616" s="69">
        <f t="shared" si="47"/>
        <v>1.5338594068159997E-2</v>
      </c>
      <c r="X616" s="106">
        <v>69.720882127999985</v>
      </c>
      <c r="Y616" s="72" t="str">
        <f t="shared" si="48"/>
        <v>AR_2024_2x MicroLED_MYVU</v>
      </c>
      <c r="Z616" s="36" t="str">
        <f t="shared" si="49"/>
        <v>AR_2024_2x MicroLED</v>
      </c>
    </row>
    <row r="617" spans="3:26">
      <c r="C617" s="17">
        <v>609</v>
      </c>
      <c r="D617" s="109" t="s">
        <v>129</v>
      </c>
      <c r="E617" s="20" t="s">
        <v>13</v>
      </c>
      <c r="F617" s="20" t="s">
        <v>179</v>
      </c>
      <c r="G617" s="21" t="s">
        <v>191</v>
      </c>
      <c r="H617" s="21" t="s">
        <v>192</v>
      </c>
      <c r="I617" s="19" t="s">
        <v>63</v>
      </c>
      <c r="J617" s="19" t="s">
        <v>31</v>
      </c>
      <c r="K617" s="21" t="s">
        <v>120</v>
      </c>
      <c r="L617" s="33" t="str">
        <f t="shared" si="45"/>
        <v>1x MicroLED</v>
      </c>
      <c r="M617" s="21" t="s">
        <v>144</v>
      </c>
      <c r="N617" s="21"/>
      <c r="O617" s="27">
        <v>0.13</v>
      </c>
      <c r="P617" s="20">
        <v>640</v>
      </c>
      <c r="Q617" s="20">
        <v>480</v>
      </c>
      <c r="R617" s="29">
        <f t="shared" si="46"/>
        <v>6153.8461538461534</v>
      </c>
      <c r="S617" s="20" t="s">
        <v>36</v>
      </c>
      <c r="T617" s="18">
        <v>45170</v>
      </c>
      <c r="U617" s="20">
        <v>1</v>
      </c>
      <c r="V617" s="120">
        <v>3.3E-4</v>
      </c>
      <c r="W617" s="69">
        <f t="shared" si="47"/>
        <v>2.3007891102239993E-2</v>
      </c>
      <c r="X617" s="106">
        <v>69.720882127999985</v>
      </c>
      <c r="Y617" s="72" t="str">
        <f t="shared" si="48"/>
        <v>AR_2024_1x MicroLED_Go</v>
      </c>
      <c r="Z617" s="36" t="str">
        <f t="shared" si="49"/>
        <v>AR_2024_1x MicroLED</v>
      </c>
    </row>
    <row r="618" spans="3:26">
      <c r="C618" s="17">
        <v>610</v>
      </c>
      <c r="D618" s="109" t="s">
        <v>129</v>
      </c>
      <c r="E618" s="20" t="s">
        <v>13</v>
      </c>
      <c r="F618" s="20" t="s">
        <v>179</v>
      </c>
      <c r="G618" s="21" t="s">
        <v>191</v>
      </c>
      <c r="H618" s="21" t="s">
        <v>197</v>
      </c>
      <c r="I618" s="19" t="s">
        <v>63</v>
      </c>
      <c r="J618" s="19" t="s">
        <v>31</v>
      </c>
      <c r="K618" s="21" t="s">
        <v>120</v>
      </c>
      <c r="L618" s="33" t="str">
        <f t="shared" si="45"/>
        <v>1x MicroLED</v>
      </c>
      <c r="M618" s="21" t="s">
        <v>144</v>
      </c>
      <c r="N618" s="21"/>
      <c r="O618" s="27">
        <v>0.13</v>
      </c>
      <c r="P618" s="20">
        <v>640</v>
      </c>
      <c r="Q618" s="20">
        <v>480</v>
      </c>
      <c r="R618" s="29">
        <f t="shared" si="46"/>
        <v>6153.8461538461534</v>
      </c>
      <c r="S618" s="20" t="s">
        <v>36</v>
      </c>
      <c r="T618" s="18">
        <v>45627</v>
      </c>
      <c r="U618" s="20">
        <v>1</v>
      </c>
      <c r="V618" s="120">
        <v>6.6E-3</v>
      </c>
      <c r="W618" s="69">
        <f t="shared" si="47"/>
        <v>0.46015782204479988</v>
      </c>
      <c r="X618" s="106">
        <v>69.720882127999985</v>
      </c>
      <c r="Y618" s="72" t="str">
        <f t="shared" si="48"/>
        <v>AR_2024_1x MicroLED_Go 2</v>
      </c>
      <c r="Z618" s="36" t="str">
        <f t="shared" si="49"/>
        <v>AR_2024_1x MicroLED</v>
      </c>
    </row>
    <row r="619" spans="3:26">
      <c r="C619" s="17">
        <v>611</v>
      </c>
      <c r="D619" s="109" t="s">
        <v>129</v>
      </c>
      <c r="E619" s="20" t="s">
        <v>13</v>
      </c>
      <c r="F619" s="20" t="s">
        <v>179</v>
      </c>
      <c r="G619" s="21" t="s">
        <v>132</v>
      </c>
      <c r="H619" s="21" t="s">
        <v>193</v>
      </c>
      <c r="I619" s="19" t="s">
        <v>63</v>
      </c>
      <c r="J619" s="19" t="s">
        <v>27</v>
      </c>
      <c r="K619" s="21" t="s">
        <v>51</v>
      </c>
      <c r="L619" s="33" t="str">
        <f t="shared" si="45"/>
        <v>2x SiOLED</v>
      </c>
      <c r="M619" s="21" t="s">
        <v>6</v>
      </c>
      <c r="N619" s="21"/>
      <c r="O619" s="27">
        <v>0.68</v>
      </c>
      <c r="P619" s="20">
        <v>1920</v>
      </c>
      <c r="Q619" s="20">
        <v>1200</v>
      </c>
      <c r="R619" s="29">
        <f t="shared" si="46"/>
        <v>3329.6403995493893</v>
      </c>
      <c r="S619" s="20">
        <v>120</v>
      </c>
      <c r="T619" s="18">
        <v>45536</v>
      </c>
      <c r="U619" s="20">
        <v>2</v>
      </c>
      <c r="V619" s="120">
        <v>1.4E-2</v>
      </c>
      <c r="W619" s="69">
        <f t="shared" si="47"/>
        <v>0.91</v>
      </c>
      <c r="X619" s="106">
        <v>65</v>
      </c>
      <c r="Y619" s="72" t="str">
        <f t="shared" si="48"/>
        <v>AR_2024_2x SiOLED_Max 2</v>
      </c>
      <c r="Z619" s="36" t="str">
        <f t="shared" si="49"/>
        <v>AR_2024_2x SiOLED</v>
      </c>
    </row>
    <row r="620" spans="3:26">
      <c r="C620" s="17">
        <v>612</v>
      </c>
      <c r="D620" s="109" t="s">
        <v>129</v>
      </c>
      <c r="E620" s="20" t="s">
        <v>13</v>
      </c>
      <c r="F620" s="20" t="s">
        <v>179</v>
      </c>
      <c r="G620" s="21" t="s">
        <v>186</v>
      </c>
      <c r="H620" s="21" t="s">
        <v>200</v>
      </c>
      <c r="I620" s="19" t="s">
        <v>63</v>
      </c>
      <c r="J620" s="19" t="s">
        <v>27</v>
      </c>
      <c r="K620" s="21" t="s">
        <v>51</v>
      </c>
      <c r="L620" s="33" t="str">
        <f t="shared" si="45"/>
        <v>2x SiOLED</v>
      </c>
      <c r="M620" s="21" t="s">
        <v>6</v>
      </c>
      <c r="N620" s="21"/>
      <c r="O620" s="27">
        <v>0.68</v>
      </c>
      <c r="P620" s="20">
        <v>1920</v>
      </c>
      <c r="Q620" s="20">
        <v>1200</v>
      </c>
      <c r="R620" s="29">
        <f t="shared" si="46"/>
        <v>3329.6403995493893</v>
      </c>
      <c r="S620" s="20">
        <v>120</v>
      </c>
      <c r="T620" s="18">
        <v>45627</v>
      </c>
      <c r="U620" s="20">
        <v>2</v>
      </c>
      <c r="V620" s="120">
        <v>0.03</v>
      </c>
      <c r="W620" s="69">
        <f t="shared" si="47"/>
        <v>1.95</v>
      </c>
      <c r="X620" s="106">
        <v>65</v>
      </c>
      <c r="Y620" s="72" t="str">
        <f t="shared" si="48"/>
        <v>AR_2024_2x SiOLED_One</v>
      </c>
      <c r="Z620" s="36" t="str">
        <f t="shared" si="49"/>
        <v>AR_2024_2x SiOLED</v>
      </c>
    </row>
    <row r="621" spans="3:26">
      <c r="C621" s="17">
        <v>613</v>
      </c>
      <c r="D621" s="109" t="s">
        <v>129</v>
      </c>
      <c r="E621" s="20" t="s">
        <v>13</v>
      </c>
      <c r="F621" s="20" t="s">
        <v>179</v>
      </c>
      <c r="G621" s="21" t="s">
        <v>276</v>
      </c>
      <c r="H621" s="21" t="s">
        <v>277</v>
      </c>
      <c r="I621" s="19" t="s">
        <v>63</v>
      </c>
      <c r="J621" s="19" t="s">
        <v>31</v>
      </c>
      <c r="K621" s="21" t="s">
        <v>51</v>
      </c>
      <c r="L621" s="33" t="str">
        <f t="shared" si="45"/>
        <v>2x SiOLED</v>
      </c>
      <c r="M621" s="21" t="s">
        <v>6</v>
      </c>
      <c r="N621" s="21"/>
      <c r="O621" s="27">
        <v>0.44</v>
      </c>
      <c r="P621" s="20">
        <v>1920</v>
      </c>
      <c r="Q621" s="20">
        <v>1080</v>
      </c>
      <c r="R621" s="29">
        <f t="shared" si="46"/>
        <v>5006.607204732496</v>
      </c>
      <c r="S621" s="20">
        <v>120</v>
      </c>
      <c r="T621" s="18">
        <v>45566</v>
      </c>
      <c r="U621" s="20">
        <v>2</v>
      </c>
      <c r="V621" s="120">
        <v>5.0000000000000001E-4</v>
      </c>
      <c r="W621" s="69">
        <f t="shared" si="47"/>
        <v>2.5000000000000001E-2</v>
      </c>
      <c r="X621" s="106">
        <v>50</v>
      </c>
      <c r="Y621" s="72" t="str">
        <f t="shared" si="48"/>
        <v>AR_2024_2x SiOLED_MiRZA</v>
      </c>
      <c r="Z621" s="36" t="str">
        <f t="shared" si="49"/>
        <v>AR_2024_2x SiOLED</v>
      </c>
    </row>
    <row r="622" spans="3:26">
      <c r="C622" s="17">
        <v>614</v>
      </c>
      <c r="D622" s="109" t="s">
        <v>129</v>
      </c>
      <c r="E622" s="20" t="s">
        <v>13</v>
      </c>
      <c r="F622" s="20" t="s">
        <v>179</v>
      </c>
      <c r="G622" s="21" t="s">
        <v>294</v>
      </c>
      <c r="H622" s="21" t="s">
        <v>198</v>
      </c>
      <c r="I622" s="19" t="s">
        <v>63</v>
      </c>
      <c r="J622" s="19" t="s">
        <v>27</v>
      </c>
      <c r="K622" s="21" t="s">
        <v>51</v>
      </c>
      <c r="L622" s="33" t="str">
        <f t="shared" si="45"/>
        <v>2x SiOLED</v>
      </c>
      <c r="M622" s="21" t="s">
        <v>116</v>
      </c>
      <c r="N622" s="21"/>
      <c r="O622" s="27">
        <v>0.6</v>
      </c>
      <c r="P622" s="20">
        <v>1920</v>
      </c>
      <c r="Q622" s="20">
        <v>1080</v>
      </c>
      <c r="R622" s="29">
        <f t="shared" si="46"/>
        <v>3671.5119501371641</v>
      </c>
      <c r="S622" s="20" t="s">
        <v>36</v>
      </c>
      <c r="T622" s="18">
        <v>45566</v>
      </c>
      <c r="U622" s="20">
        <v>2</v>
      </c>
      <c r="V622" s="120">
        <v>0.03</v>
      </c>
      <c r="W622" s="69">
        <f t="shared" si="47"/>
        <v>1.65</v>
      </c>
      <c r="X622" s="106">
        <v>55</v>
      </c>
      <c r="Y622" s="72" t="str">
        <f t="shared" si="48"/>
        <v>AR_2024_2x SiOLED_Air 3</v>
      </c>
      <c r="Z622" s="36" t="str">
        <f t="shared" si="49"/>
        <v>AR_2024_2x SiOLED</v>
      </c>
    </row>
    <row r="623" spans="3:26">
      <c r="C623" s="17">
        <v>615</v>
      </c>
      <c r="D623" s="109" t="s">
        <v>129</v>
      </c>
      <c r="E623" s="20" t="s">
        <v>13</v>
      </c>
      <c r="F623" s="20" t="s">
        <v>179</v>
      </c>
      <c r="G623" s="21" t="s">
        <v>68</v>
      </c>
      <c r="H623" s="21" t="s">
        <v>273</v>
      </c>
      <c r="I623" s="19" t="s">
        <v>63</v>
      </c>
      <c r="J623" s="19" t="s">
        <v>27</v>
      </c>
      <c r="K623" s="21" t="s">
        <v>120</v>
      </c>
      <c r="L623" s="33" t="str">
        <f t="shared" si="45"/>
        <v>1x MicroLED</v>
      </c>
      <c r="M623" s="21" t="s">
        <v>144</v>
      </c>
      <c r="N623" s="21"/>
      <c r="O623" s="27">
        <v>0.13</v>
      </c>
      <c r="P623" s="20">
        <v>640</v>
      </c>
      <c r="Q623" s="20">
        <v>480</v>
      </c>
      <c r="R623" s="29">
        <f t="shared" si="46"/>
        <v>6153.8461538461534</v>
      </c>
      <c r="S623" s="20" t="s">
        <v>36</v>
      </c>
      <c r="T623" s="18">
        <v>45597</v>
      </c>
      <c r="U623" s="20">
        <v>1</v>
      </c>
      <c r="V623" s="120">
        <v>5.0000000000000001E-4</v>
      </c>
      <c r="W623" s="69">
        <f t="shared" si="47"/>
        <v>3.4860441063999992E-2</v>
      </c>
      <c r="X623" s="106">
        <v>69.720882127999985</v>
      </c>
      <c r="Y623" s="72" t="str">
        <f t="shared" si="48"/>
        <v>AR_2024_1x MicroLED_Z100</v>
      </c>
      <c r="Z623" s="36" t="str">
        <f t="shared" si="49"/>
        <v>AR_2024_1x MicroLED</v>
      </c>
    </row>
    <row r="624" spans="3:26">
      <c r="C624" s="17">
        <v>616</v>
      </c>
      <c r="D624" s="109" t="s">
        <v>129</v>
      </c>
      <c r="E624" s="20" t="s">
        <v>13</v>
      </c>
      <c r="F624" s="20" t="s">
        <v>179</v>
      </c>
      <c r="G624" s="21" t="s">
        <v>189</v>
      </c>
      <c r="H624" s="21" t="s">
        <v>285</v>
      </c>
      <c r="I624" s="19" t="s">
        <v>63</v>
      </c>
      <c r="J624" s="19" t="s">
        <v>27</v>
      </c>
      <c r="K624" s="21" t="s">
        <v>51</v>
      </c>
      <c r="L624" s="33" t="str">
        <f t="shared" si="45"/>
        <v>2x SiOLED</v>
      </c>
      <c r="M624" s="21" t="s">
        <v>6</v>
      </c>
      <c r="N624" s="21"/>
      <c r="O624" s="27">
        <v>0.55000000000000004</v>
      </c>
      <c r="P624" s="20">
        <v>1920</v>
      </c>
      <c r="Q624" s="20">
        <v>1080</v>
      </c>
      <c r="R624" s="29">
        <f t="shared" si="46"/>
        <v>4005.2857637859966</v>
      </c>
      <c r="S624" s="20">
        <v>120</v>
      </c>
      <c r="T624" s="18">
        <v>45536</v>
      </c>
      <c r="U624" s="20">
        <v>2</v>
      </c>
      <c r="V624" s="120">
        <v>1.4999999999999999E-2</v>
      </c>
      <c r="W624" s="69">
        <f t="shared" si="47"/>
        <v>0.82499999999999996</v>
      </c>
      <c r="X624" s="106">
        <v>55</v>
      </c>
      <c r="Y624" s="72" t="str">
        <f t="shared" si="48"/>
        <v>AR_2024_2x SiOLED_Meizu StarV View</v>
      </c>
      <c r="Z624" s="36" t="str">
        <f t="shared" si="49"/>
        <v>AR_2024_2x SiOLED</v>
      </c>
    </row>
    <row r="625" spans="3:26">
      <c r="C625" s="17">
        <v>617</v>
      </c>
      <c r="D625" s="109" t="s">
        <v>129</v>
      </c>
      <c r="E625" s="20" t="s">
        <v>13</v>
      </c>
      <c r="F625" s="20" t="s">
        <v>179</v>
      </c>
      <c r="G625" s="21" t="s">
        <v>189</v>
      </c>
      <c r="H625" s="21" t="s">
        <v>289</v>
      </c>
      <c r="I625" s="19" t="s">
        <v>63</v>
      </c>
      <c r="J625" s="19" t="s">
        <v>27</v>
      </c>
      <c r="K625" s="21" t="s">
        <v>120</v>
      </c>
      <c r="L625" s="33" t="str">
        <f t="shared" si="45"/>
        <v>1x MicroLED</v>
      </c>
      <c r="M625" s="21" t="s">
        <v>144</v>
      </c>
      <c r="N625" s="21"/>
      <c r="O625" s="27">
        <v>0.13</v>
      </c>
      <c r="P625" s="20">
        <v>640</v>
      </c>
      <c r="Q625" s="20">
        <v>480</v>
      </c>
      <c r="R625" s="29">
        <f t="shared" si="46"/>
        <v>6153.8461538461534</v>
      </c>
      <c r="S625" s="20" t="s">
        <v>36</v>
      </c>
      <c r="T625" s="18">
        <v>45597</v>
      </c>
      <c r="U625" s="20">
        <v>1</v>
      </c>
      <c r="V625" s="120">
        <v>6.0000000000000001E-3</v>
      </c>
      <c r="W625" s="69">
        <f t="shared" si="47"/>
        <v>0.4183252927679999</v>
      </c>
      <c r="X625" s="106">
        <v>69.720882127999985</v>
      </c>
      <c r="Y625" s="72" t="str">
        <f t="shared" si="48"/>
        <v>AR_2024_1x MicroLED_Meizu StarV Air 2</v>
      </c>
      <c r="Z625" s="36" t="str">
        <f t="shared" si="49"/>
        <v>AR_2024_1x MicroLED</v>
      </c>
    </row>
    <row r="626" spans="3:26">
      <c r="C626" s="17">
        <v>618</v>
      </c>
      <c r="D626" s="109" t="s">
        <v>129</v>
      </c>
      <c r="E626" s="20" t="s">
        <v>13</v>
      </c>
      <c r="F626" s="20" t="s">
        <v>179</v>
      </c>
      <c r="G626" s="21" t="s">
        <v>283</v>
      </c>
      <c r="H626" s="21" t="s">
        <v>284</v>
      </c>
      <c r="I626" s="19" t="s">
        <v>63</v>
      </c>
      <c r="J626" s="19" t="s">
        <v>27</v>
      </c>
      <c r="K626" s="21" t="s">
        <v>51</v>
      </c>
      <c r="L626" s="33" t="str">
        <f t="shared" si="45"/>
        <v>2x SiOLED</v>
      </c>
      <c r="M626" s="21" t="s">
        <v>6</v>
      </c>
      <c r="N626" s="21"/>
      <c r="O626" s="27">
        <v>0.55000000000000004</v>
      </c>
      <c r="P626" s="20">
        <v>1920</v>
      </c>
      <c r="Q626" s="20">
        <v>1080</v>
      </c>
      <c r="R626" s="29">
        <f t="shared" si="46"/>
        <v>4005.2857637859966</v>
      </c>
      <c r="S626" s="20">
        <v>120</v>
      </c>
      <c r="T626" s="18">
        <v>45444</v>
      </c>
      <c r="U626" s="20">
        <v>2</v>
      </c>
      <c r="V626" s="120">
        <v>0.01</v>
      </c>
      <c r="W626" s="69">
        <f t="shared" si="47"/>
        <v>0.55000000000000004</v>
      </c>
      <c r="X626" s="106">
        <v>55</v>
      </c>
      <c r="Y626" s="72" t="str">
        <f t="shared" si="48"/>
        <v>AR_2024_2x SiOLED_Viture Pro</v>
      </c>
      <c r="Z626" s="36" t="str">
        <f t="shared" si="49"/>
        <v>AR_2024_2x SiOLED</v>
      </c>
    </row>
    <row r="627" spans="3:26">
      <c r="C627" s="17">
        <v>619</v>
      </c>
      <c r="D627" s="109" t="s">
        <v>26</v>
      </c>
      <c r="E627" s="20" t="s">
        <v>13</v>
      </c>
      <c r="F627" s="20" t="s">
        <v>182</v>
      </c>
      <c r="G627" s="21" t="s">
        <v>164</v>
      </c>
      <c r="H627" s="21" t="s">
        <v>165</v>
      </c>
      <c r="I627" s="19" t="s">
        <v>26</v>
      </c>
      <c r="J627" s="19" t="s">
        <v>27</v>
      </c>
      <c r="K627" s="21" t="s">
        <v>51</v>
      </c>
      <c r="L627" s="33" t="str">
        <f t="shared" si="45"/>
        <v>2x SiOLED</v>
      </c>
      <c r="M627" s="21" t="s">
        <v>116</v>
      </c>
      <c r="N627" s="21"/>
      <c r="O627" s="27">
        <v>1.03</v>
      </c>
      <c r="P627" s="20">
        <v>2560</v>
      </c>
      <c r="Q627" s="20">
        <v>2560</v>
      </c>
      <c r="R627" s="29">
        <f t="shared" si="46"/>
        <v>3514.9385627913821</v>
      </c>
      <c r="S627" s="20">
        <v>90</v>
      </c>
      <c r="T627" s="18"/>
      <c r="U627" s="20">
        <v>2</v>
      </c>
      <c r="V627" s="120">
        <v>0.03</v>
      </c>
      <c r="W627" s="69">
        <f t="shared" si="47"/>
        <v>3.4499999999999997</v>
      </c>
      <c r="X627" s="106">
        <v>115</v>
      </c>
      <c r="Y627" s="72" t="str">
        <f t="shared" si="48"/>
        <v>VR_2024_2x SiOLED_Beyond</v>
      </c>
      <c r="Z627" s="36" t="str">
        <f t="shared" si="49"/>
        <v>VR_2024_2x SiOLED</v>
      </c>
    </row>
    <row r="628" spans="3:26">
      <c r="C628" s="17">
        <v>620</v>
      </c>
      <c r="D628" s="109" t="s">
        <v>26</v>
      </c>
      <c r="E628" s="20" t="s">
        <v>13</v>
      </c>
      <c r="F628" s="20" t="s">
        <v>182</v>
      </c>
      <c r="G628" s="21" t="s">
        <v>112</v>
      </c>
      <c r="H628" s="21" t="s">
        <v>137</v>
      </c>
      <c r="I628" s="19" t="s">
        <v>26</v>
      </c>
      <c r="J628" s="19" t="s">
        <v>31</v>
      </c>
      <c r="K628" s="21" t="s">
        <v>15</v>
      </c>
      <c r="L628" s="33" t="str">
        <f t="shared" si="45"/>
        <v>2x LCD</v>
      </c>
      <c r="M628" s="21" t="s">
        <v>4</v>
      </c>
      <c r="N628" s="21" t="s">
        <v>2</v>
      </c>
      <c r="O628" s="27"/>
      <c r="P628" s="20"/>
      <c r="Q628" s="20"/>
      <c r="R628" s="29">
        <f t="shared" si="46"/>
        <v>0</v>
      </c>
      <c r="S628" s="20"/>
      <c r="T628" s="18">
        <v>45200</v>
      </c>
      <c r="U628" s="20">
        <v>2</v>
      </c>
      <c r="V628" s="120">
        <v>0.72</v>
      </c>
      <c r="W628" s="69">
        <f t="shared" si="47"/>
        <v>26.032918947840002</v>
      </c>
      <c r="X628" s="106">
        <v>36.156831872000005</v>
      </c>
      <c r="Y628" s="72" t="str">
        <f t="shared" si="48"/>
        <v>VR_2024_2x LCD_Quest 3</v>
      </c>
      <c r="Z628" s="36" t="str">
        <f t="shared" si="49"/>
        <v>VR_2024_2x LCD</v>
      </c>
    </row>
    <row r="629" spans="3:26">
      <c r="C629" s="17">
        <v>621</v>
      </c>
      <c r="D629" s="109" t="s">
        <v>26</v>
      </c>
      <c r="E629" s="20" t="s">
        <v>13</v>
      </c>
      <c r="F629" s="20" t="s">
        <v>182</v>
      </c>
      <c r="G629" s="21" t="s">
        <v>110</v>
      </c>
      <c r="H629" s="21" t="s">
        <v>134</v>
      </c>
      <c r="I629" s="19" t="s">
        <v>26</v>
      </c>
      <c r="J629" s="19" t="s">
        <v>31</v>
      </c>
      <c r="K629" s="21" t="s">
        <v>15</v>
      </c>
      <c r="L629" s="33" t="str">
        <f t="shared" si="45"/>
        <v>2x LCD</v>
      </c>
      <c r="M629" s="21" t="s">
        <v>146</v>
      </c>
      <c r="N629" s="21"/>
      <c r="O629" s="27">
        <v>2.56</v>
      </c>
      <c r="P629" s="20">
        <v>2160</v>
      </c>
      <c r="Q629" s="20">
        <v>2160</v>
      </c>
      <c r="R629" s="29">
        <f t="shared" si="46"/>
        <v>1193.242693252299</v>
      </c>
      <c r="S629" s="20">
        <v>90</v>
      </c>
      <c r="T629" s="18">
        <v>44805</v>
      </c>
      <c r="U629" s="20">
        <v>2</v>
      </c>
      <c r="V629" s="120">
        <v>7.0000000000000007E-2</v>
      </c>
      <c r="W629" s="69">
        <f t="shared" si="47"/>
        <v>2.5309782310400006</v>
      </c>
      <c r="X629" s="106">
        <v>36.156831872000005</v>
      </c>
      <c r="Y629" s="72" t="str">
        <f t="shared" si="48"/>
        <v>VR_2024_2x LCD_Pico 4</v>
      </c>
      <c r="Z629" s="36" t="str">
        <f t="shared" si="49"/>
        <v>VR_2024_2x LCD</v>
      </c>
    </row>
    <row r="630" spans="3:26">
      <c r="C630" s="17">
        <v>622</v>
      </c>
      <c r="D630" s="109" t="s">
        <v>26</v>
      </c>
      <c r="E630" s="20" t="s">
        <v>13</v>
      </c>
      <c r="F630" s="20" t="s">
        <v>182</v>
      </c>
      <c r="G630" s="21" t="s">
        <v>97</v>
      </c>
      <c r="H630" s="21" t="s">
        <v>161</v>
      </c>
      <c r="I630" s="19" t="s">
        <v>26</v>
      </c>
      <c r="J630" s="19" t="s">
        <v>36</v>
      </c>
      <c r="K630" s="21" t="s">
        <v>15</v>
      </c>
      <c r="L630" s="33" t="str">
        <f t="shared" si="45"/>
        <v>1x LCD</v>
      </c>
      <c r="M630" s="21" t="s">
        <v>36</v>
      </c>
      <c r="N630" s="21" t="s">
        <v>143</v>
      </c>
      <c r="O630" s="27"/>
      <c r="P630" s="20"/>
      <c r="Q630" s="20"/>
      <c r="R630" s="29">
        <f t="shared" si="46"/>
        <v>0</v>
      </c>
      <c r="S630" s="20" t="s">
        <v>36</v>
      </c>
      <c r="T630" s="18" t="s">
        <v>143</v>
      </c>
      <c r="U630" s="20">
        <v>1</v>
      </c>
      <c r="V630" s="120">
        <v>4.4999999999999998E-2</v>
      </c>
      <c r="W630" s="69">
        <f t="shared" si="47"/>
        <v>2.4405861513599993</v>
      </c>
      <c r="X630" s="106">
        <v>54.23524780799999</v>
      </c>
      <c r="Y630" s="72" t="str">
        <f t="shared" si="48"/>
        <v>VR_2024_1x LCD_Single LCD VR headset</v>
      </c>
      <c r="Z630" s="36" t="str">
        <f t="shared" si="49"/>
        <v>VR_2024_1x LCD</v>
      </c>
    </row>
    <row r="631" spans="3:26">
      <c r="C631" s="17">
        <v>623</v>
      </c>
      <c r="D631" s="109" t="s">
        <v>26</v>
      </c>
      <c r="E631" s="20" t="s">
        <v>13</v>
      </c>
      <c r="F631" s="20" t="s">
        <v>182</v>
      </c>
      <c r="G631" s="21" t="s">
        <v>180</v>
      </c>
      <c r="H631" s="21" t="s">
        <v>184</v>
      </c>
      <c r="I631" s="19" t="s">
        <v>26</v>
      </c>
      <c r="J631" s="19" t="s">
        <v>27</v>
      </c>
      <c r="K631" s="21" t="s">
        <v>15</v>
      </c>
      <c r="L631" s="33" t="str">
        <f t="shared" si="45"/>
        <v>2x LCD</v>
      </c>
      <c r="M631" s="21" t="s">
        <v>301</v>
      </c>
      <c r="N631" s="21"/>
      <c r="O631" s="27">
        <v>3.59</v>
      </c>
      <c r="P631" s="20">
        <v>3840</v>
      </c>
      <c r="Q631" s="20">
        <v>3744</v>
      </c>
      <c r="R631" s="29">
        <f t="shared" si="46"/>
        <v>1493.9073665208787</v>
      </c>
      <c r="S631" s="20">
        <v>90</v>
      </c>
      <c r="T631" s="18">
        <v>45261</v>
      </c>
      <c r="U631" s="20">
        <v>2</v>
      </c>
      <c r="V631" s="120">
        <v>1E-3</v>
      </c>
      <c r="W631" s="69">
        <f t="shared" si="47"/>
        <v>5.5E-2</v>
      </c>
      <c r="X631" s="106">
        <v>55</v>
      </c>
      <c r="Y631" s="72" t="str">
        <f t="shared" si="48"/>
        <v>VR_2024_2x LCD_XR-4</v>
      </c>
      <c r="Z631" s="36" t="str">
        <f t="shared" si="49"/>
        <v>VR_2024_2x LCD</v>
      </c>
    </row>
    <row r="632" spans="3:26">
      <c r="C632" s="17">
        <v>624</v>
      </c>
      <c r="D632" s="109" t="s">
        <v>26</v>
      </c>
      <c r="E632" s="20" t="s">
        <v>13</v>
      </c>
      <c r="F632" s="20" t="s">
        <v>182</v>
      </c>
      <c r="G632" s="21" t="s">
        <v>112</v>
      </c>
      <c r="H632" s="21" t="s">
        <v>196</v>
      </c>
      <c r="I632" s="19" t="s">
        <v>26</v>
      </c>
      <c r="J632" s="19" t="s">
        <v>31</v>
      </c>
      <c r="K632" s="21" t="s">
        <v>15</v>
      </c>
      <c r="L632" s="33" t="str">
        <f t="shared" si="45"/>
        <v>1x LCD</v>
      </c>
      <c r="M632" s="21" t="s">
        <v>2</v>
      </c>
      <c r="N632" s="21" t="s">
        <v>4</v>
      </c>
      <c r="O632" s="27">
        <v>5.5</v>
      </c>
      <c r="P632" s="20">
        <v>3840</v>
      </c>
      <c r="Q632" s="20">
        <v>1832</v>
      </c>
      <c r="R632" s="29">
        <f t="shared" si="46"/>
        <v>773.56797048396322</v>
      </c>
      <c r="S632" s="20">
        <v>120</v>
      </c>
      <c r="T632" s="18">
        <v>45566</v>
      </c>
      <c r="U632" s="20">
        <v>1</v>
      </c>
      <c r="V632" s="120">
        <v>0.67200000000000004</v>
      </c>
      <c r="W632" s="69">
        <f t="shared" si="47"/>
        <v>36.288000000000004</v>
      </c>
      <c r="X632" s="106">
        <v>54</v>
      </c>
      <c r="Y632" s="72" t="str">
        <f t="shared" si="48"/>
        <v>VR_2024_1x LCD_Quest 3S</v>
      </c>
      <c r="Z632" s="36" t="str">
        <f t="shared" si="49"/>
        <v>VR_2024_1x LCD</v>
      </c>
    </row>
    <row r="633" spans="3:26">
      <c r="C633" s="17">
        <v>625</v>
      </c>
      <c r="D633" s="109" t="s">
        <v>26</v>
      </c>
      <c r="E633" s="20" t="s">
        <v>13</v>
      </c>
      <c r="F633" s="20" t="s">
        <v>182</v>
      </c>
      <c r="G633" s="21" t="s">
        <v>139</v>
      </c>
      <c r="H633" s="21" t="s">
        <v>278</v>
      </c>
      <c r="I633" s="19" t="s">
        <v>26</v>
      </c>
      <c r="J633" s="19" t="s">
        <v>27</v>
      </c>
      <c r="K633" s="21" t="s">
        <v>51</v>
      </c>
      <c r="L633" s="33" t="str">
        <f t="shared" si="45"/>
        <v>2x SiOLED</v>
      </c>
      <c r="M633" s="21" t="s">
        <v>145</v>
      </c>
      <c r="N633" s="21"/>
      <c r="O633" s="27">
        <v>1.35</v>
      </c>
      <c r="P633" s="20">
        <v>3552</v>
      </c>
      <c r="Q633" s="20">
        <v>3840</v>
      </c>
      <c r="R633" s="29">
        <f t="shared" si="46"/>
        <v>3874.7399753458562</v>
      </c>
      <c r="S633" s="20">
        <v>90</v>
      </c>
      <c r="T633" s="18">
        <v>45597</v>
      </c>
      <c r="U633" s="20">
        <v>2</v>
      </c>
      <c r="V633" s="120">
        <v>1E-4</v>
      </c>
      <c r="W633" s="69">
        <f t="shared" si="47"/>
        <v>1.5000000000000001E-2</v>
      </c>
      <c r="X633" s="106">
        <v>150</v>
      </c>
      <c r="Y633" s="72" t="str">
        <f t="shared" si="48"/>
        <v>VR_2024_2x SiOLED_MeganeX Superlight 8K</v>
      </c>
      <c r="Z633" s="36" t="str">
        <f t="shared" si="49"/>
        <v>VR_2024_2x SiOLED</v>
      </c>
    </row>
    <row r="634" spans="3:26">
      <c r="C634" s="17">
        <v>626</v>
      </c>
      <c r="D634" s="109" t="s">
        <v>129</v>
      </c>
      <c r="E634" s="20" t="s">
        <v>13</v>
      </c>
      <c r="F634" s="20" t="s">
        <v>182</v>
      </c>
      <c r="G634" s="21" t="s">
        <v>73</v>
      </c>
      <c r="H634" s="21" t="s">
        <v>74</v>
      </c>
      <c r="I634" s="19" t="s">
        <v>63</v>
      </c>
      <c r="J634" s="19" t="s">
        <v>31</v>
      </c>
      <c r="K634" s="21" t="s">
        <v>51</v>
      </c>
      <c r="L634" s="33" t="str">
        <f t="shared" si="45"/>
        <v>2x SiOLED</v>
      </c>
      <c r="M634" s="21" t="s">
        <v>73</v>
      </c>
      <c r="N634" s="21"/>
      <c r="O634" s="27">
        <v>0.43</v>
      </c>
      <c r="P634" s="20">
        <v>1280</v>
      </c>
      <c r="Q634" s="20">
        <v>720</v>
      </c>
      <c r="R634" s="29">
        <f t="shared" si="46"/>
        <v>3415.3599536159668</v>
      </c>
      <c r="S634" s="20" t="s">
        <v>36</v>
      </c>
      <c r="T634" s="18">
        <v>42401</v>
      </c>
      <c r="U634" s="20">
        <v>2</v>
      </c>
      <c r="V634" s="120">
        <v>5.0000000000000001E-3</v>
      </c>
      <c r="W634" s="69">
        <f t="shared" si="47"/>
        <v>0.32500000000000001</v>
      </c>
      <c r="X634" s="106">
        <v>65</v>
      </c>
      <c r="Y634" s="72" t="str">
        <f t="shared" si="48"/>
        <v>AR_2024_2x SiOLED_Moverio</v>
      </c>
      <c r="Z634" s="36" t="str">
        <f t="shared" si="49"/>
        <v>AR_2024_2x SiOLED</v>
      </c>
    </row>
    <row r="635" spans="3:26">
      <c r="C635" s="17">
        <v>627</v>
      </c>
      <c r="D635" s="109" t="s">
        <v>129</v>
      </c>
      <c r="E635" s="20" t="s">
        <v>13</v>
      </c>
      <c r="F635" s="20" t="s">
        <v>182</v>
      </c>
      <c r="G635" s="21" t="s">
        <v>77</v>
      </c>
      <c r="H635" s="21" t="s">
        <v>131</v>
      </c>
      <c r="I635" s="19" t="s">
        <v>63</v>
      </c>
      <c r="J635" s="19" t="s">
        <v>27</v>
      </c>
      <c r="K635" s="21" t="s">
        <v>51</v>
      </c>
      <c r="L635" s="33" t="str">
        <f t="shared" si="45"/>
        <v>2x SiOLED</v>
      </c>
      <c r="M635" s="21" t="s">
        <v>116</v>
      </c>
      <c r="N635" s="21"/>
      <c r="O635" s="27">
        <v>0.49</v>
      </c>
      <c r="P635" s="20">
        <v>1920</v>
      </c>
      <c r="Q635" s="20">
        <v>1080</v>
      </c>
      <c r="R635" s="29">
        <f t="shared" si="46"/>
        <v>4495.7289185353029</v>
      </c>
      <c r="S635" s="20">
        <v>60</v>
      </c>
      <c r="T635" s="18">
        <v>44866</v>
      </c>
      <c r="U635" s="20">
        <v>2</v>
      </c>
      <c r="V635" s="120">
        <v>2.2000000000000001E-4</v>
      </c>
      <c r="W635" s="69">
        <f t="shared" si="47"/>
        <v>1.1000000000000001E-2</v>
      </c>
      <c r="X635" s="106">
        <v>50</v>
      </c>
      <c r="Y635" s="72" t="str">
        <f t="shared" si="48"/>
        <v>AR_2024_2x SiOLED_T1</v>
      </c>
      <c r="Z635" s="36" t="str">
        <f t="shared" si="49"/>
        <v>AR_2024_2x SiOLED</v>
      </c>
    </row>
    <row r="636" spans="3:26">
      <c r="C636" s="17">
        <v>628</v>
      </c>
      <c r="D636" s="109" t="s">
        <v>129</v>
      </c>
      <c r="E636" s="20" t="s">
        <v>13</v>
      </c>
      <c r="F636" s="20" t="s">
        <v>182</v>
      </c>
      <c r="G636" s="21" t="s">
        <v>132</v>
      </c>
      <c r="H636" s="21" t="s">
        <v>133</v>
      </c>
      <c r="I636" s="19" t="s">
        <v>63</v>
      </c>
      <c r="J636" s="19" t="s">
        <v>27</v>
      </c>
      <c r="K636" s="21" t="s">
        <v>51</v>
      </c>
      <c r="L636" s="33" t="str">
        <f t="shared" si="45"/>
        <v>2x SiOLED</v>
      </c>
      <c r="M636" s="21" t="s">
        <v>116</v>
      </c>
      <c r="N636" s="21"/>
      <c r="O636" s="27">
        <v>0.49</v>
      </c>
      <c r="P636" s="20">
        <v>1920</v>
      </c>
      <c r="Q636" s="20">
        <v>1080</v>
      </c>
      <c r="R636" s="29">
        <f t="shared" si="46"/>
        <v>4495.7289185353029</v>
      </c>
      <c r="S636" s="20">
        <v>75</v>
      </c>
      <c r="T636" s="18">
        <v>44501</v>
      </c>
      <c r="U636" s="20">
        <v>2</v>
      </c>
      <c r="V636" s="120">
        <v>4.4000000000000002E-4</v>
      </c>
      <c r="W636" s="69">
        <f t="shared" si="47"/>
        <v>2.2000000000000002E-2</v>
      </c>
      <c r="X636" s="106">
        <v>50</v>
      </c>
      <c r="Y636" s="72" t="str">
        <f t="shared" si="48"/>
        <v>AR_2024_2x SiOLED_Air</v>
      </c>
      <c r="Z636" s="36" t="str">
        <f t="shared" si="49"/>
        <v>AR_2024_2x SiOLED</v>
      </c>
    </row>
    <row r="637" spans="3:26">
      <c r="C637" s="17">
        <v>629</v>
      </c>
      <c r="D637" s="109" t="s">
        <v>129</v>
      </c>
      <c r="E637" s="20" t="s">
        <v>13</v>
      </c>
      <c r="F637" s="20" t="s">
        <v>182</v>
      </c>
      <c r="G637" s="21" t="s">
        <v>132</v>
      </c>
      <c r="H637" s="21" t="s">
        <v>160</v>
      </c>
      <c r="I637" s="19" t="s">
        <v>63</v>
      </c>
      <c r="J637" s="19" t="s">
        <v>27</v>
      </c>
      <c r="K637" s="21" t="s">
        <v>51</v>
      </c>
      <c r="L637" s="33" t="str">
        <f t="shared" si="45"/>
        <v>2x SiOLED</v>
      </c>
      <c r="M637" s="21" t="s">
        <v>6</v>
      </c>
      <c r="N637" s="21"/>
      <c r="O637" s="27">
        <v>0.55000000000000004</v>
      </c>
      <c r="P637" s="20">
        <v>1920</v>
      </c>
      <c r="Q637" s="20">
        <v>1080</v>
      </c>
      <c r="R637" s="29">
        <f t="shared" si="46"/>
        <v>4005.2857637859966</v>
      </c>
      <c r="S637" s="20">
        <v>120</v>
      </c>
      <c r="T637" s="18">
        <v>45017</v>
      </c>
      <c r="U637" s="20">
        <v>2</v>
      </c>
      <c r="V637" s="120">
        <v>2.2000000000000001E-4</v>
      </c>
      <c r="W637" s="69">
        <f t="shared" si="47"/>
        <v>1.21E-2</v>
      </c>
      <c r="X637" s="106">
        <v>55</v>
      </c>
      <c r="Y637" s="72" t="str">
        <f t="shared" si="48"/>
        <v>AR_2024_2x SiOLED_Max</v>
      </c>
      <c r="Z637" s="36" t="str">
        <f t="shared" si="49"/>
        <v>AR_2024_2x SiOLED</v>
      </c>
    </row>
    <row r="638" spans="3:26">
      <c r="C638" s="17">
        <v>630</v>
      </c>
      <c r="D638" s="109" t="s">
        <v>129</v>
      </c>
      <c r="E638" s="20" t="s">
        <v>13</v>
      </c>
      <c r="F638" s="20" t="s">
        <v>182</v>
      </c>
      <c r="G638" s="21" t="s">
        <v>135</v>
      </c>
      <c r="H638" s="21" t="s">
        <v>136</v>
      </c>
      <c r="I638" s="19" t="s">
        <v>63</v>
      </c>
      <c r="J638" s="19" t="s">
        <v>27</v>
      </c>
      <c r="K638" s="21" t="s">
        <v>51</v>
      </c>
      <c r="L638" s="33" t="str">
        <f t="shared" si="45"/>
        <v>2x SiOLED</v>
      </c>
      <c r="M638" s="21" t="s">
        <v>6</v>
      </c>
      <c r="N638" s="21"/>
      <c r="O638" s="27">
        <v>0.55000000000000004</v>
      </c>
      <c r="P638" s="20">
        <v>1920</v>
      </c>
      <c r="Q638" s="20">
        <v>1080</v>
      </c>
      <c r="R638" s="29">
        <f t="shared" si="46"/>
        <v>4005.2857637859966</v>
      </c>
      <c r="S638" s="20" t="s">
        <v>36</v>
      </c>
      <c r="T638" s="18">
        <v>44866</v>
      </c>
      <c r="U638" s="20">
        <v>2</v>
      </c>
      <c r="V638" s="120">
        <v>5.4999999999999997E-3</v>
      </c>
      <c r="W638" s="69">
        <f t="shared" si="47"/>
        <v>0.30249999999999999</v>
      </c>
      <c r="X638" s="106">
        <v>55</v>
      </c>
      <c r="Y638" s="72" t="str">
        <f t="shared" si="48"/>
        <v>AR_2024_2x SiOLED_NXTWear</v>
      </c>
      <c r="Z638" s="36" t="str">
        <f t="shared" si="49"/>
        <v>AR_2024_2x SiOLED</v>
      </c>
    </row>
    <row r="639" spans="3:26">
      <c r="C639" s="17">
        <v>631</v>
      </c>
      <c r="D639" s="109" t="s">
        <v>129</v>
      </c>
      <c r="E639" s="20" t="s">
        <v>13</v>
      </c>
      <c r="F639" s="20" t="s">
        <v>182</v>
      </c>
      <c r="G639" s="21" t="s">
        <v>68</v>
      </c>
      <c r="H639" s="21" t="s">
        <v>69</v>
      </c>
      <c r="I639" s="19" t="s">
        <v>63</v>
      </c>
      <c r="J639" s="19" t="s">
        <v>31</v>
      </c>
      <c r="K639" s="21" t="s">
        <v>70</v>
      </c>
      <c r="L639" s="33" t="str">
        <f t="shared" si="45"/>
        <v>1x DLP</v>
      </c>
      <c r="M639" s="21" t="s">
        <v>172</v>
      </c>
      <c r="N639" s="21"/>
      <c r="O639" s="27"/>
      <c r="P639" s="20">
        <v>853</v>
      </c>
      <c r="Q639" s="20">
        <v>480</v>
      </c>
      <c r="R639" s="29">
        <f t="shared" si="46"/>
        <v>0</v>
      </c>
      <c r="S639" s="20" t="s">
        <v>36</v>
      </c>
      <c r="T639" s="18">
        <v>43466</v>
      </c>
      <c r="U639" s="20">
        <v>1</v>
      </c>
      <c r="V639" s="120">
        <v>1.3200000000000001E-4</v>
      </c>
      <c r="W639" s="69">
        <f t="shared" si="47"/>
        <v>1.04190469867044E-2</v>
      </c>
      <c r="X639" s="106">
        <v>78.932174141699988</v>
      </c>
      <c r="Y639" s="72" t="str">
        <f t="shared" si="48"/>
        <v>AR_2024_1x DLP_Blade</v>
      </c>
      <c r="Z639" s="36" t="str">
        <f t="shared" si="49"/>
        <v>AR_2024_1x DLP</v>
      </c>
    </row>
    <row r="640" spans="3:26">
      <c r="C640" s="17">
        <v>632</v>
      </c>
      <c r="D640" s="109" t="s">
        <v>129</v>
      </c>
      <c r="E640" s="20" t="s">
        <v>13</v>
      </c>
      <c r="F640" s="20" t="s">
        <v>182</v>
      </c>
      <c r="G640" s="21" t="s">
        <v>68</v>
      </c>
      <c r="H640" s="21" t="s">
        <v>122</v>
      </c>
      <c r="I640" s="19" t="s">
        <v>63</v>
      </c>
      <c r="J640" s="19" t="s">
        <v>31</v>
      </c>
      <c r="K640" s="21" t="s">
        <v>120</v>
      </c>
      <c r="L640" s="33" t="str">
        <f t="shared" si="45"/>
        <v>2x MicroLED</v>
      </c>
      <c r="M640" s="21" t="s">
        <v>144</v>
      </c>
      <c r="N640" s="21"/>
      <c r="O640" s="27">
        <v>0.13</v>
      </c>
      <c r="P640" s="20">
        <v>640</v>
      </c>
      <c r="Q640" s="20">
        <v>480</v>
      </c>
      <c r="R640" s="29">
        <f t="shared" si="46"/>
        <v>6153.8461538461534</v>
      </c>
      <c r="S640" s="20" t="s">
        <v>36</v>
      </c>
      <c r="T640" s="18">
        <v>44896</v>
      </c>
      <c r="U640" s="20">
        <v>2</v>
      </c>
      <c r="V640" s="120">
        <v>8.7999999999999998E-5</v>
      </c>
      <c r="W640" s="69">
        <f t="shared" si="47"/>
        <v>6.1354376272639982E-3</v>
      </c>
      <c r="X640" s="106">
        <v>69.720882127999985</v>
      </c>
      <c r="Y640" s="72" t="str">
        <f t="shared" si="48"/>
        <v>AR_2024_2x MicroLED_Shield</v>
      </c>
      <c r="Z640" s="36" t="str">
        <f t="shared" si="49"/>
        <v>AR_2024_2x MicroLED</v>
      </c>
    </row>
    <row r="641" spans="3:26">
      <c r="C641" s="17">
        <v>633</v>
      </c>
      <c r="D641" s="109" t="s">
        <v>129</v>
      </c>
      <c r="E641" s="20" t="s">
        <v>13</v>
      </c>
      <c r="F641" s="20" t="s">
        <v>182</v>
      </c>
      <c r="G641" s="21" t="s">
        <v>97</v>
      </c>
      <c r="H641" s="21" t="s">
        <v>121</v>
      </c>
      <c r="I641" s="19" t="s">
        <v>63</v>
      </c>
      <c r="J641" s="19" t="s">
        <v>36</v>
      </c>
      <c r="K641" s="21" t="s">
        <v>120</v>
      </c>
      <c r="L641" s="33" t="str">
        <f t="shared" si="45"/>
        <v>1x MicroLED</v>
      </c>
      <c r="M641" s="21" t="s">
        <v>36</v>
      </c>
      <c r="N641" s="21"/>
      <c r="O641" s="27"/>
      <c r="P641" s="20"/>
      <c r="Q641" s="20"/>
      <c r="R641" s="29">
        <f t="shared" si="46"/>
        <v>0</v>
      </c>
      <c r="S641" s="20" t="s">
        <v>36</v>
      </c>
      <c r="T641" s="18" t="s">
        <v>143</v>
      </c>
      <c r="U641" s="20">
        <v>1</v>
      </c>
      <c r="V641" s="120">
        <v>7.0000000000000001E-3</v>
      </c>
      <c r="W641" s="69">
        <f t="shared" si="47"/>
        <v>0.48804617489599988</v>
      </c>
      <c r="X641" s="106">
        <v>69.720882127999985</v>
      </c>
      <c r="Y641" s="72" t="str">
        <f t="shared" si="48"/>
        <v>AR_2024_1x MicroLED_Monocular MicroLED</v>
      </c>
      <c r="Z641" s="36" t="str">
        <f t="shared" si="49"/>
        <v>AR_2024_1x MicroLED</v>
      </c>
    </row>
    <row r="642" spans="3:26">
      <c r="C642" s="17">
        <v>634</v>
      </c>
      <c r="D642" s="109" t="s">
        <v>129</v>
      </c>
      <c r="E642" s="20" t="s">
        <v>13</v>
      </c>
      <c r="F642" s="20" t="s">
        <v>182</v>
      </c>
      <c r="G642" s="21" t="s">
        <v>97</v>
      </c>
      <c r="H642" s="21" t="s">
        <v>79</v>
      </c>
      <c r="I642" s="19" t="s">
        <v>63</v>
      </c>
      <c r="J642" s="19" t="s">
        <v>36</v>
      </c>
      <c r="K642" s="21" t="s">
        <v>51</v>
      </c>
      <c r="L642" s="33" t="str">
        <f t="shared" si="45"/>
        <v>2x SiOLED</v>
      </c>
      <c r="M642" s="21" t="s">
        <v>36</v>
      </c>
      <c r="N642" s="21"/>
      <c r="O642" s="27"/>
      <c r="P642" s="20"/>
      <c r="Q642" s="20"/>
      <c r="R642" s="29">
        <f t="shared" si="46"/>
        <v>0</v>
      </c>
      <c r="S642" s="20" t="s">
        <v>36</v>
      </c>
      <c r="T642" s="18" t="s">
        <v>143</v>
      </c>
      <c r="U642" s="20">
        <v>2</v>
      </c>
      <c r="V642" s="120">
        <v>1.9E-2</v>
      </c>
      <c r="W642" s="69">
        <f t="shared" si="47"/>
        <v>1.0449999999999999</v>
      </c>
      <c r="X642" s="106">
        <v>55</v>
      </c>
      <c r="Y642" s="72" t="str">
        <f t="shared" si="48"/>
        <v>AR_2024_2x SiOLED_SiOLED glasses</v>
      </c>
      <c r="Z642" s="36" t="str">
        <f t="shared" si="49"/>
        <v>AR_2024_2x SiOLED</v>
      </c>
    </row>
    <row r="643" spans="3:26">
      <c r="C643" s="17">
        <v>635</v>
      </c>
      <c r="D643" s="109" t="s">
        <v>129</v>
      </c>
      <c r="E643" s="20" t="s">
        <v>13</v>
      </c>
      <c r="F643" s="20" t="s">
        <v>182</v>
      </c>
      <c r="G643" s="21" t="s">
        <v>186</v>
      </c>
      <c r="H643" s="21" t="s">
        <v>188</v>
      </c>
      <c r="I643" s="19" t="s">
        <v>63</v>
      </c>
      <c r="J643" s="19" t="s">
        <v>27</v>
      </c>
      <c r="K643" s="21" t="s">
        <v>51</v>
      </c>
      <c r="L643" s="33" t="str">
        <f t="shared" si="45"/>
        <v>2x SiOLED</v>
      </c>
      <c r="M643" s="21" t="s">
        <v>6</v>
      </c>
      <c r="N643" s="21"/>
      <c r="O643" s="27">
        <v>0.55000000000000004</v>
      </c>
      <c r="P643" s="20">
        <v>1920</v>
      </c>
      <c r="Q643" s="20">
        <v>1080</v>
      </c>
      <c r="R643" s="29">
        <f t="shared" si="46"/>
        <v>4005.2857637859966</v>
      </c>
      <c r="S643" s="20">
        <v>120</v>
      </c>
      <c r="T643" s="18">
        <v>45170</v>
      </c>
      <c r="U643" s="20">
        <v>2</v>
      </c>
      <c r="V643" s="120">
        <v>1.32E-3</v>
      </c>
      <c r="W643" s="69">
        <f t="shared" si="47"/>
        <v>7.2599999999999998E-2</v>
      </c>
      <c r="X643" s="106">
        <v>55</v>
      </c>
      <c r="Y643" s="72" t="str">
        <f t="shared" si="48"/>
        <v>AR_2024_2x SiOLED_Air 2</v>
      </c>
      <c r="Z643" s="36" t="str">
        <f t="shared" si="49"/>
        <v>AR_2024_2x SiOLED</v>
      </c>
    </row>
    <row r="644" spans="3:26">
      <c r="C644" s="17">
        <v>636</v>
      </c>
      <c r="D644" s="109" t="s">
        <v>129</v>
      </c>
      <c r="E644" s="20" t="s">
        <v>13</v>
      </c>
      <c r="F644" s="20" t="s">
        <v>182</v>
      </c>
      <c r="G644" s="21" t="s">
        <v>189</v>
      </c>
      <c r="H644" s="21" t="s">
        <v>190</v>
      </c>
      <c r="I644" s="19" t="s">
        <v>63</v>
      </c>
      <c r="J644" s="19" t="s">
        <v>31</v>
      </c>
      <c r="K644" s="21" t="s">
        <v>120</v>
      </c>
      <c r="L644" s="33" t="str">
        <f t="shared" si="45"/>
        <v>2x MicroLED</v>
      </c>
      <c r="M644" s="21" t="s">
        <v>144</v>
      </c>
      <c r="N644" s="21"/>
      <c r="O644" s="27">
        <v>0.13</v>
      </c>
      <c r="P644" s="20">
        <v>640</v>
      </c>
      <c r="Q644" s="20">
        <v>480</v>
      </c>
      <c r="R644" s="29">
        <f t="shared" si="46"/>
        <v>6153.8461538461534</v>
      </c>
      <c r="S644" s="20" t="s">
        <v>36</v>
      </c>
      <c r="T644" s="18">
        <v>45261</v>
      </c>
      <c r="U644" s="20">
        <v>2</v>
      </c>
      <c r="V644" s="120">
        <v>2.2000000000000001E-3</v>
      </c>
      <c r="W644" s="69">
        <f t="shared" si="47"/>
        <v>0.15338594068159997</v>
      </c>
      <c r="X644" s="106">
        <v>69.720882127999985</v>
      </c>
      <c r="Y644" s="72" t="str">
        <f t="shared" si="48"/>
        <v>AR_2024_2x MicroLED_MYVU</v>
      </c>
      <c r="Z644" s="36" t="str">
        <f t="shared" si="49"/>
        <v>AR_2024_2x MicroLED</v>
      </c>
    </row>
    <row r="645" spans="3:26">
      <c r="C645" s="17">
        <v>637</v>
      </c>
      <c r="D645" s="109" t="s">
        <v>129</v>
      </c>
      <c r="E645" s="20" t="s">
        <v>13</v>
      </c>
      <c r="F645" s="20" t="s">
        <v>182</v>
      </c>
      <c r="G645" s="21" t="s">
        <v>191</v>
      </c>
      <c r="H645" s="21" t="s">
        <v>197</v>
      </c>
      <c r="I645" s="19" t="s">
        <v>63</v>
      </c>
      <c r="J645" s="19" t="s">
        <v>31</v>
      </c>
      <c r="K645" s="21" t="s">
        <v>120</v>
      </c>
      <c r="L645" s="33" t="str">
        <f t="shared" si="45"/>
        <v>1x MicroLED</v>
      </c>
      <c r="M645" s="21" t="s">
        <v>144</v>
      </c>
      <c r="N645" s="21"/>
      <c r="O645" s="27">
        <v>0.13</v>
      </c>
      <c r="P645" s="20">
        <v>640</v>
      </c>
      <c r="Q645" s="20">
        <v>480</v>
      </c>
      <c r="R645" s="29">
        <f t="shared" si="46"/>
        <v>6153.8461538461534</v>
      </c>
      <c r="S645" s="20" t="s">
        <v>36</v>
      </c>
      <c r="T645" s="18">
        <v>45627</v>
      </c>
      <c r="U645" s="20">
        <v>1</v>
      </c>
      <c r="V645" s="120">
        <v>2.2000000000000001E-3</v>
      </c>
      <c r="W645" s="69">
        <f t="shared" si="47"/>
        <v>0.15338594068159997</v>
      </c>
      <c r="X645" s="106">
        <v>69.720882127999985</v>
      </c>
      <c r="Y645" s="72" t="str">
        <f t="shared" si="48"/>
        <v>AR_2024_1x MicroLED_Go 2</v>
      </c>
      <c r="Z645" s="36" t="str">
        <f t="shared" si="49"/>
        <v>AR_2024_1x MicroLED</v>
      </c>
    </row>
    <row r="646" spans="3:26">
      <c r="C646" s="17">
        <v>638</v>
      </c>
      <c r="D646" s="109" t="s">
        <v>129</v>
      </c>
      <c r="E646" s="20" t="s">
        <v>13</v>
      </c>
      <c r="F646" s="20" t="s">
        <v>182</v>
      </c>
      <c r="G646" s="21" t="s">
        <v>191</v>
      </c>
      <c r="H646" s="21" t="s">
        <v>198</v>
      </c>
      <c r="I646" s="19" t="s">
        <v>63</v>
      </c>
      <c r="J646" s="19" t="s">
        <v>31</v>
      </c>
      <c r="K646" s="21" t="s">
        <v>51</v>
      </c>
      <c r="L646" s="33" t="str">
        <f t="shared" si="45"/>
        <v>2x SiOLED</v>
      </c>
      <c r="M646" s="21" t="s">
        <v>6</v>
      </c>
      <c r="N646" s="21"/>
      <c r="O646" s="27">
        <v>0.44</v>
      </c>
      <c r="P646" s="20">
        <v>1920</v>
      </c>
      <c r="Q646" s="20">
        <v>1080</v>
      </c>
      <c r="R646" s="29">
        <f t="shared" si="46"/>
        <v>5006.607204732496</v>
      </c>
      <c r="S646" s="20">
        <v>120</v>
      </c>
      <c r="T646" s="18">
        <v>45627</v>
      </c>
      <c r="U646" s="20">
        <v>2</v>
      </c>
      <c r="V646" s="120">
        <v>1.4999999999999999E-2</v>
      </c>
      <c r="W646" s="69">
        <f t="shared" si="47"/>
        <v>0.75</v>
      </c>
      <c r="X646" s="106">
        <v>50</v>
      </c>
      <c r="Y646" s="72" t="str">
        <f t="shared" si="48"/>
        <v>AR_2024_2x SiOLED_Air 3</v>
      </c>
      <c r="Z646" s="36" t="str">
        <f t="shared" si="49"/>
        <v>AR_2024_2x SiOLED</v>
      </c>
    </row>
    <row r="647" spans="3:26">
      <c r="C647" s="17">
        <v>639</v>
      </c>
      <c r="D647" s="109" t="s">
        <v>129</v>
      </c>
      <c r="E647" s="20" t="s">
        <v>13</v>
      </c>
      <c r="F647" s="20" t="s">
        <v>182</v>
      </c>
      <c r="G647" s="21" t="s">
        <v>132</v>
      </c>
      <c r="H647" s="21" t="s">
        <v>193</v>
      </c>
      <c r="I647" s="19" t="s">
        <v>63</v>
      </c>
      <c r="J647" s="19" t="s">
        <v>27</v>
      </c>
      <c r="K647" s="21" t="s">
        <v>51</v>
      </c>
      <c r="L647" s="33" t="str">
        <f t="shared" si="45"/>
        <v>2x SiOLED</v>
      </c>
      <c r="M647" s="21" t="s">
        <v>6</v>
      </c>
      <c r="N647" s="21"/>
      <c r="O647" s="27">
        <v>0.68</v>
      </c>
      <c r="P647" s="20">
        <v>1920</v>
      </c>
      <c r="Q647" s="20">
        <v>1200</v>
      </c>
      <c r="R647" s="29">
        <f t="shared" si="46"/>
        <v>3329.6403995493893</v>
      </c>
      <c r="S647" s="20">
        <v>120</v>
      </c>
      <c r="T647" s="18">
        <v>45536</v>
      </c>
      <c r="U647" s="20">
        <v>2</v>
      </c>
      <c r="V647" s="120">
        <v>0.01</v>
      </c>
      <c r="W647" s="69">
        <f t="shared" si="47"/>
        <v>0.65</v>
      </c>
      <c r="X647" s="106">
        <v>65</v>
      </c>
      <c r="Y647" s="72" t="str">
        <f t="shared" si="48"/>
        <v>AR_2024_2x SiOLED_Max 2</v>
      </c>
      <c r="Z647" s="36" t="str">
        <f t="shared" si="49"/>
        <v>AR_2024_2x SiOLED</v>
      </c>
    </row>
    <row r="648" spans="3:26">
      <c r="C648" s="17">
        <v>640</v>
      </c>
      <c r="D648" s="109" t="s">
        <v>129</v>
      </c>
      <c r="E648" s="20" t="s">
        <v>13</v>
      </c>
      <c r="F648" s="20" t="s">
        <v>182</v>
      </c>
      <c r="G648" s="21" t="s">
        <v>132</v>
      </c>
      <c r="H648" s="21" t="s">
        <v>199</v>
      </c>
      <c r="I648" s="19" t="s">
        <v>63</v>
      </c>
      <c r="J648" s="19" t="s">
        <v>27</v>
      </c>
      <c r="K648" s="21" t="s">
        <v>120</v>
      </c>
      <c r="L648" s="33" t="str">
        <f t="shared" si="45"/>
        <v>1x MicroLED</v>
      </c>
      <c r="M648" s="21" t="s">
        <v>144</v>
      </c>
      <c r="N648" s="21"/>
      <c r="O648" s="27">
        <v>0.13</v>
      </c>
      <c r="P648" s="20">
        <v>640</v>
      </c>
      <c r="Q648" s="20">
        <v>480</v>
      </c>
      <c r="R648" s="29">
        <f t="shared" si="46"/>
        <v>6153.8461538461534</v>
      </c>
      <c r="S648" s="20" t="s">
        <v>36</v>
      </c>
      <c r="T648" s="18">
        <v>45627</v>
      </c>
      <c r="U648" s="20">
        <v>1</v>
      </c>
      <c r="V648" s="120">
        <v>1.6999999999999999E-3</v>
      </c>
      <c r="W648" s="69">
        <f t="shared" si="47"/>
        <v>0.11852549961759996</v>
      </c>
      <c r="X648" s="106">
        <v>69.720882127999985</v>
      </c>
      <c r="Y648" s="72" t="str">
        <f t="shared" si="48"/>
        <v>AR_2024_1x MicroLED_Glasses</v>
      </c>
      <c r="Z648" s="36" t="str">
        <f t="shared" si="49"/>
        <v>AR_2024_1x MicroLED</v>
      </c>
    </row>
    <row r="649" spans="3:26">
      <c r="C649" s="17">
        <v>641</v>
      </c>
      <c r="D649" s="109" t="s">
        <v>129</v>
      </c>
      <c r="E649" s="20" t="s">
        <v>13</v>
      </c>
      <c r="F649" s="20" t="s">
        <v>182</v>
      </c>
      <c r="G649" s="21" t="s">
        <v>186</v>
      </c>
      <c r="H649" s="21" t="s">
        <v>200</v>
      </c>
      <c r="I649" s="19" t="s">
        <v>63</v>
      </c>
      <c r="J649" s="19" t="s">
        <v>27</v>
      </c>
      <c r="K649" s="21" t="s">
        <v>51</v>
      </c>
      <c r="L649" s="33" t="str">
        <f t="shared" ref="L649:L712" si="50">IF(U649=0, "", U649&amp;"x "&amp;K649)</f>
        <v>2x SiOLED</v>
      </c>
      <c r="M649" s="21" t="s">
        <v>6</v>
      </c>
      <c r="N649" s="21"/>
      <c r="O649" s="27">
        <v>0.68</v>
      </c>
      <c r="P649" s="20">
        <v>1920</v>
      </c>
      <c r="Q649" s="20">
        <v>1200</v>
      </c>
      <c r="R649" s="29">
        <f t="shared" ref="R649:R712" si="51">IF(O649=0, 0, SQRT(Q649^2+P649^2)/O649)</f>
        <v>3329.6403995493893</v>
      </c>
      <c r="S649" s="20">
        <v>120</v>
      </c>
      <c r="T649" s="18">
        <v>45627</v>
      </c>
      <c r="U649" s="20">
        <v>2</v>
      </c>
      <c r="V649" s="120">
        <v>6.5000000000000002E-2</v>
      </c>
      <c r="W649" s="69">
        <f t="shared" ref="W649:W712" si="52">V649*X649</f>
        <v>4.2250000000000005</v>
      </c>
      <c r="X649" s="106">
        <v>65</v>
      </c>
      <c r="Y649" s="72" t="str">
        <f t="shared" ref="Y649:Y712" si="53">D649&amp;"_"&amp;E649&amp;"_"&amp;L649&amp;"_"&amp;H649</f>
        <v>AR_2024_2x SiOLED_One</v>
      </c>
      <c r="Z649" s="36" t="str">
        <f t="shared" ref="Z649:Z712" si="54">D649&amp;"_"&amp;E649&amp;"_"&amp;L649</f>
        <v>AR_2024_2x SiOLED</v>
      </c>
    </row>
    <row r="650" spans="3:26">
      <c r="C650" s="17">
        <v>642</v>
      </c>
      <c r="D650" s="109" t="s">
        <v>129</v>
      </c>
      <c r="E650" s="20" t="s">
        <v>13</v>
      </c>
      <c r="F650" s="20" t="s">
        <v>182</v>
      </c>
      <c r="G650" s="21" t="s">
        <v>186</v>
      </c>
      <c r="H650" s="21" t="s">
        <v>201</v>
      </c>
      <c r="I650" s="19" t="s">
        <v>63</v>
      </c>
      <c r="J650" s="19" t="s">
        <v>27</v>
      </c>
      <c r="K650" s="21" t="s">
        <v>51</v>
      </c>
      <c r="L650" s="33" t="str">
        <f t="shared" si="50"/>
        <v>2x SiOLED</v>
      </c>
      <c r="M650" s="21" t="s">
        <v>6</v>
      </c>
      <c r="N650" s="21"/>
      <c r="O650" s="27">
        <v>0.55000000000000004</v>
      </c>
      <c r="P650" s="20">
        <v>1920</v>
      </c>
      <c r="Q650" s="20">
        <v>1080</v>
      </c>
      <c r="R650" s="29">
        <f t="shared" si="51"/>
        <v>4005.2857637859966</v>
      </c>
      <c r="S650" s="20">
        <v>120</v>
      </c>
      <c r="T650" s="18">
        <v>45627</v>
      </c>
      <c r="U650" s="20">
        <v>2</v>
      </c>
      <c r="V650" s="120">
        <v>5.0000000000000001E-3</v>
      </c>
      <c r="W650" s="69">
        <f t="shared" si="52"/>
        <v>0.27500000000000002</v>
      </c>
      <c r="X650" s="106">
        <v>55</v>
      </c>
      <c r="Y650" s="72" t="str">
        <f t="shared" si="53"/>
        <v>AR_2024_2x SiOLED_One Pro</v>
      </c>
      <c r="Z650" s="36" t="str">
        <f t="shared" si="54"/>
        <v>AR_2024_2x SiOLED</v>
      </c>
    </row>
    <row r="651" spans="3:26">
      <c r="C651" s="17">
        <v>643</v>
      </c>
      <c r="D651" s="109" t="s">
        <v>129</v>
      </c>
      <c r="E651" s="20" t="s">
        <v>13</v>
      </c>
      <c r="F651" s="20" t="s">
        <v>182</v>
      </c>
      <c r="G651" s="21" t="s">
        <v>194</v>
      </c>
      <c r="H651" s="21" t="s">
        <v>195</v>
      </c>
      <c r="I651" s="19" t="s">
        <v>63</v>
      </c>
      <c r="J651" s="19" t="s">
        <v>27</v>
      </c>
      <c r="K651" s="21" t="s">
        <v>120</v>
      </c>
      <c r="L651" s="33" t="str">
        <f t="shared" si="50"/>
        <v>2x MicroLED</v>
      </c>
      <c r="M651" s="21" t="s">
        <v>144</v>
      </c>
      <c r="N651" s="21"/>
      <c r="O651" s="27">
        <v>0.13</v>
      </c>
      <c r="P651" s="20">
        <v>640</v>
      </c>
      <c r="Q651" s="20">
        <v>480</v>
      </c>
      <c r="R651" s="29">
        <f t="shared" si="51"/>
        <v>6153.8461538461534</v>
      </c>
      <c r="S651" s="20" t="s">
        <v>36</v>
      </c>
      <c r="T651" s="18">
        <v>45566</v>
      </c>
      <c r="U651" s="20">
        <v>2</v>
      </c>
      <c r="V651" s="120">
        <v>1.4999999999999999E-2</v>
      </c>
      <c r="W651" s="69">
        <f t="shared" si="52"/>
        <v>1.0458132319199998</v>
      </c>
      <c r="X651" s="106">
        <v>69.720882127999985</v>
      </c>
      <c r="Y651" s="72" t="str">
        <f t="shared" si="53"/>
        <v>AR_2024_2x MicroLED_G1</v>
      </c>
      <c r="Z651" s="36" t="str">
        <f t="shared" si="54"/>
        <v>AR_2024_2x MicroLED</v>
      </c>
    </row>
    <row r="652" spans="3:26">
      <c r="C652" s="17">
        <v>644</v>
      </c>
      <c r="D652" s="109" t="s">
        <v>129</v>
      </c>
      <c r="E652" s="20" t="s">
        <v>13</v>
      </c>
      <c r="F652" s="20" t="s">
        <v>182</v>
      </c>
      <c r="G652" s="21" t="s">
        <v>294</v>
      </c>
      <c r="H652" s="21" t="s">
        <v>198</v>
      </c>
      <c r="I652" s="19" t="s">
        <v>63</v>
      </c>
      <c r="J652" s="19" t="s">
        <v>27</v>
      </c>
      <c r="K652" s="21" t="s">
        <v>51</v>
      </c>
      <c r="L652" s="33" t="str">
        <f t="shared" si="50"/>
        <v>2x SiOLED</v>
      </c>
      <c r="M652" s="21" t="s">
        <v>116</v>
      </c>
      <c r="N652" s="21"/>
      <c r="O652" s="27">
        <v>0.6</v>
      </c>
      <c r="P652" s="20">
        <v>1920</v>
      </c>
      <c r="Q652" s="20">
        <v>1080</v>
      </c>
      <c r="R652" s="29">
        <f t="shared" si="51"/>
        <v>3671.5119501371641</v>
      </c>
      <c r="S652" s="20" t="s">
        <v>36</v>
      </c>
      <c r="T652" s="18">
        <v>45566</v>
      </c>
      <c r="U652" s="20">
        <v>2</v>
      </c>
      <c r="V652" s="120">
        <v>2.5000000000000001E-2</v>
      </c>
      <c r="W652" s="69">
        <f t="shared" si="52"/>
        <v>1.375</v>
      </c>
      <c r="X652" s="106">
        <v>55</v>
      </c>
      <c r="Y652" s="72" t="str">
        <f t="shared" si="53"/>
        <v>AR_2024_2x SiOLED_Air 3</v>
      </c>
      <c r="Z652" s="36" t="str">
        <f t="shared" si="54"/>
        <v>AR_2024_2x SiOLED</v>
      </c>
    </row>
    <row r="653" spans="3:26">
      <c r="C653" s="17">
        <v>645</v>
      </c>
      <c r="D653" s="109" t="s">
        <v>129</v>
      </c>
      <c r="E653" s="20" t="s">
        <v>13</v>
      </c>
      <c r="F653" s="20" t="s">
        <v>182</v>
      </c>
      <c r="G653" s="21" t="s">
        <v>68</v>
      </c>
      <c r="H653" s="21" t="s">
        <v>273</v>
      </c>
      <c r="I653" s="19" t="s">
        <v>63</v>
      </c>
      <c r="J653" s="19" t="s">
        <v>27</v>
      </c>
      <c r="K653" s="21" t="s">
        <v>120</v>
      </c>
      <c r="L653" s="33" t="str">
        <f t="shared" si="50"/>
        <v>1x MicroLED</v>
      </c>
      <c r="M653" s="21" t="s">
        <v>144</v>
      </c>
      <c r="N653" s="21"/>
      <c r="O653" s="27">
        <v>0.13</v>
      </c>
      <c r="P653" s="20">
        <v>640</v>
      </c>
      <c r="Q653" s="20">
        <v>480</v>
      </c>
      <c r="R653" s="29">
        <f t="shared" si="51"/>
        <v>6153.8461538461534</v>
      </c>
      <c r="S653" s="20" t="s">
        <v>36</v>
      </c>
      <c r="T653" s="18">
        <v>45597</v>
      </c>
      <c r="U653" s="20">
        <v>1</v>
      </c>
      <c r="V653" s="120">
        <v>5.0000000000000001E-4</v>
      </c>
      <c r="W653" s="69">
        <f t="shared" si="52"/>
        <v>3.4860441063999992E-2</v>
      </c>
      <c r="X653" s="106">
        <v>69.720882127999985</v>
      </c>
      <c r="Y653" s="72" t="str">
        <f t="shared" si="53"/>
        <v>AR_2024_1x MicroLED_Z100</v>
      </c>
      <c r="Z653" s="36" t="str">
        <f t="shared" si="54"/>
        <v>AR_2024_1x MicroLED</v>
      </c>
    </row>
    <row r="654" spans="3:26">
      <c r="C654" s="17">
        <v>646</v>
      </c>
      <c r="D654" s="109" t="s">
        <v>129</v>
      </c>
      <c r="E654" s="20" t="s">
        <v>13</v>
      </c>
      <c r="F654" s="20" t="s">
        <v>182</v>
      </c>
      <c r="G654" s="21" t="s">
        <v>77</v>
      </c>
      <c r="H654" s="21" t="s">
        <v>290</v>
      </c>
      <c r="I654" s="19" t="s">
        <v>63</v>
      </c>
      <c r="J654" s="19" t="s">
        <v>27</v>
      </c>
      <c r="K654" s="21" t="s">
        <v>51</v>
      </c>
      <c r="L654" s="33" t="str">
        <f t="shared" si="50"/>
        <v>2x SiOLED</v>
      </c>
      <c r="M654" s="21" t="s">
        <v>116</v>
      </c>
      <c r="N654" s="21"/>
      <c r="O654" s="27">
        <v>0.6</v>
      </c>
      <c r="P654" s="20">
        <v>1920</v>
      </c>
      <c r="Q654" s="20">
        <v>1080</v>
      </c>
      <c r="R654" s="29">
        <f t="shared" si="51"/>
        <v>3671.5119501371641</v>
      </c>
      <c r="S654" s="20">
        <v>120</v>
      </c>
      <c r="T654" s="18">
        <v>45689</v>
      </c>
      <c r="U654" s="20">
        <v>2</v>
      </c>
      <c r="V654" s="120">
        <v>2E-3</v>
      </c>
      <c r="W654" s="69">
        <f t="shared" si="52"/>
        <v>0.11</v>
      </c>
      <c r="X654" s="106">
        <v>55</v>
      </c>
      <c r="Y654" s="72" t="str">
        <f t="shared" si="53"/>
        <v>AR_2024_2x SiOLED_Lenovo Legion Glasses 2</v>
      </c>
      <c r="Z654" s="36" t="str">
        <f t="shared" si="54"/>
        <v>AR_2024_2x SiOLED</v>
      </c>
    </row>
    <row r="655" spans="3:26">
      <c r="C655" s="17">
        <v>647</v>
      </c>
      <c r="D655" s="109" t="s">
        <v>129</v>
      </c>
      <c r="E655" s="20" t="s">
        <v>13</v>
      </c>
      <c r="F655" s="20" t="s">
        <v>182</v>
      </c>
      <c r="G655" s="21" t="s">
        <v>189</v>
      </c>
      <c r="H655" s="21" t="s">
        <v>289</v>
      </c>
      <c r="I655" s="19" t="s">
        <v>63</v>
      </c>
      <c r="J655" s="19" t="s">
        <v>27</v>
      </c>
      <c r="K655" s="21" t="s">
        <v>120</v>
      </c>
      <c r="L655" s="33" t="str">
        <f t="shared" si="50"/>
        <v>1x MicroLED</v>
      </c>
      <c r="M655" s="21" t="s">
        <v>144</v>
      </c>
      <c r="N655" s="21"/>
      <c r="O655" s="27">
        <v>0.13</v>
      </c>
      <c r="P655" s="20">
        <v>640</v>
      </c>
      <c r="Q655" s="20">
        <v>480</v>
      </c>
      <c r="R655" s="29">
        <f t="shared" si="51"/>
        <v>6153.8461538461534</v>
      </c>
      <c r="S655" s="20" t="s">
        <v>36</v>
      </c>
      <c r="T655" s="18">
        <v>45597</v>
      </c>
      <c r="U655" s="20">
        <v>1</v>
      </c>
      <c r="V655" s="120">
        <v>0.01</v>
      </c>
      <c r="W655" s="69">
        <f t="shared" si="52"/>
        <v>0.69720882127999984</v>
      </c>
      <c r="X655" s="106">
        <v>69.720882127999985</v>
      </c>
      <c r="Y655" s="72" t="str">
        <f t="shared" si="53"/>
        <v>AR_2024_1x MicroLED_Meizu StarV Air 2</v>
      </c>
      <c r="Z655" s="36" t="str">
        <f t="shared" si="54"/>
        <v>AR_2024_1x MicroLED</v>
      </c>
    </row>
    <row r="656" spans="3:26">
      <c r="C656" s="17">
        <v>648</v>
      </c>
      <c r="D656" s="109" t="s">
        <v>129</v>
      </c>
      <c r="E656" s="20" t="s">
        <v>13</v>
      </c>
      <c r="F656" s="20" t="s">
        <v>182</v>
      </c>
      <c r="G656" s="21" t="s">
        <v>283</v>
      </c>
      <c r="H656" s="21" t="s">
        <v>284</v>
      </c>
      <c r="I656" s="19" t="s">
        <v>63</v>
      </c>
      <c r="J656" s="19" t="s">
        <v>27</v>
      </c>
      <c r="K656" s="21" t="s">
        <v>51</v>
      </c>
      <c r="L656" s="33" t="str">
        <f t="shared" si="50"/>
        <v>2x SiOLED</v>
      </c>
      <c r="M656" s="21" t="s">
        <v>6</v>
      </c>
      <c r="N656" s="21"/>
      <c r="O656" s="27">
        <v>0.55000000000000004</v>
      </c>
      <c r="P656" s="20">
        <v>1920</v>
      </c>
      <c r="Q656" s="20">
        <v>1080</v>
      </c>
      <c r="R656" s="29">
        <f t="shared" si="51"/>
        <v>4005.2857637859966</v>
      </c>
      <c r="S656" s="20">
        <v>120</v>
      </c>
      <c r="T656" s="18">
        <v>45444</v>
      </c>
      <c r="U656" s="20">
        <v>2</v>
      </c>
      <c r="V656" s="120">
        <v>0.01</v>
      </c>
      <c r="W656" s="69">
        <f t="shared" si="52"/>
        <v>0.55000000000000004</v>
      </c>
      <c r="X656" s="106">
        <v>55</v>
      </c>
      <c r="Y656" s="72" t="str">
        <f t="shared" si="53"/>
        <v>AR_2024_2x SiOLED_Viture Pro</v>
      </c>
      <c r="Z656" s="36" t="str">
        <f t="shared" si="54"/>
        <v>AR_2024_2x SiOLED</v>
      </c>
    </row>
    <row r="657" spans="3:26">
      <c r="C657" s="17">
        <v>649</v>
      </c>
      <c r="D657" s="109" t="s">
        <v>26</v>
      </c>
      <c r="E657" s="20" t="s">
        <v>14</v>
      </c>
      <c r="F657" s="20" t="s">
        <v>176</v>
      </c>
      <c r="G657" s="21" t="s">
        <v>164</v>
      </c>
      <c r="H657" s="21" t="s">
        <v>165</v>
      </c>
      <c r="I657" s="19" t="s">
        <v>26</v>
      </c>
      <c r="J657" s="19" t="s">
        <v>27</v>
      </c>
      <c r="K657" s="21" t="s">
        <v>51</v>
      </c>
      <c r="L657" s="33" t="str">
        <f t="shared" si="50"/>
        <v>2x SiOLED</v>
      </c>
      <c r="M657" s="21" t="s">
        <v>116</v>
      </c>
      <c r="N657" s="21"/>
      <c r="O657" s="27">
        <v>1.03</v>
      </c>
      <c r="P657" s="20">
        <v>2560</v>
      </c>
      <c r="Q657" s="20">
        <v>2560</v>
      </c>
      <c r="R657" s="29">
        <f t="shared" si="51"/>
        <v>3514.9385627913821</v>
      </c>
      <c r="S657" s="20">
        <v>90</v>
      </c>
      <c r="T657" s="18"/>
      <c r="U657" s="20">
        <v>2</v>
      </c>
      <c r="V657" s="120">
        <v>0.01</v>
      </c>
      <c r="W657" s="69">
        <f t="shared" si="52"/>
        <v>1.08</v>
      </c>
      <c r="X657" s="106">
        <v>108</v>
      </c>
      <c r="Y657" s="72" t="str">
        <f t="shared" si="53"/>
        <v>VR_2025_2x SiOLED_Beyond</v>
      </c>
      <c r="Z657" s="36" t="str">
        <f t="shared" si="54"/>
        <v>VR_2025_2x SiOLED</v>
      </c>
    </row>
    <row r="658" spans="3:26">
      <c r="C658" s="17">
        <v>650</v>
      </c>
      <c r="D658" s="109" t="s">
        <v>26</v>
      </c>
      <c r="E658" s="20" t="s">
        <v>14</v>
      </c>
      <c r="F658" s="20" t="s">
        <v>176</v>
      </c>
      <c r="G658" s="21" t="s">
        <v>112</v>
      </c>
      <c r="H658" s="21" t="s">
        <v>137</v>
      </c>
      <c r="I658" s="19" t="s">
        <v>26</v>
      </c>
      <c r="J658" s="19" t="s">
        <v>31</v>
      </c>
      <c r="K658" s="21" t="s">
        <v>15</v>
      </c>
      <c r="L658" s="33" t="str">
        <f t="shared" si="50"/>
        <v>2x LCD</v>
      </c>
      <c r="M658" s="21" t="s">
        <v>4</v>
      </c>
      <c r="N658" s="21" t="s">
        <v>2</v>
      </c>
      <c r="O658" s="27"/>
      <c r="P658" s="20"/>
      <c r="Q658" s="20"/>
      <c r="R658" s="29">
        <f t="shared" si="51"/>
        <v>0</v>
      </c>
      <c r="S658" s="20"/>
      <c r="T658" s="18">
        <v>45200</v>
      </c>
      <c r="U658" s="20">
        <v>2</v>
      </c>
      <c r="V658" s="120">
        <v>0.79200000000000004</v>
      </c>
      <c r="W658" s="69">
        <f t="shared" si="52"/>
        <v>28.063486625771525</v>
      </c>
      <c r="X658" s="106">
        <v>35.433695234560005</v>
      </c>
      <c r="Y658" s="72" t="str">
        <f t="shared" si="53"/>
        <v>VR_2025_2x LCD_Quest 3</v>
      </c>
      <c r="Z658" s="36" t="str">
        <f t="shared" si="54"/>
        <v>VR_2025_2x LCD</v>
      </c>
    </row>
    <row r="659" spans="3:26">
      <c r="C659" s="17">
        <v>651</v>
      </c>
      <c r="D659" s="109" t="s">
        <v>26</v>
      </c>
      <c r="E659" s="20" t="s">
        <v>14</v>
      </c>
      <c r="F659" s="20" t="s">
        <v>176</v>
      </c>
      <c r="G659" s="21" t="s">
        <v>110</v>
      </c>
      <c r="H659" s="21" t="s">
        <v>134</v>
      </c>
      <c r="I659" s="19" t="s">
        <v>26</v>
      </c>
      <c r="J659" s="19" t="s">
        <v>31</v>
      </c>
      <c r="K659" s="21" t="s">
        <v>15</v>
      </c>
      <c r="L659" s="33" t="str">
        <f t="shared" si="50"/>
        <v>2x LCD</v>
      </c>
      <c r="M659" s="21" t="s">
        <v>146</v>
      </c>
      <c r="N659" s="21"/>
      <c r="O659" s="27">
        <v>2.56</v>
      </c>
      <c r="P659" s="20">
        <v>2160</v>
      </c>
      <c r="Q659" s="20">
        <v>2160</v>
      </c>
      <c r="R659" s="29">
        <f t="shared" si="51"/>
        <v>1193.242693252299</v>
      </c>
      <c r="S659" s="20">
        <v>90</v>
      </c>
      <c r="T659" s="18">
        <v>44805</v>
      </c>
      <c r="U659" s="20">
        <v>2</v>
      </c>
      <c r="V659" s="120">
        <v>0.15</v>
      </c>
      <c r="W659" s="69">
        <f t="shared" si="52"/>
        <v>5.3150542851840008</v>
      </c>
      <c r="X659" s="106">
        <v>35.433695234560005</v>
      </c>
      <c r="Y659" s="72" t="str">
        <f t="shared" si="53"/>
        <v>VR_2025_2x LCD_Pico 4</v>
      </c>
      <c r="Z659" s="36" t="str">
        <f t="shared" si="54"/>
        <v>VR_2025_2x LCD</v>
      </c>
    </row>
    <row r="660" spans="3:26">
      <c r="C660" s="17">
        <v>652</v>
      </c>
      <c r="D660" s="109" t="s">
        <v>26</v>
      </c>
      <c r="E660" s="20" t="s">
        <v>14</v>
      </c>
      <c r="F660" s="20" t="s">
        <v>176</v>
      </c>
      <c r="G660" s="21" t="s">
        <v>180</v>
      </c>
      <c r="H660" s="21" t="s">
        <v>184</v>
      </c>
      <c r="I660" s="19" t="s">
        <v>26</v>
      </c>
      <c r="J660" s="19" t="s">
        <v>27</v>
      </c>
      <c r="K660" s="21" t="s">
        <v>15</v>
      </c>
      <c r="L660" s="33" t="str">
        <f t="shared" si="50"/>
        <v>2x LCD</v>
      </c>
      <c r="M660" s="21" t="s">
        <v>301</v>
      </c>
      <c r="N660" s="21"/>
      <c r="O660" s="27">
        <v>3.59</v>
      </c>
      <c r="P660" s="20">
        <v>3840</v>
      </c>
      <c r="Q660" s="20">
        <v>3744</v>
      </c>
      <c r="R660" s="29">
        <f t="shared" si="51"/>
        <v>1493.9073665208787</v>
      </c>
      <c r="S660" s="20">
        <v>90</v>
      </c>
      <c r="T660" s="18">
        <v>45261</v>
      </c>
      <c r="U660" s="20">
        <v>2</v>
      </c>
      <c r="V660" s="120">
        <v>1E-3</v>
      </c>
      <c r="W660" s="69">
        <f t="shared" si="52"/>
        <v>5.5E-2</v>
      </c>
      <c r="X660" s="106">
        <v>55</v>
      </c>
      <c r="Y660" s="72" t="str">
        <f t="shared" si="53"/>
        <v>VR_2025_2x LCD_XR-4</v>
      </c>
      <c r="Z660" s="36" t="str">
        <f t="shared" si="54"/>
        <v>VR_2025_2x LCD</v>
      </c>
    </row>
    <row r="661" spans="3:26">
      <c r="C661" s="17">
        <v>653</v>
      </c>
      <c r="D661" s="109" t="s">
        <v>26</v>
      </c>
      <c r="E661" s="20" t="s">
        <v>14</v>
      </c>
      <c r="F661" s="20" t="s">
        <v>176</v>
      </c>
      <c r="G661" s="21" t="s">
        <v>112</v>
      </c>
      <c r="H661" s="21" t="s">
        <v>196</v>
      </c>
      <c r="I661" s="19" t="s">
        <v>26</v>
      </c>
      <c r="J661" s="19" t="s">
        <v>31</v>
      </c>
      <c r="K661" s="21" t="s">
        <v>15</v>
      </c>
      <c r="L661" s="33" t="str">
        <f t="shared" si="50"/>
        <v>1x LCD</v>
      </c>
      <c r="M661" s="21" t="s">
        <v>2</v>
      </c>
      <c r="N661" s="21" t="s">
        <v>4</v>
      </c>
      <c r="O661" s="27">
        <v>5.5</v>
      </c>
      <c r="P661" s="20">
        <v>3840</v>
      </c>
      <c r="Q661" s="20">
        <v>1832</v>
      </c>
      <c r="R661" s="29">
        <f t="shared" si="51"/>
        <v>773.56797048396322</v>
      </c>
      <c r="S661" s="20">
        <v>120</v>
      </c>
      <c r="T661" s="18">
        <v>45566</v>
      </c>
      <c r="U661" s="20">
        <v>1</v>
      </c>
      <c r="V661" s="120">
        <v>1.2</v>
      </c>
      <c r="W661" s="69">
        <f t="shared" si="52"/>
        <v>64.8</v>
      </c>
      <c r="X661" s="106">
        <v>54</v>
      </c>
      <c r="Y661" s="72" t="str">
        <f t="shared" si="53"/>
        <v>VR_2025_1x LCD_Quest 3S</v>
      </c>
      <c r="Z661" s="36" t="str">
        <f t="shared" si="54"/>
        <v>VR_2025_1x LCD</v>
      </c>
    </row>
    <row r="662" spans="3:26">
      <c r="C662" s="17">
        <v>654</v>
      </c>
      <c r="D662" s="109" t="s">
        <v>26</v>
      </c>
      <c r="E662" s="20" t="s">
        <v>14</v>
      </c>
      <c r="F662" s="20" t="s">
        <v>176</v>
      </c>
      <c r="G662" s="21" t="s">
        <v>274</v>
      </c>
      <c r="H662" s="21" t="s">
        <v>275</v>
      </c>
      <c r="I662" s="19" t="s">
        <v>26</v>
      </c>
      <c r="J662" s="19" t="s">
        <v>27</v>
      </c>
      <c r="K662" s="21" t="s">
        <v>15</v>
      </c>
      <c r="L662" s="33" t="str">
        <f t="shared" si="50"/>
        <v>2x LCD</v>
      </c>
      <c r="M662" s="21" t="s">
        <v>145</v>
      </c>
      <c r="N662" s="21"/>
      <c r="O662" s="27">
        <v>3.2</v>
      </c>
      <c r="P662" s="20">
        <v>2880</v>
      </c>
      <c r="Q662" s="20">
        <v>2880</v>
      </c>
      <c r="R662" s="29">
        <f t="shared" si="51"/>
        <v>1272.7922061357856</v>
      </c>
      <c r="S662" s="20">
        <v>120</v>
      </c>
      <c r="T662" s="18">
        <v>45474</v>
      </c>
      <c r="U662" s="20">
        <v>2</v>
      </c>
      <c r="V662" s="120">
        <v>1.5E-3</v>
      </c>
      <c r="W662" s="69">
        <f t="shared" si="52"/>
        <v>8.2500000000000004E-2</v>
      </c>
      <c r="X662" s="106">
        <v>55</v>
      </c>
      <c r="Y662" s="72" t="str">
        <f t="shared" si="53"/>
        <v>VR_2025_2x LCD_VR1</v>
      </c>
      <c r="Z662" s="36" t="str">
        <f t="shared" si="54"/>
        <v>VR_2025_2x LCD</v>
      </c>
    </row>
    <row r="663" spans="3:26">
      <c r="C663" s="17">
        <v>655</v>
      </c>
      <c r="D663" s="109" t="s">
        <v>26</v>
      </c>
      <c r="E663" s="20" t="s">
        <v>14</v>
      </c>
      <c r="F663" s="20" t="s">
        <v>176</v>
      </c>
      <c r="G663" s="21" t="s">
        <v>139</v>
      </c>
      <c r="H663" s="21" t="s">
        <v>278</v>
      </c>
      <c r="I663" s="19" t="s">
        <v>26</v>
      </c>
      <c r="J663" s="19" t="s">
        <v>27</v>
      </c>
      <c r="K663" s="21" t="s">
        <v>51</v>
      </c>
      <c r="L663" s="33" t="str">
        <f t="shared" si="50"/>
        <v>2x SiOLED</v>
      </c>
      <c r="M663" s="21" t="s">
        <v>145</v>
      </c>
      <c r="N663" s="21"/>
      <c r="O663" s="27">
        <v>1.35</v>
      </c>
      <c r="P663" s="20">
        <v>3552</v>
      </c>
      <c r="Q663" s="20">
        <v>3840</v>
      </c>
      <c r="R663" s="29">
        <f t="shared" si="51"/>
        <v>3874.7399753458562</v>
      </c>
      <c r="S663" s="20">
        <v>90</v>
      </c>
      <c r="T663" s="18">
        <v>45597</v>
      </c>
      <c r="U663" s="20">
        <v>2</v>
      </c>
      <c r="V663" s="120">
        <v>5.0000000000000001E-4</v>
      </c>
      <c r="W663" s="69">
        <f t="shared" si="52"/>
        <v>7.0000000000000007E-2</v>
      </c>
      <c r="X663" s="106">
        <v>140</v>
      </c>
      <c r="Y663" s="72" t="str">
        <f t="shared" si="53"/>
        <v>VR_2025_2x SiOLED_MeganeX Superlight 8K</v>
      </c>
      <c r="Z663" s="36" t="str">
        <f t="shared" si="54"/>
        <v>VR_2025_2x SiOLED</v>
      </c>
    </row>
    <row r="664" spans="3:26">
      <c r="C664" s="17">
        <v>656</v>
      </c>
      <c r="D664" s="109" t="s">
        <v>129</v>
      </c>
      <c r="E664" s="20" t="s">
        <v>14</v>
      </c>
      <c r="F664" s="20" t="s">
        <v>176</v>
      </c>
      <c r="G664" s="21" t="s">
        <v>97</v>
      </c>
      <c r="H664" s="21" t="s">
        <v>76</v>
      </c>
      <c r="I664" s="19" t="s">
        <v>63</v>
      </c>
      <c r="J664" s="19" t="s">
        <v>36</v>
      </c>
      <c r="K664" s="21" t="s">
        <v>70</v>
      </c>
      <c r="L664" s="33" t="str">
        <f t="shared" si="50"/>
        <v>1x DLP</v>
      </c>
      <c r="M664" s="21" t="s">
        <v>36</v>
      </c>
      <c r="N664" s="21"/>
      <c r="O664" s="27"/>
      <c r="P664" s="20"/>
      <c r="Q664" s="20"/>
      <c r="R664" s="29">
        <f t="shared" si="51"/>
        <v>0</v>
      </c>
      <c r="S664" s="20" t="s">
        <v>36</v>
      </c>
      <c r="T664" s="18" t="s">
        <v>143</v>
      </c>
      <c r="U664" s="20">
        <v>1</v>
      </c>
      <c r="V664" s="120">
        <v>1.1E-4</v>
      </c>
      <c r="W664" s="69">
        <f t="shared" si="52"/>
        <v>8.5957137640311296E-3</v>
      </c>
      <c r="X664" s="106">
        <v>78.14285240028299</v>
      </c>
      <c r="Y664" s="72" t="str">
        <f t="shared" si="53"/>
        <v>AR_2025_1x DLP_DLP glasses</v>
      </c>
      <c r="Z664" s="36" t="str">
        <f t="shared" si="54"/>
        <v>AR_2025_1x DLP</v>
      </c>
    </row>
    <row r="665" spans="3:26">
      <c r="C665" s="17">
        <v>657</v>
      </c>
      <c r="D665" s="109" t="s">
        <v>129</v>
      </c>
      <c r="E665" s="20" t="s">
        <v>14</v>
      </c>
      <c r="F665" s="20" t="s">
        <v>176</v>
      </c>
      <c r="G665" s="21" t="s">
        <v>97</v>
      </c>
      <c r="H665" s="21" t="s">
        <v>75</v>
      </c>
      <c r="I665" s="19" t="s">
        <v>63</v>
      </c>
      <c r="J665" s="19" t="s">
        <v>36</v>
      </c>
      <c r="K665" s="21" t="s">
        <v>67</v>
      </c>
      <c r="L665" s="33" t="str">
        <f t="shared" si="50"/>
        <v>2x LCoS</v>
      </c>
      <c r="M665" s="21" t="s">
        <v>36</v>
      </c>
      <c r="N665" s="21"/>
      <c r="O665" s="27"/>
      <c r="P665" s="20"/>
      <c r="Q665" s="20"/>
      <c r="R665" s="29">
        <f t="shared" si="51"/>
        <v>0</v>
      </c>
      <c r="S665" s="20" t="s">
        <v>36</v>
      </c>
      <c r="T665" s="18" t="s">
        <v>143</v>
      </c>
      <c r="U665" s="20">
        <v>2</v>
      </c>
      <c r="V665" s="120">
        <v>4.4000000000000003E-3</v>
      </c>
      <c r="W665" s="69">
        <f t="shared" si="52"/>
        <v>0.1905555822387624</v>
      </c>
      <c r="X665" s="106">
        <v>43.308086872445998</v>
      </c>
      <c r="Y665" s="72" t="str">
        <f t="shared" si="53"/>
        <v>AR_2025_2x LCoS_LCoS glasses</v>
      </c>
      <c r="Z665" s="36" t="str">
        <f t="shared" si="54"/>
        <v>AR_2025_2x LCoS</v>
      </c>
    </row>
    <row r="666" spans="3:26">
      <c r="C666" s="17">
        <v>658</v>
      </c>
      <c r="D666" s="109" t="s">
        <v>129</v>
      </c>
      <c r="E666" s="20" t="s">
        <v>14</v>
      </c>
      <c r="F666" s="20" t="s">
        <v>176</v>
      </c>
      <c r="G666" s="21" t="s">
        <v>97</v>
      </c>
      <c r="H666" s="21" t="s">
        <v>79</v>
      </c>
      <c r="I666" s="19" t="s">
        <v>63</v>
      </c>
      <c r="J666" s="19" t="s">
        <v>36</v>
      </c>
      <c r="K666" s="21" t="s">
        <v>51</v>
      </c>
      <c r="L666" s="33" t="str">
        <f t="shared" si="50"/>
        <v>2x SiOLED</v>
      </c>
      <c r="M666" s="21" t="s">
        <v>36</v>
      </c>
      <c r="N666" s="21"/>
      <c r="O666" s="27"/>
      <c r="P666" s="20"/>
      <c r="Q666" s="20"/>
      <c r="R666" s="29">
        <f t="shared" si="51"/>
        <v>0</v>
      </c>
      <c r="S666" s="20" t="s">
        <v>36</v>
      </c>
      <c r="T666" s="18" t="s">
        <v>143</v>
      </c>
      <c r="U666" s="20">
        <v>2</v>
      </c>
      <c r="V666" s="120">
        <v>2.1999999999999999E-2</v>
      </c>
      <c r="W666" s="69">
        <f t="shared" si="52"/>
        <v>1.21</v>
      </c>
      <c r="X666" s="106">
        <v>55</v>
      </c>
      <c r="Y666" s="72" t="str">
        <f t="shared" si="53"/>
        <v>AR_2025_2x SiOLED_SiOLED glasses</v>
      </c>
      <c r="Z666" s="36" t="str">
        <f t="shared" si="54"/>
        <v>AR_2025_2x SiOLED</v>
      </c>
    </row>
    <row r="667" spans="3:26">
      <c r="C667" s="17">
        <v>659</v>
      </c>
      <c r="D667" s="109" t="s">
        <v>129</v>
      </c>
      <c r="E667" s="20" t="s">
        <v>14</v>
      </c>
      <c r="F667" s="20" t="s">
        <v>176</v>
      </c>
      <c r="G667" s="21" t="s">
        <v>191</v>
      </c>
      <c r="H667" s="21" t="s">
        <v>197</v>
      </c>
      <c r="I667" s="19" t="s">
        <v>63</v>
      </c>
      <c r="J667" s="19" t="s">
        <v>31</v>
      </c>
      <c r="K667" s="21" t="s">
        <v>120</v>
      </c>
      <c r="L667" s="33" t="str">
        <f t="shared" si="50"/>
        <v>1x MicroLED</v>
      </c>
      <c r="M667" s="21" t="s">
        <v>144</v>
      </c>
      <c r="N667" s="21"/>
      <c r="O667" s="27">
        <v>0.13</v>
      </c>
      <c r="P667" s="20">
        <v>640</v>
      </c>
      <c r="Q667" s="20">
        <v>480</v>
      </c>
      <c r="R667" s="29">
        <f t="shared" si="51"/>
        <v>6153.8461538461534</v>
      </c>
      <c r="S667" s="20" t="s">
        <v>36</v>
      </c>
      <c r="T667" s="18">
        <v>45627</v>
      </c>
      <c r="U667" s="20">
        <v>1</v>
      </c>
      <c r="V667" s="120">
        <v>2E-3</v>
      </c>
      <c r="W667" s="69">
        <f t="shared" si="52"/>
        <v>0.13107525840063997</v>
      </c>
      <c r="X667" s="106">
        <v>65.537629200319984</v>
      </c>
      <c r="Y667" s="72" t="str">
        <f t="shared" si="53"/>
        <v>AR_2025_1x MicroLED_Go 2</v>
      </c>
      <c r="Z667" s="36" t="str">
        <f t="shared" si="54"/>
        <v>AR_2025_1x MicroLED</v>
      </c>
    </row>
    <row r="668" spans="3:26">
      <c r="C668" s="17">
        <v>660</v>
      </c>
      <c r="D668" s="109" t="s">
        <v>129</v>
      </c>
      <c r="E668" s="20" t="s">
        <v>14</v>
      </c>
      <c r="F668" s="20" t="s">
        <v>176</v>
      </c>
      <c r="G668" s="21" t="s">
        <v>132</v>
      </c>
      <c r="H668" s="21" t="s">
        <v>199</v>
      </c>
      <c r="I668" s="19" t="s">
        <v>63</v>
      </c>
      <c r="J668" s="19" t="s">
        <v>27</v>
      </c>
      <c r="K668" s="21" t="s">
        <v>120</v>
      </c>
      <c r="L668" s="33" t="str">
        <f t="shared" si="50"/>
        <v>1x MicroLED</v>
      </c>
      <c r="M668" s="21" t="s">
        <v>144</v>
      </c>
      <c r="N668" s="21"/>
      <c r="O668" s="27">
        <v>0.13</v>
      </c>
      <c r="P668" s="20">
        <v>640</v>
      </c>
      <c r="Q668" s="20">
        <v>480</v>
      </c>
      <c r="R668" s="29">
        <f t="shared" si="51"/>
        <v>6153.8461538461534</v>
      </c>
      <c r="S668" s="20" t="s">
        <v>36</v>
      </c>
      <c r="T668" s="18">
        <v>45627</v>
      </c>
      <c r="U668" s="20">
        <v>1</v>
      </c>
      <c r="V668" s="120">
        <v>3.5999999999999997E-2</v>
      </c>
      <c r="W668" s="69">
        <f t="shared" si="52"/>
        <v>2.3593546512115191</v>
      </c>
      <c r="X668" s="106">
        <v>65.537629200319984</v>
      </c>
      <c r="Y668" s="72" t="str">
        <f t="shared" si="53"/>
        <v>AR_2025_1x MicroLED_Glasses</v>
      </c>
      <c r="Z668" s="36" t="str">
        <f t="shared" si="54"/>
        <v>AR_2025_1x MicroLED</v>
      </c>
    </row>
    <row r="669" spans="3:26">
      <c r="C669" s="17">
        <v>661</v>
      </c>
      <c r="D669" s="109" t="s">
        <v>129</v>
      </c>
      <c r="E669" s="20" t="s">
        <v>14</v>
      </c>
      <c r="F669" s="20" t="s">
        <v>176</v>
      </c>
      <c r="G669" s="21" t="s">
        <v>186</v>
      </c>
      <c r="H669" s="21" t="s">
        <v>200</v>
      </c>
      <c r="I669" s="19" t="s">
        <v>63</v>
      </c>
      <c r="J669" s="19" t="s">
        <v>27</v>
      </c>
      <c r="K669" s="21" t="s">
        <v>51</v>
      </c>
      <c r="L669" s="33" t="str">
        <f t="shared" si="50"/>
        <v>2x SiOLED</v>
      </c>
      <c r="M669" s="21" t="s">
        <v>6</v>
      </c>
      <c r="N669" s="21"/>
      <c r="O669" s="27">
        <v>0.68</v>
      </c>
      <c r="P669" s="20">
        <v>1920</v>
      </c>
      <c r="Q669" s="20">
        <v>1200</v>
      </c>
      <c r="R669" s="29">
        <f t="shared" si="51"/>
        <v>3329.6403995493893</v>
      </c>
      <c r="S669" s="20">
        <v>120</v>
      </c>
      <c r="T669" s="18">
        <v>45627</v>
      </c>
      <c r="U669" s="20">
        <v>2</v>
      </c>
      <c r="V669" s="120">
        <v>0.08</v>
      </c>
      <c r="W669" s="69">
        <f t="shared" si="52"/>
        <v>4</v>
      </c>
      <c r="X669" s="106">
        <v>50</v>
      </c>
      <c r="Y669" s="72" t="str">
        <f t="shared" si="53"/>
        <v>AR_2025_2x SiOLED_One</v>
      </c>
      <c r="Z669" s="36" t="str">
        <f t="shared" si="54"/>
        <v>AR_2025_2x SiOLED</v>
      </c>
    </row>
    <row r="670" spans="3:26">
      <c r="C670" s="17">
        <v>662</v>
      </c>
      <c r="D670" s="109" t="s">
        <v>129</v>
      </c>
      <c r="E670" s="20" t="s">
        <v>14</v>
      </c>
      <c r="F670" s="20" t="s">
        <v>176</v>
      </c>
      <c r="G670" s="21" t="s">
        <v>186</v>
      </c>
      <c r="H670" s="21" t="s">
        <v>201</v>
      </c>
      <c r="I670" s="19" t="s">
        <v>63</v>
      </c>
      <c r="J670" s="19" t="s">
        <v>27</v>
      </c>
      <c r="K670" s="21" t="s">
        <v>51</v>
      </c>
      <c r="L670" s="33" t="str">
        <f t="shared" si="50"/>
        <v>2x SiOLED</v>
      </c>
      <c r="M670" s="21" t="s">
        <v>6</v>
      </c>
      <c r="N670" s="21"/>
      <c r="O670" s="27">
        <v>0.55000000000000004</v>
      </c>
      <c r="P670" s="20">
        <v>1920</v>
      </c>
      <c r="Q670" s="20">
        <v>1080</v>
      </c>
      <c r="R670" s="29">
        <f t="shared" si="51"/>
        <v>4005.2857637859966</v>
      </c>
      <c r="S670" s="20">
        <v>120</v>
      </c>
      <c r="T670" s="18">
        <v>45627</v>
      </c>
      <c r="U670" s="20">
        <v>2</v>
      </c>
      <c r="V670" s="120">
        <v>1.4E-2</v>
      </c>
      <c r="W670" s="69">
        <f t="shared" si="52"/>
        <v>0.75600000000000001</v>
      </c>
      <c r="X670" s="106">
        <v>54</v>
      </c>
      <c r="Y670" s="72" t="str">
        <f t="shared" si="53"/>
        <v>AR_2025_2x SiOLED_One Pro</v>
      </c>
      <c r="Z670" s="36" t="str">
        <f t="shared" si="54"/>
        <v>AR_2025_2x SiOLED</v>
      </c>
    </row>
    <row r="671" spans="3:26">
      <c r="C671" s="17">
        <v>663</v>
      </c>
      <c r="D671" s="109" t="s">
        <v>129</v>
      </c>
      <c r="E671" s="20" t="s">
        <v>14</v>
      </c>
      <c r="F671" s="20" t="s">
        <v>176</v>
      </c>
      <c r="G671" s="21" t="s">
        <v>194</v>
      </c>
      <c r="H671" s="21" t="s">
        <v>195</v>
      </c>
      <c r="I671" s="19" t="s">
        <v>63</v>
      </c>
      <c r="J671" s="19" t="s">
        <v>27</v>
      </c>
      <c r="K671" s="21" t="s">
        <v>120</v>
      </c>
      <c r="L671" s="33" t="str">
        <f t="shared" si="50"/>
        <v>2x MicroLED</v>
      </c>
      <c r="M671" s="21" t="s">
        <v>144</v>
      </c>
      <c r="N671" s="21"/>
      <c r="O671" s="27">
        <v>0.13</v>
      </c>
      <c r="P671" s="20">
        <v>640</v>
      </c>
      <c r="Q671" s="20">
        <v>480</v>
      </c>
      <c r="R671" s="29">
        <f t="shared" si="51"/>
        <v>6153.8461538461534</v>
      </c>
      <c r="S671" s="20" t="s">
        <v>36</v>
      </c>
      <c r="T671" s="18">
        <v>45566</v>
      </c>
      <c r="U671" s="20">
        <v>2</v>
      </c>
      <c r="V671" s="120">
        <v>0.03</v>
      </c>
      <c r="W671" s="69">
        <f t="shared" si="52"/>
        <v>1.9661288760095994</v>
      </c>
      <c r="X671" s="106">
        <v>65.537629200319984</v>
      </c>
      <c r="Y671" s="72" t="str">
        <f t="shared" si="53"/>
        <v>AR_2025_2x MicroLED_G1</v>
      </c>
      <c r="Z671" s="36" t="str">
        <f t="shared" si="54"/>
        <v>AR_2025_2x MicroLED</v>
      </c>
    </row>
    <row r="672" spans="3:26">
      <c r="C672" s="17">
        <v>664</v>
      </c>
      <c r="D672" s="109" t="s">
        <v>129</v>
      </c>
      <c r="E672" s="20" t="s">
        <v>14</v>
      </c>
      <c r="F672" s="20" t="s">
        <v>176</v>
      </c>
      <c r="G672" s="21" t="s">
        <v>294</v>
      </c>
      <c r="H672" s="21" t="s">
        <v>198</v>
      </c>
      <c r="I672" s="19" t="s">
        <v>63</v>
      </c>
      <c r="J672" s="19" t="s">
        <v>27</v>
      </c>
      <c r="K672" s="21" t="s">
        <v>51</v>
      </c>
      <c r="L672" s="33" t="str">
        <f t="shared" si="50"/>
        <v>2x SiOLED</v>
      </c>
      <c r="M672" s="21" t="s">
        <v>116</v>
      </c>
      <c r="N672" s="21"/>
      <c r="O672" s="27">
        <v>0.6</v>
      </c>
      <c r="P672" s="20">
        <v>1920</v>
      </c>
      <c r="Q672" s="20">
        <v>1080</v>
      </c>
      <c r="R672" s="29">
        <f t="shared" si="51"/>
        <v>3671.5119501371641</v>
      </c>
      <c r="S672" s="20" t="s">
        <v>36</v>
      </c>
      <c r="T672" s="18">
        <v>45566</v>
      </c>
      <c r="U672" s="20">
        <v>2</v>
      </c>
      <c r="V672" s="120">
        <v>0.06</v>
      </c>
      <c r="W672" s="69">
        <f t="shared" si="52"/>
        <v>2.88</v>
      </c>
      <c r="X672" s="106">
        <v>48</v>
      </c>
      <c r="Y672" s="72" t="str">
        <f t="shared" si="53"/>
        <v>AR_2025_2x SiOLED_Air 3</v>
      </c>
      <c r="Z672" s="36" t="str">
        <f t="shared" si="54"/>
        <v>AR_2025_2x SiOLED</v>
      </c>
    </row>
    <row r="673" spans="3:26">
      <c r="C673" s="17">
        <v>665</v>
      </c>
      <c r="D673" s="109" t="s">
        <v>129</v>
      </c>
      <c r="E673" s="20" t="s">
        <v>14</v>
      </c>
      <c r="F673" s="20" t="s">
        <v>176</v>
      </c>
      <c r="G673" s="21" t="s">
        <v>68</v>
      </c>
      <c r="H673" s="21" t="s">
        <v>273</v>
      </c>
      <c r="I673" s="19" t="s">
        <v>63</v>
      </c>
      <c r="J673" s="19" t="s">
        <v>27</v>
      </c>
      <c r="K673" s="21" t="s">
        <v>120</v>
      </c>
      <c r="L673" s="33" t="str">
        <f t="shared" si="50"/>
        <v>1x MicroLED</v>
      </c>
      <c r="M673" s="21" t="s">
        <v>144</v>
      </c>
      <c r="N673" s="21"/>
      <c r="O673" s="27">
        <v>0.13</v>
      </c>
      <c r="P673" s="20">
        <v>640</v>
      </c>
      <c r="Q673" s="20">
        <v>480</v>
      </c>
      <c r="R673" s="29">
        <f t="shared" si="51"/>
        <v>6153.8461538461534</v>
      </c>
      <c r="S673" s="20" t="s">
        <v>36</v>
      </c>
      <c r="T673" s="18">
        <v>45597</v>
      </c>
      <c r="U673" s="20">
        <v>1</v>
      </c>
      <c r="V673" s="120">
        <v>5.0000000000000001E-4</v>
      </c>
      <c r="W673" s="69">
        <f t="shared" si="52"/>
        <v>3.2768814600159991E-2</v>
      </c>
      <c r="X673" s="106">
        <v>65.537629200319984</v>
      </c>
      <c r="Y673" s="72" t="str">
        <f t="shared" si="53"/>
        <v>AR_2025_1x MicroLED_Z100</v>
      </c>
      <c r="Z673" s="36" t="str">
        <f t="shared" si="54"/>
        <v>AR_2025_1x MicroLED</v>
      </c>
    </row>
    <row r="674" spans="3:26">
      <c r="C674" s="17">
        <v>666</v>
      </c>
      <c r="D674" s="109" t="s">
        <v>129</v>
      </c>
      <c r="E674" s="20" t="s">
        <v>14</v>
      </c>
      <c r="F674" s="20" t="s">
        <v>176</v>
      </c>
      <c r="G674" s="21" t="s">
        <v>77</v>
      </c>
      <c r="H674" s="21" t="s">
        <v>290</v>
      </c>
      <c r="I674" s="19" t="s">
        <v>63</v>
      </c>
      <c r="J674" s="19" t="s">
        <v>27</v>
      </c>
      <c r="K674" s="21" t="s">
        <v>51</v>
      </c>
      <c r="L674" s="33" t="str">
        <f t="shared" si="50"/>
        <v>2x SiOLED</v>
      </c>
      <c r="M674" s="21" t="s">
        <v>116</v>
      </c>
      <c r="N674" s="21"/>
      <c r="O674" s="27">
        <v>0.6</v>
      </c>
      <c r="P674" s="20">
        <v>1920</v>
      </c>
      <c r="Q674" s="20">
        <v>1080</v>
      </c>
      <c r="R674" s="29">
        <f t="shared" si="51"/>
        <v>3671.5119501371641</v>
      </c>
      <c r="S674" s="20">
        <v>120</v>
      </c>
      <c r="T674" s="18">
        <v>45689</v>
      </c>
      <c r="U674" s="20">
        <v>2</v>
      </c>
      <c r="V674" s="120">
        <v>4.0000000000000001E-3</v>
      </c>
      <c r="W674" s="69">
        <f t="shared" si="52"/>
        <v>0.192</v>
      </c>
      <c r="X674" s="106">
        <v>48</v>
      </c>
      <c r="Y674" s="72" t="str">
        <f t="shared" si="53"/>
        <v>AR_2025_2x SiOLED_Lenovo Legion Glasses 2</v>
      </c>
      <c r="Z674" s="36" t="str">
        <f t="shared" si="54"/>
        <v>AR_2025_2x SiOLED</v>
      </c>
    </row>
    <row r="675" spans="3:26">
      <c r="C675" s="17">
        <v>667</v>
      </c>
      <c r="D675" s="109" t="s">
        <v>129</v>
      </c>
      <c r="E675" s="20" t="s">
        <v>14</v>
      </c>
      <c r="F675" s="20" t="s">
        <v>176</v>
      </c>
      <c r="G675" s="21" t="s">
        <v>189</v>
      </c>
      <c r="H675" s="21" t="s">
        <v>285</v>
      </c>
      <c r="I675" s="19" t="s">
        <v>63</v>
      </c>
      <c r="J675" s="19" t="s">
        <v>27</v>
      </c>
      <c r="K675" s="21" t="s">
        <v>51</v>
      </c>
      <c r="L675" s="33" t="str">
        <f t="shared" si="50"/>
        <v>2x SiOLED</v>
      </c>
      <c r="M675" s="21" t="s">
        <v>6</v>
      </c>
      <c r="N675" s="21"/>
      <c r="O675" s="27">
        <v>0.55000000000000004</v>
      </c>
      <c r="P675" s="20">
        <v>1920</v>
      </c>
      <c r="Q675" s="20">
        <v>1080</v>
      </c>
      <c r="R675" s="29">
        <f t="shared" si="51"/>
        <v>4005.2857637859966</v>
      </c>
      <c r="S675" s="20">
        <v>120</v>
      </c>
      <c r="T675" s="18">
        <v>45536</v>
      </c>
      <c r="U675" s="20">
        <v>2</v>
      </c>
      <c r="V675" s="120">
        <v>8.0000000000000002E-3</v>
      </c>
      <c r="W675" s="69">
        <f t="shared" si="52"/>
        <v>0.432</v>
      </c>
      <c r="X675" s="106">
        <v>54</v>
      </c>
      <c r="Y675" s="72" t="str">
        <f t="shared" si="53"/>
        <v>AR_2025_2x SiOLED_Meizu StarV View</v>
      </c>
      <c r="Z675" s="36" t="str">
        <f t="shared" si="54"/>
        <v>AR_2025_2x SiOLED</v>
      </c>
    </row>
    <row r="676" spans="3:26">
      <c r="C676" s="17">
        <v>668</v>
      </c>
      <c r="D676" s="109" t="s">
        <v>129</v>
      </c>
      <c r="E676" s="20" t="s">
        <v>14</v>
      </c>
      <c r="F676" s="20" t="s">
        <v>176</v>
      </c>
      <c r="G676" s="21" t="s">
        <v>189</v>
      </c>
      <c r="H676" s="21" t="s">
        <v>289</v>
      </c>
      <c r="I676" s="19" t="s">
        <v>63</v>
      </c>
      <c r="J676" s="19" t="s">
        <v>27</v>
      </c>
      <c r="K676" s="21" t="s">
        <v>120</v>
      </c>
      <c r="L676" s="33" t="str">
        <f t="shared" si="50"/>
        <v>1x MicroLED</v>
      </c>
      <c r="M676" s="21" t="s">
        <v>144</v>
      </c>
      <c r="N676" s="21"/>
      <c r="O676" s="27">
        <v>0.13</v>
      </c>
      <c r="P676" s="20">
        <v>640</v>
      </c>
      <c r="Q676" s="20">
        <v>480</v>
      </c>
      <c r="R676" s="29">
        <f t="shared" si="51"/>
        <v>6153.8461538461534</v>
      </c>
      <c r="S676" s="20" t="s">
        <v>36</v>
      </c>
      <c r="T676" s="18">
        <v>45597</v>
      </c>
      <c r="U676" s="20">
        <v>1</v>
      </c>
      <c r="V676" s="120">
        <v>0.01</v>
      </c>
      <c r="W676" s="69">
        <f t="shared" si="52"/>
        <v>0.6553762920031998</v>
      </c>
      <c r="X676" s="106">
        <v>65.537629200319984</v>
      </c>
      <c r="Y676" s="72" t="str">
        <f t="shared" si="53"/>
        <v>AR_2025_1x MicroLED_Meizu StarV Air 2</v>
      </c>
      <c r="Z676" s="36" t="str">
        <f t="shared" si="54"/>
        <v>AR_2025_1x MicroLED</v>
      </c>
    </row>
    <row r="677" spans="3:26">
      <c r="C677" s="17">
        <v>669</v>
      </c>
      <c r="D677" s="109" t="s">
        <v>129</v>
      </c>
      <c r="E677" s="20" t="s">
        <v>14</v>
      </c>
      <c r="F677" s="20" t="s">
        <v>176</v>
      </c>
      <c r="G677" s="21" t="s">
        <v>283</v>
      </c>
      <c r="H677" s="21" t="s">
        <v>284</v>
      </c>
      <c r="I677" s="19" t="s">
        <v>63</v>
      </c>
      <c r="J677" s="19" t="s">
        <v>27</v>
      </c>
      <c r="K677" s="21" t="s">
        <v>51</v>
      </c>
      <c r="L677" s="33" t="str">
        <f t="shared" si="50"/>
        <v>2x SiOLED</v>
      </c>
      <c r="M677" s="21" t="s">
        <v>6</v>
      </c>
      <c r="N677" s="21"/>
      <c r="O677" s="27">
        <v>0.55000000000000004</v>
      </c>
      <c r="P677" s="20">
        <v>1920</v>
      </c>
      <c r="Q677" s="20">
        <v>1080</v>
      </c>
      <c r="R677" s="29">
        <f t="shared" si="51"/>
        <v>4005.2857637859966</v>
      </c>
      <c r="S677" s="20">
        <v>120</v>
      </c>
      <c r="T677" s="18">
        <v>45444</v>
      </c>
      <c r="U677" s="20">
        <v>2</v>
      </c>
      <c r="V677" s="120">
        <v>1.2E-2</v>
      </c>
      <c r="W677" s="69">
        <f t="shared" si="52"/>
        <v>0.64800000000000002</v>
      </c>
      <c r="X677" s="106">
        <v>54</v>
      </c>
      <c r="Y677" s="72" t="str">
        <f t="shared" si="53"/>
        <v>AR_2025_2x SiOLED_Viture Pro</v>
      </c>
      <c r="Z677" s="36" t="str">
        <f t="shared" si="54"/>
        <v>AR_2025_2x SiOLED</v>
      </c>
    </row>
    <row r="678" spans="3:26">
      <c r="C678" s="17">
        <v>670</v>
      </c>
      <c r="D678" s="109" t="s">
        <v>129</v>
      </c>
      <c r="E678" s="20" t="s">
        <v>14</v>
      </c>
      <c r="F678" s="20" t="s">
        <v>176</v>
      </c>
      <c r="G678" s="21" t="s">
        <v>294</v>
      </c>
      <c r="H678" s="21" t="s">
        <v>295</v>
      </c>
      <c r="I678" s="19" t="s">
        <v>63</v>
      </c>
      <c r="J678" s="19" t="s">
        <v>27</v>
      </c>
      <c r="K678" s="21" t="s">
        <v>51</v>
      </c>
      <c r="L678" s="33" t="str">
        <f t="shared" si="50"/>
        <v>2x SiOLED</v>
      </c>
      <c r="M678" s="21" t="s">
        <v>116</v>
      </c>
      <c r="N678" s="21"/>
      <c r="O678" s="27">
        <v>0.6</v>
      </c>
      <c r="P678" s="20">
        <v>1920</v>
      </c>
      <c r="Q678" s="20">
        <v>1080</v>
      </c>
      <c r="R678" s="29">
        <f t="shared" si="51"/>
        <v>3671.5119501371641</v>
      </c>
      <c r="S678" s="20" t="s">
        <v>36</v>
      </c>
      <c r="T678" s="18">
        <v>45870</v>
      </c>
      <c r="U678" s="20">
        <v>2</v>
      </c>
      <c r="V678" s="120">
        <v>0.02</v>
      </c>
      <c r="W678" s="69">
        <f t="shared" si="52"/>
        <v>0.96</v>
      </c>
      <c r="X678" s="106">
        <v>48</v>
      </c>
      <c r="Y678" s="72" t="str">
        <f t="shared" si="53"/>
        <v>AR_2025_2x SiOLED_Air 3s Pro</v>
      </c>
      <c r="Z678" s="36" t="str">
        <f t="shared" si="54"/>
        <v>AR_2025_2x SiOLED</v>
      </c>
    </row>
    <row r="679" spans="3:26">
      <c r="C679" s="17">
        <v>671</v>
      </c>
      <c r="D679" s="109" t="s">
        <v>129</v>
      </c>
      <c r="E679" s="20" t="s">
        <v>14</v>
      </c>
      <c r="F679" s="20" t="s">
        <v>176</v>
      </c>
      <c r="G679" s="21" t="s">
        <v>294</v>
      </c>
      <c r="H679" s="21" t="s">
        <v>296</v>
      </c>
      <c r="I679" s="19" t="s">
        <v>63</v>
      </c>
      <c r="J679" s="19" t="s">
        <v>27</v>
      </c>
      <c r="K679" s="21" t="s">
        <v>120</v>
      </c>
      <c r="L679" s="33" t="str">
        <f t="shared" si="50"/>
        <v>2x MicroLED</v>
      </c>
      <c r="M679" s="21" t="s">
        <v>144</v>
      </c>
      <c r="N679" s="21"/>
      <c r="O679" s="27">
        <v>0.13</v>
      </c>
      <c r="P679" s="20">
        <v>640</v>
      </c>
      <c r="Q679" s="20">
        <v>480</v>
      </c>
      <c r="R679" s="29">
        <f t="shared" si="51"/>
        <v>6153.8461538461534</v>
      </c>
      <c r="S679" s="20" t="s">
        <v>36</v>
      </c>
      <c r="T679" s="18">
        <v>45809</v>
      </c>
      <c r="U679" s="20">
        <v>2</v>
      </c>
      <c r="V679" s="120">
        <v>6.0000000000000001E-3</v>
      </c>
      <c r="W679" s="69">
        <f t="shared" si="52"/>
        <v>0.54</v>
      </c>
      <c r="X679" s="106">
        <v>90</v>
      </c>
      <c r="Y679" s="72" t="str">
        <f t="shared" si="53"/>
        <v>AR_2025_2x MicroLED_X3 Pro</v>
      </c>
      <c r="Z679" s="36" t="str">
        <f t="shared" si="54"/>
        <v>AR_2025_2x MicroLED</v>
      </c>
    </row>
    <row r="680" spans="3:26">
      <c r="C680" s="17">
        <v>672</v>
      </c>
      <c r="D680" s="109" t="s">
        <v>26</v>
      </c>
      <c r="E680" s="20" t="s">
        <v>14</v>
      </c>
      <c r="F680" s="20" t="s">
        <v>177</v>
      </c>
      <c r="G680" s="21" t="s">
        <v>164</v>
      </c>
      <c r="H680" s="21" t="s">
        <v>165</v>
      </c>
      <c r="I680" s="19" t="s">
        <v>26</v>
      </c>
      <c r="J680" s="19" t="s">
        <v>27</v>
      </c>
      <c r="K680" s="21" t="s">
        <v>51</v>
      </c>
      <c r="L680" s="33" t="str">
        <f t="shared" si="50"/>
        <v>2x SiOLED</v>
      </c>
      <c r="M680" s="21" t="s">
        <v>116</v>
      </c>
      <c r="N680" s="21"/>
      <c r="O680" s="27">
        <v>1.03</v>
      </c>
      <c r="P680" s="20">
        <v>2560</v>
      </c>
      <c r="Q680" s="20">
        <v>2560</v>
      </c>
      <c r="R680" s="29">
        <f t="shared" si="51"/>
        <v>3514.9385627913821</v>
      </c>
      <c r="S680" s="20">
        <v>90</v>
      </c>
      <c r="T680" s="18"/>
      <c r="U680" s="20">
        <v>2</v>
      </c>
      <c r="V680" s="120">
        <v>0.02</v>
      </c>
      <c r="W680" s="69">
        <f t="shared" si="52"/>
        <v>2.16</v>
      </c>
      <c r="X680" s="106">
        <v>108</v>
      </c>
      <c r="Y680" s="72" t="str">
        <f t="shared" si="53"/>
        <v>VR_2025_2x SiOLED_Beyond</v>
      </c>
      <c r="Z680" s="36" t="str">
        <f t="shared" si="54"/>
        <v>VR_2025_2x SiOLED</v>
      </c>
    </row>
    <row r="681" spans="3:26">
      <c r="C681" s="17">
        <v>673</v>
      </c>
      <c r="D681" s="109" t="s">
        <v>26</v>
      </c>
      <c r="E681" s="20" t="s">
        <v>14</v>
      </c>
      <c r="F681" s="20" t="s">
        <v>177</v>
      </c>
      <c r="G681" s="21" t="s">
        <v>112</v>
      </c>
      <c r="H681" s="21" t="s">
        <v>137</v>
      </c>
      <c r="I681" s="19" t="s">
        <v>26</v>
      </c>
      <c r="J681" s="19" t="s">
        <v>31</v>
      </c>
      <c r="K681" s="21" t="s">
        <v>15</v>
      </c>
      <c r="L681" s="33" t="str">
        <f t="shared" si="50"/>
        <v>2x LCD</v>
      </c>
      <c r="M681" s="21" t="s">
        <v>4</v>
      </c>
      <c r="N681" s="21" t="s">
        <v>2</v>
      </c>
      <c r="O681" s="27"/>
      <c r="P681" s="20"/>
      <c r="Q681" s="20"/>
      <c r="R681" s="29">
        <f t="shared" si="51"/>
        <v>0</v>
      </c>
      <c r="S681" s="20"/>
      <c r="T681" s="18">
        <v>45200</v>
      </c>
      <c r="U681" s="20">
        <v>2</v>
      </c>
      <c r="V681" s="120">
        <v>0.48</v>
      </c>
      <c r="W681" s="69">
        <f t="shared" si="52"/>
        <v>17.008173712588803</v>
      </c>
      <c r="X681" s="106">
        <v>35.433695234560005</v>
      </c>
      <c r="Y681" s="72" t="str">
        <f t="shared" si="53"/>
        <v>VR_2025_2x LCD_Quest 3</v>
      </c>
      <c r="Z681" s="36" t="str">
        <f t="shared" si="54"/>
        <v>VR_2025_2x LCD</v>
      </c>
    </row>
    <row r="682" spans="3:26">
      <c r="C682" s="17">
        <v>674</v>
      </c>
      <c r="D682" s="109" t="s">
        <v>26</v>
      </c>
      <c r="E682" s="20" t="s">
        <v>14</v>
      </c>
      <c r="F682" s="20" t="s">
        <v>177</v>
      </c>
      <c r="G682" s="21" t="s">
        <v>110</v>
      </c>
      <c r="H682" s="21" t="s">
        <v>134</v>
      </c>
      <c r="I682" s="19" t="s">
        <v>26</v>
      </c>
      <c r="J682" s="19" t="s">
        <v>31</v>
      </c>
      <c r="K682" s="21" t="s">
        <v>15</v>
      </c>
      <c r="L682" s="33" t="str">
        <f t="shared" si="50"/>
        <v>2x LCD</v>
      </c>
      <c r="M682" s="21" t="s">
        <v>146</v>
      </c>
      <c r="N682" s="21"/>
      <c r="O682" s="27">
        <v>2.56</v>
      </c>
      <c r="P682" s="20">
        <v>2160</v>
      </c>
      <c r="Q682" s="20">
        <v>2160</v>
      </c>
      <c r="R682" s="29">
        <f t="shared" si="51"/>
        <v>1193.242693252299</v>
      </c>
      <c r="S682" s="20">
        <v>90</v>
      </c>
      <c r="T682" s="18">
        <v>44805</v>
      </c>
      <c r="U682" s="20">
        <v>2</v>
      </c>
      <c r="V682" s="120">
        <v>0.15</v>
      </c>
      <c r="W682" s="69">
        <f t="shared" si="52"/>
        <v>5.3150542851840008</v>
      </c>
      <c r="X682" s="106">
        <v>35.433695234560005</v>
      </c>
      <c r="Y682" s="72" t="str">
        <f t="shared" si="53"/>
        <v>VR_2025_2x LCD_Pico 4</v>
      </c>
      <c r="Z682" s="36" t="str">
        <f t="shared" si="54"/>
        <v>VR_2025_2x LCD</v>
      </c>
    </row>
    <row r="683" spans="3:26">
      <c r="C683" s="17">
        <v>675</v>
      </c>
      <c r="D683" s="109" t="s">
        <v>26</v>
      </c>
      <c r="E683" s="20" t="s">
        <v>14</v>
      </c>
      <c r="F683" s="20" t="s">
        <v>177</v>
      </c>
      <c r="G683" s="21" t="s">
        <v>97</v>
      </c>
      <c r="H683" s="21" t="s">
        <v>111</v>
      </c>
      <c r="I683" s="19" t="s">
        <v>26</v>
      </c>
      <c r="J683" s="19" t="s">
        <v>36</v>
      </c>
      <c r="K683" s="21" t="s">
        <v>15</v>
      </c>
      <c r="L683" s="33" t="str">
        <f t="shared" si="50"/>
        <v>2x LCD</v>
      </c>
      <c r="M683" s="21" t="s">
        <v>36</v>
      </c>
      <c r="N683" s="21" t="s">
        <v>143</v>
      </c>
      <c r="O683" s="27"/>
      <c r="P683" s="20"/>
      <c r="Q683" s="20"/>
      <c r="R683" s="29">
        <f t="shared" si="51"/>
        <v>0</v>
      </c>
      <c r="S683" s="20" t="s">
        <v>36</v>
      </c>
      <c r="T683" s="18" t="s">
        <v>143</v>
      </c>
      <c r="U683" s="20">
        <v>2</v>
      </c>
      <c r="V683" s="120">
        <v>0.1</v>
      </c>
      <c r="W683" s="69">
        <f t="shared" si="52"/>
        <v>3.5433695234560005</v>
      </c>
      <c r="X683" s="106">
        <v>35.433695234560005</v>
      </c>
      <c r="Y683" s="72" t="str">
        <f t="shared" si="53"/>
        <v>VR_2025_2x LCD_Dual LCD VR headset</v>
      </c>
      <c r="Z683" s="36" t="str">
        <f t="shared" si="54"/>
        <v>VR_2025_2x LCD</v>
      </c>
    </row>
    <row r="684" spans="3:26">
      <c r="C684" s="17">
        <v>676</v>
      </c>
      <c r="D684" s="109" t="s">
        <v>26</v>
      </c>
      <c r="E684" s="20" t="s">
        <v>14</v>
      </c>
      <c r="F684" s="20" t="s">
        <v>177</v>
      </c>
      <c r="G684" s="21" t="s">
        <v>97</v>
      </c>
      <c r="H684" s="21" t="s">
        <v>161</v>
      </c>
      <c r="I684" s="19" t="s">
        <v>26</v>
      </c>
      <c r="J684" s="19" t="s">
        <v>36</v>
      </c>
      <c r="K684" s="21" t="s">
        <v>15</v>
      </c>
      <c r="L684" s="33" t="str">
        <f t="shared" si="50"/>
        <v>1x LCD</v>
      </c>
      <c r="M684" s="21" t="s">
        <v>36</v>
      </c>
      <c r="N684" s="21" t="s">
        <v>143</v>
      </c>
      <c r="O684" s="27"/>
      <c r="P684" s="20"/>
      <c r="Q684" s="20"/>
      <c r="R684" s="29">
        <f t="shared" si="51"/>
        <v>0</v>
      </c>
      <c r="S684" s="20" t="s">
        <v>36</v>
      </c>
      <c r="T684" s="18" t="s">
        <v>143</v>
      </c>
      <c r="U684" s="20">
        <v>1</v>
      </c>
      <c r="V684" s="120">
        <v>3.3000000000000002E-2</v>
      </c>
      <c r="W684" s="69">
        <f t="shared" si="52"/>
        <v>1.7490000000000001</v>
      </c>
      <c r="X684" s="106">
        <v>53</v>
      </c>
      <c r="Y684" s="72" t="str">
        <f t="shared" si="53"/>
        <v>VR_2025_1x LCD_Single LCD VR headset</v>
      </c>
      <c r="Z684" s="36" t="str">
        <f t="shared" si="54"/>
        <v>VR_2025_1x LCD</v>
      </c>
    </row>
    <row r="685" spans="3:26">
      <c r="C685" s="17">
        <v>677</v>
      </c>
      <c r="D685" s="109" t="s">
        <v>26</v>
      </c>
      <c r="E685" s="20" t="s">
        <v>14</v>
      </c>
      <c r="F685" s="20" t="s">
        <v>177</v>
      </c>
      <c r="G685" s="21" t="s">
        <v>112</v>
      </c>
      <c r="H685" s="21" t="s">
        <v>196</v>
      </c>
      <c r="I685" s="19" t="s">
        <v>26</v>
      </c>
      <c r="J685" s="19" t="s">
        <v>31</v>
      </c>
      <c r="K685" s="21" t="s">
        <v>15</v>
      </c>
      <c r="L685" s="33" t="str">
        <f t="shared" si="50"/>
        <v>1x LCD</v>
      </c>
      <c r="M685" s="21" t="s">
        <v>2</v>
      </c>
      <c r="N685" s="21" t="s">
        <v>4</v>
      </c>
      <c r="O685" s="27">
        <v>5.5</v>
      </c>
      <c r="P685" s="20">
        <v>3840</v>
      </c>
      <c r="Q685" s="20">
        <v>1832</v>
      </c>
      <c r="R685" s="29">
        <f t="shared" si="51"/>
        <v>773.56797048396322</v>
      </c>
      <c r="S685" s="20">
        <v>120</v>
      </c>
      <c r="T685" s="18">
        <v>45566</v>
      </c>
      <c r="U685" s="20">
        <v>1</v>
      </c>
      <c r="V685" s="120">
        <v>0.20399999999999999</v>
      </c>
      <c r="W685" s="69">
        <f t="shared" si="52"/>
        <v>11.016</v>
      </c>
      <c r="X685" s="106">
        <v>54</v>
      </c>
      <c r="Y685" s="72" t="str">
        <f t="shared" si="53"/>
        <v>VR_2025_1x LCD_Quest 3S</v>
      </c>
      <c r="Z685" s="36" t="str">
        <f t="shared" si="54"/>
        <v>VR_2025_1x LCD</v>
      </c>
    </row>
    <row r="686" spans="3:26">
      <c r="C686" s="17">
        <v>678</v>
      </c>
      <c r="D686" s="109" t="s">
        <v>26</v>
      </c>
      <c r="E686" s="20" t="s">
        <v>14</v>
      </c>
      <c r="F686" s="20" t="s">
        <v>177</v>
      </c>
      <c r="G686" s="21" t="s">
        <v>291</v>
      </c>
      <c r="H686" s="21" t="s">
        <v>297</v>
      </c>
      <c r="I686" s="19" t="s">
        <v>26</v>
      </c>
      <c r="J686" s="19" t="s">
        <v>31</v>
      </c>
      <c r="K686" s="21" t="s">
        <v>51</v>
      </c>
      <c r="L686" s="33" t="str">
        <f t="shared" si="50"/>
        <v>2x SiOLED</v>
      </c>
      <c r="M686" s="21" t="s">
        <v>6</v>
      </c>
      <c r="N686" s="21" t="s">
        <v>3</v>
      </c>
      <c r="O686" s="27">
        <v>1.3</v>
      </c>
      <c r="P686" s="20">
        <v>3552</v>
      </c>
      <c r="Q686" s="20">
        <v>3840</v>
      </c>
      <c r="R686" s="29">
        <f t="shared" si="51"/>
        <v>4023.7684359360815</v>
      </c>
      <c r="S686" s="20">
        <v>90</v>
      </c>
      <c r="T686" s="18">
        <v>45962</v>
      </c>
      <c r="U686" s="20">
        <v>2</v>
      </c>
      <c r="V686" s="120">
        <v>0.1</v>
      </c>
      <c r="W686" s="69">
        <f t="shared" si="52"/>
        <v>16</v>
      </c>
      <c r="X686" s="106">
        <v>160</v>
      </c>
      <c r="Y686" s="72" t="str">
        <f t="shared" si="53"/>
        <v>VR_2025_2x SiOLED_Galaxy XR</v>
      </c>
      <c r="Z686" s="36" t="str">
        <f t="shared" si="54"/>
        <v>VR_2025_2x SiOLED</v>
      </c>
    </row>
    <row r="687" spans="3:26">
      <c r="C687" s="17">
        <v>679</v>
      </c>
      <c r="D687" s="109" t="s">
        <v>129</v>
      </c>
      <c r="E687" s="20" t="s">
        <v>14</v>
      </c>
      <c r="F687" s="20" t="s">
        <v>177</v>
      </c>
      <c r="G687" s="21" t="s">
        <v>97</v>
      </c>
      <c r="H687" s="21" t="s">
        <v>76</v>
      </c>
      <c r="I687" s="19" t="s">
        <v>63</v>
      </c>
      <c r="J687" s="19" t="s">
        <v>36</v>
      </c>
      <c r="K687" s="21" t="s">
        <v>70</v>
      </c>
      <c r="L687" s="33" t="str">
        <f t="shared" si="50"/>
        <v>1x DLP</v>
      </c>
      <c r="M687" s="21" t="s">
        <v>36</v>
      </c>
      <c r="N687" s="21"/>
      <c r="O687" s="27"/>
      <c r="P687" s="20"/>
      <c r="Q687" s="20"/>
      <c r="R687" s="29">
        <f t="shared" si="51"/>
        <v>0</v>
      </c>
      <c r="S687" s="20" t="s">
        <v>36</v>
      </c>
      <c r="T687" s="18" t="s">
        <v>143</v>
      </c>
      <c r="U687" s="20">
        <v>1</v>
      </c>
      <c r="V687" s="120">
        <v>1.1E-4</v>
      </c>
      <c r="W687" s="69">
        <f t="shared" si="52"/>
        <v>8.5957137640311296E-3</v>
      </c>
      <c r="X687" s="106">
        <v>78.14285240028299</v>
      </c>
      <c r="Y687" s="72" t="str">
        <f t="shared" si="53"/>
        <v>AR_2025_1x DLP_DLP glasses</v>
      </c>
      <c r="Z687" s="36" t="str">
        <f t="shared" si="54"/>
        <v>AR_2025_1x DLP</v>
      </c>
    </row>
    <row r="688" spans="3:26">
      <c r="C688" s="17">
        <v>680</v>
      </c>
      <c r="D688" s="109" t="s">
        <v>129</v>
      </c>
      <c r="E688" s="20" t="s">
        <v>14</v>
      </c>
      <c r="F688" s="20" t="s">
        <v>177</v>
      </c>
      <c r="G688" s="21" t="s">
        <v>97</v>
      </c>
      <c r="H688" s="21" t="s">
        <v>75</v>
      </c>
      <c r="I688" s="19" t="s">
        <v>63</v>
      </c>
      <c r="J688" s="19" t="s">
        <v>36</v>
      </c>
      <c r="K688" s="21" t="s">
        <v>67</v>
      </c>
      <c r="L688" s="33" t="str">
        <f t="shared" si="50"/>
        <v>2x LCoS</v>
      </c>
      <c r="M688" s="21" t="s">
        <v>36</v>
      </c>
      <c r="N688" s="21"/>
      <c r="O688" s="27"/>
      <c r="P688" s="20"/>
      <c r="Q688" s="20"/>
      <c r="R688" s="29">
        <f t="shared" si="51"/>
        <v>0</v>
      </c>
      <c r="S688" s="20" t="s">
        <v>36</v>
      </c>
      <c r="T688" s="18" t="s">
        <v>143</v>
      </c>
      <c r="U688" s="20">
        <v>2</v>
      </c>
      <c r="V688" s="120">
        <v>4.4000000000000003E-3</v>
      </c>
      <c r="W688" s="69">
        <f t="shared" si="52"/>
        <v>0.1905555822387624</v>
      </c>
      <c r="X688" s="106">
        <v>43.308086872445998</v>
      </c>
      <c r="Y688" s="72" t="str">
        <f t="shared" si="53"/>
        <v>AR_2025_2x LCoS_LCoS glasses</v>
      </c>
      <c r="Z688" s="36" t="str">
        <f t="shared" si="54"/>
        <v>AR_2025_2x LCoS</v>
      </c>
    </row>
    <row r="689" spans="3:26">
      <c r="C689" s="17">
        <v>681</v>
      </c>
      <c r="D689" s="109" t="s">
        <v>129</v>
      </c>
      <c r="E689" s="20" t="s">
        <v>14</v>
      </c>
      <c r="F689" s="20" t="s">
        <v>177</v>
      </c>
      <c r="G689" s="21" t="s">
        <v>97</v>
      </c>
      <c r="H689" s="21" t="s">
        <v>121</v>
      </c>
      <c r="I689" s="19" t="s">
        <v>63</v>
      </c>
      <c r="J689" s="19" t="s">
        <v>36</v>
      </c>
      <c r="K689" s="21" t="s">
        <v>120</v>
      </c>
      <c r="L689" s="33" t="str">
        <f t="shared" si="50"/>
        <v>1x MicroLED</v>
      </c>
      <c r="M689" s="21" t="s">
        <v>36</v>
      </c>
      <c r="N689" s="21"/>
      <c r="O689" s="27"/>
      <c r="P689" s="20"/>
      <c r="Q689" s="20"/>
      <c r="R689" s="29">
        <f t="shared" si="51"/>
        <v>0</v>
      </c>
      <c r="S689" s="20" t="s">
        <v>36</v>
      </c>
      <c r="T689" s="18" t="s">
        <v>143</v>
      </c>
      <c r="U689" s="20">
        <v>1</v>
      </c>
      <c r="V689" s="120">
        <v>3.3E-3</v>
      </c>
      <c r="W689" s="69">
        <f t="shared" si="52"/>
        <v>0.21627417636105595</v>
      </c>
      <c r="X689" s="106">
        <v>65.537629200319984</v>
      </c>
      <c r="Y689" s="72" t="str">
        <f t="shared" si="53"/>
        <v>AR_2025_1x MicroLED_Monocular MicroLED</v>
      </c>
      <c r="Z689" s="36" t="str">
        <f t="shared" si="54"/>
        <v>AR_2025_1x MicroLED</v>
      </c>
    </row>
    <row r="690" spans="3:26">
      <c r="C690" s="17">
        <v>682</v>
      </c>
      <c r="D690" s="109" t="s">
        <v>129</v>
      </c>
      <c r="E690" s="20" t="s">
        <v>14</v>
      </c>
      <c r="F690" s="20" t="s">
        <v>177</v>
      </c>
      <c r="G690" s="21" t="s">
        <v>97</v>
      </c>
      <c r="H690" s="21" t="s">
        <v>79</v>
      </c>
      <c r="I690" s="19" t="s">
        <v>63</v>
      </c>
      <c r="J690" s="19" t="s">
        <v>36</v>
      </c>
      <c r="K690" s="21" t="s">
        <v>51</v>
      </c>
      <c r="L690" s="33" t="str">
        <f t="shared" si="50"/>
        <v>2x SiOLED</v>
      </c>
      <c r="M690" s="21" t="s">
        <v>36</v>
      </c>
      <c r="N690" s="21"/>
      <c r="O690" s="27"/>
      <c r="P690" s="20"/>
      <c r="Q690" s="20"/>
      <c r="R690" s="29">
        <f t="shared" si="51"/>
        <v>0</v>
      </c>
      <c r="S690" s="20" t="s">
        <v>36</v>
      </c>
      <c r="T690" s="18" t="s">
        <v>143</v>
      </c>
      <c r="U690" s="20">
        <v>2</v>
      </c>
      <c r="V690" s="120">
        <v>2.1999999999999999E-2</v>
      </c>
      <c r="W690" s="69">
        <f t="shared" si="52"/>
        <v>1.21</v>
      </c>
      <c r="X690" s="106">
        <v>55</v>
      </c>
      <c r="Y690" s="72" t="str">
        <f t="shared" si="53"/>
        <v>AR_2025_2x SiOLED_SiOLED glasses</v>
      </c>
      <c r="Z690" s="36" t="str">
        <f t="shared" si="54"/>
        <v>AR_2025_2x SiOLED</v>
      </c>
    </row>
    <row r="691" spans="3:26">
      <c r="C691" s="17">
        <v>683</v>
      </c>
      <c r="D691" s="109" t="s">
        <v>129</v>
      </c>
      <c r="E691" s="20" t="s">
        <v>14</v>
      </c>
      <c r="F691" s="20" t="s">
        <v>177</v>
      </c>
      <c r="G691" s="21" t="s">
        <v>191</v>
      </c>
      <c r="H691" s="21" t="s">
        <v>197</v>
      </c>
      <c r="I691" s="19" t="s">
        <v>63</v>
      </c>
      <c r="J691" s="19" t="s">
        <v>31</v>
      </c>
      <c r="K691" s="21" t="s">
        <v>120</v>
      </c>
      <c r="L691" s="33" t="str">
        <f t="shared" si="50"/>
        <v>1x MicroLED</v>
      </c>
      <c r="M691" s="21" t="s">
        <v>144</v>
      </c>
      <c r="N691" s="21"/>
      <c r="O691" s="27">
        <v>0.13</v>
      </c>
      <c r="P691" s="20">
        <v>640</v>
      </c>
      <c r="Q691" s="20">
        <v>480</v>
      </c>
      <c r="R691" s="29">
        <f t="shared" si="51"/>
        <v>6153.8461538461534</v>
      </c>
      <c r="S691" s="20" t="s">
        <v>36</v>
      </c>
      <c r="T691" s="18">
        <v>45627</v>
      </c>
      <c r="U691" s="20">
        <v>1</v>
      </c>
      <c r="V691" s="120">
        <v>1E-3</v>
      </c>
      <c r="W691" s="69">
        <f t="shared" si="52"/>
        <v>6.5537629200319983E-2</v>
      </c>
      <c r="X691" s="106">
        <v>65.537629200319984</v>
      </c>
      <c r="Y691" s="72" t="str">
        <f t="shared" si="53"/>
        <v>AR_2025_1x MicroLED_Go 2</v>
      </c>
      <c r="Z691" s="36" t="str">
        <f t="shared" si="54"/>
        <v>AR_2025_1x MicroLED</v>
      </c>
    </row>
    <row r="692" spans="3:26">
      <c r="C692" s="17">
        <v>684</v>
      </c>
      <c r="D692" s="109" t="s">
        <v>129</v>
      </c>
      <c r="E692" s="20" t="s">
        <v>14</v>
      </c>
      <c r="F692" s="20" t="s">
        <v>177</v>
      </c>
      <c r="G692" s="21" t="s">
        <v>191</v>
      </c>
      <c r="H692" s="21" t="s">
        <v>198</v>
      </c>
      <c r="I692" s="19" t="s">
        <v>63</v>
      </c>
      <c r="J692" s="19" t="s">
        <v>31</v>
      </c>
      <c r="K692" s="21" t="s">
        <v>51</v>
      </c>
      <c r="L692" s="33" t="str">
        <f t="shared" si="50"/>
        <v>2x SiOLED</v>
      </c>
      <c r="M692" s="21" t="s">
        <v>6</v>
      </c>
      <c r="N692" s="21"/>
      <c r="O692" s="27">
        <v>0.44</v>
      </c>
      <c r="P692" s="20">
        <v>1920</v>
      </c>
      <c r="Q692" s="20">
        <v>1080</v>
      </c>
      <c r="R692" s="29">
        <f t="shared" si="51"/>
        <v>5006.607204732496</v>
      </c>
      <c r="S692" s="20">
        <v>120</v>
      </c>
      <c r="T692" s="18">
        <v>45627</v>
      </c>
      <c r="U692" s="20">
        <v>2</v>
      </c>
      <c r="V692" s="120">
        <v>4.0000000000000001E-3</v>
      </c>
      <c r="W692" s="69">
        <f t="shared" si="52"/>
        <v>0.2</v>
      </c>
      <c r="X692" s="106">
        <v>50</v>
      </c>
      <c r="Y692" s="72" t="str">
        <f t="shared" si="53"/>
        <v>AR_2025_2x SiOLED_Air 3</v>
      </c>
      <c r="Z692" s="36" t="str">
        <f t="shared" si="54"/>
        <v>AR_2025_2x SiOLED</v>
      </c>
    </row>
    <row r="693" spans="3:26">
      <c r="C693" s="17">
        <v>685</v>
      </c>
      <c r="D693" s="109" t="s">
        <v>129</v>
      </c>
      <c r="E693" s="20" t="s">
        <v>14</v>
      </c>
      <c r="F693" s="20" t="s">
        <v>177</v>
      </c>
      <c r="G693" s="21" t="s">
        <v>132</v>
      </c>
      <c r="H693" s="21" t="s">
        <v>199</v>
      </c>
      <c r="I693" s="19" t="s">
        <v>63</v>
      </c>
      <c r="J693" s="19" t="s">
        <v>27</v>
      </c>
      <c r="K693" s="21" t="s">
        <v>120</v>
      </c>
      <c r="L693" s="33" t="str">
        <f t="shared" si="50"/>
        <v>1x MicroLED</v>
      </c>
      <c r="M693" s="21" t="s">
        <v>144</v>
      </c>
      <c r="N693" s="21"/>
      <c r="O693" s="27">
        <v>0.13</v>
      </c>
      <c r="P693" s="20">
        <v>640</v>
      </c>
      <c r="Q693" s="20">
        <v>480</v>
      </c>
      <c r="R693" s="29">
        <f t="shared" si="51"/>
        <v>6153.8461538461534</v>
      </c>
      <c r="S693" s="20" t="s">
        <v>36</v>
      </c>
      <c r="T693" s="18">
        <v>45627</v>
      </c>
      <c r="U693" s="20">
        <v>1</v>
      </c>
      <c r="V693" s="120">
        <v>2.1999999999999999E-2</v>
      </c>
      <c r="W693" s="69">
        <f t="shared" si="52"/>
        <v>1.4418278424070397</v>
      </c>
      <c r="X693" s="106">
        <v>65.537629200319984</v>
      </c>
      <c r="Y693" s="72" t="str">
        <f t="shared" si="53"/>
        <v>AR_2025_1x MicroLED_Glasses</v>
      </c>
      <c r="Z693" s="36" t="str">
        <f t="shared" si="54"/>
        <v>AR_2025_1x MicroLED</v>
      </c>
    </row>
    <row r="694" spans="3:26">
      <c r="C694" s="17">
        <v>686</v>
      </c>
      <c r="D694" s="109" t="s">
        <v>129</v>
      </c>
      <c r="E694" s="20" t="s">
        <v>14</v>
      </c>
      <c r="F694" s="20" t="s">
        <v>177</v>
      </c>
      <c r="G694" s="21" t="s">
        <v>186</v>
      </c>
      <c r="H694" s="21" t="s">
        <v>200</v>
      </c>
      <c r="I694" s="19" t="s">
        <v>63</v>
      </c>
      <c r="J694" s="19" t="s">
        <v>27</v>
      </c>
      <c r="K694" s="21" t="s">
        <v>51</v>
      </c>
      <c r="L694" s="33" t="str">
        <f t="shared" si="50"/>
        <v>2x SiOLED</v>
      </c>
      <c r="M694" s="21" t="s">
        <v>6</v>
      </c>
      <c r="N694" s="21"/>
      <c r="O694" s="27">
        <v>0.68</v>
      </c>
      <c r="P694" s="20">
        <v>1920</v>
      </c>
      <c r="Q694" s="20">
        <v>1200</v>
      </c>
      <c r="R694" s="29">
        <f t="shared" si="51"/>
        <v>3329.6403995493893</v>
      </c>
      <c r="S694" s="20">
        <v>120</v>
      </c>
      <c r="T694" s="18">
        <v>45627</v>
      </c>
      <c r="U694" s="20">
        <v>2</v>
      </c>
      <c r="V694" s="120">
        <v>0.09</v>
      </c>
      <c r="W694" s="69">
        <f t="shared" si="52"/>
        <v>4.5</v>
      </c>
      <c r="X694" s="106">
        <v>50</v>
      </c>
      <c r="Y694" s="72" t="str">
        <f t="shared" si="53"/>
        <v>AR_2025_2x SiOLED_One</v>
      </c>
      <c r="Z694" s="36" t="str">
        <f t="shared" si="54"/>
        <v>AR_2025_2x SiOLED</v>
      </c>
    </row>
    <row r="695" spans="3:26">
      <c r="C695" s="17">
        <v>687</v>
      </c>
      <c r="D695" s="109" t="s">
        <v>129</v>
      </c>
      <c r="E695" s="20" t="s">
        <v>14</v>
      </c>
      <c r="F695" s="20" t="s">
        <v>177</v>
      </c>
      <c r="G695" s="21" t="s">
        <v>186</v>
      </c>
      <c r="H695" s="21" t="s">
        <v>201</v>
      </c>
      <c r="I695" s="19" t="s">
        <v>63</v>
      </c>
      <c r="J695" s="19" t="s">
        <v>27</v>
      </c>
      <c r="K695" s="21" t="s">
        <v>51</v>
      </c>
      <c r="L695" s="33" t="str">
        <f t="shared" si="50"/>
        <v>2x SiOLED</v>
      </c>
      <c r="M695" s="21" t="s">
        <v>6</v>
      </c>
      <c r="N695" s="21"/>
      <c r="O695" s="27">
        <v>0.55000000000000004</v>
      </c>
      <c r="P695" s="20">
        <v>1920</v>
      </c>
      <c r="Q695" s="20">
        <v>1080</v>
      </c>
      <c r="R695" s="29">
        <f t="shared" si="51"/>
        <v>4005.2857637859966</v>
      </c>
      <c r="S695" s="20">
        <v>120</v>
      </c>
      <c r="T695" s="18">
        <v>45627</v>
      </c>
      <c r="U695" s="20">
        <v>2</v>
      </c>
      <c r="V695" s="120">
        <v>0.04</v>
      </c>
      <c r="W695" s="69">
        <f t="shared" si="52"/>
        <v>2.16</v>
      </c>
      <c r="X695" s="106">
        <v>54</v>
      </c>
      <c r="Y695" s="72" t="str">
        <f t="shared" si="53"/>
        <v>AR_2025_2x SiOLED_One Pro</v>
      </c>
      <c r="Z695" s="36" t="str">
        <f t="shared" si="54"/>
        <v>AR_2025_2x SiOLED</v>
      </c>
    </row>
    <row r="696" spans="3:26">
      <c r="C696" s="17">
        <v>688</v>
      </c>
      <c r="D696" s="109" t="s">
        <v>129</v>
      </c>
      <c r="E696" s="20" t="s">
        <v>14</v>
      </c>
      <c r="F696" s="20" t="s">
        <v>177</v>
      </c>
      <c r="G696" s="21" t="s">
        <v>194</v>
      </c>
      <c r="H696" s="21" t="s">
        <v>195</v>
      </c>
      <c r="I696" s="19" t="s">
        <v>63</v>
      </c>
      <c r="J696" s="19" t="s">
        <v>27</v>
      </c>
      <c r="K696" s="21" t="s">
        <v>120</v>
      </c>
      <c r="L696" s="33" t="str">
        <f t="shared" si="50"/>
        <v>2x MicroLED</v>
      </c>
      <c r="M696" s="21" t="s">
        <v>144</v>
      </c>
      <c r="N696" s="21"/>
      <c r="O696" s="27">
        <v>0.13</v>
      </c>
      <c r="P696" s="20">
        <v>640</v>
      </c>
      <c r="Q696" s="20">
        <v>480</v>
      </c>
      <c r="R696" s="29">
        <f t="shared" si="51"/>
        <v>6153.8461538461534</v>
      </c>
      <c r="S696" s="20" t="s">
        <v>36</v>
      </c>
      <c r="T696" s="18">
        <v>45566</v>
      </c>
      <c r="U696" s="20">
        <v>2</v>
      </c>
      <c r="V696" s="120">
        <v>0.03</v>
      </c>
      <c r="W696" s="69">
        <f t="shared" si="52"/>
        <v>1.9661288760095994</v>
      </c>
      <c r="X696" s="106">
        <v>65.537629200319984</v>
      </c>
      <c r="Y696" s="72" t="str">
        <f t="shared" si="53"/>
        <v>AR_2025_2x MicroLED_G1</v>
      </c>
      <c r="Z696" s="36" t="str">
        <f t="shared" si="54"/>
        <v>AR_2025_2x MicroLED</v>
      </c>
    </row>
    <row r="697" spans="3:26">
      <c r="C697" s="17">
        <v>689</v>
      </c>
      <c r="D697" s="109" t="s">
        <v>129</v>
      </c>
      <c r="E697" s="20" t="s">
        <v>14</v>
      </c>
      <c r="F697" s="20" t="s">
        <v>177</v>
      </c>
      <c r="G697" s="21" t="s">
        <v>294</v>
      </c>
      <c r="H697" s="21" t="s">
        <v>198</v>
      </c>
      <c r="I697" s="19" t="s">
        <v>63</v>
      </c>
      <c r="J697" s="19" t="s">
        <v>27</v>
      </c>
      <c r="K697" s="21" t="s">
        <v>51</v>
      </c>
      <c r="L697" s="33" t="str">
        <f t="shared" si="50"/>
        <v>2x SiOLED</v>
      </c>
      <c r="M697" s="21" t="s">
        <v>116</v>
      </c>
      <c r="N697" s="21"/>
      <c r="O697" s="27">
        <v>0.6</v>
      </c>
      <c r="P697" s="20">
        <v>1920</v>
      </c>
      <c r="Q697" s="20">
        <v>1080</v>
      </c>
      <c r="R697" s="29">
        <f t="shared" si="51"/>
        <v>3671.5119501371641</v>
      </c>
      <c r="S697" s="20" t="s">
        <v>36</v>
      </c>
      <c r="T697" s="18">
        <v>45566</v>
      </c>
      <c r="U697" s="20">
        <v>2</v>
      </c>
      <c r="V697" s="120">
        <v>0.12</v>
      </c>
      <c r="W697" s="69">
        <f t="shared" si="52"/>
        <v>5.76</v>
      </c>
      <c r="X697" s="106">
        <v>48</v>
      </c>
      <c r="Y697" s="72" t="str">
        <f t="shared" si="53"/>
        <v>AR_2025_2x SiOLED_Air 3</v>
      </c>
      <c r="Z697" s="36" t="str">
        <f t="shared" si="54"/>
        <v>AR_2025_2x SiOLED</v>
      </c>
    </row>
    <row r="698" spans="3:26">
      <c r="C698" s="17">
        <v>690</v>
      </c>
      <c r="D698" s="109" t="s">
        <v>129</v>
      </c>
      <c r="E698" s="20" t="s">
        <v>14</v>
      </c>
      <c r="F698" s="20" t="s">
        <v>177</v>
      </c>
      <c r="G698" s="21" t="s">
        <v>68</v>
      </c>
      <c r="H698" s="21" t="s">
        <v>273</v>
      </c>
      <c r="I698" s="19" t="s">
        <v>63</v>
      </c>
      <c r="J698" s="19" t="s">
        <v>27</v>
      </c>
      <c r="K698" s="21" t="s">
        <v>120</v>
      </c>
      <c r="L698" s="33" t="str">
        <f t="shared" si="50"/>
        <v>1x MicroLED</v>
      </c>
      <c r="M698" s="21" t="s">
        <v>144</v>
      </c>
      <c r="N698" s="21"/>
      <c r="O698" s="27">
        <v>0.13</v>
      </c>
      <c r="P698" s="20">
        <v>640</v>
      </c>
      <c r="Q698" s="20">
        <v>480</v>
      </c>
      <c r="R698" s="29">
        <f t="shared" si="51"/>
        <v>6153.8461538461534</v>
      </c>
      <c r="S698" s="20" t="s">
        <v>36</v>
      </c>
      <c r="T698" s="18">
        <v>45597</v>
      </c>
      <c r="U698" s="20">
        <v>1</v>
      </c>
      <c r="V698" s="120">
        <v>5.0000000000000001E-4</v>
      </c>
      <c r="W698" s="69">
        <f t="shared" si="52"/>
        <v>3.2768814600159991E-2</v>
      </c>
      <c r="X698" s="106">
        <v>65.537629200319984</v>
      </c>
      <c r="Y698" s="72" t="str">
        <f t="shared" si="53"/>
        <v>AR_2025_1x MicroLED_Z100</v>
      </c>
      <c r="Z698" s="36" t="str">
        <f t="shared" si="54"/>
        <v>AR_2025_1x MicroLED</v>
      </c>
    </row>
    <row r="699" spans="3:26">
      <c r="C699" s="17">
        <v>691</v>
      </c>
      <c r="D699" s="109" t="s">
        <v>129</v>
      </c>
      <c r="E699" s="20" t="s">
        <v>14</v>
      </c>
      <c r="F699" s="20" t="s">
        <v>177</v>
      </c>
      <c r="G699" s="21" t="s">
        <v>189</v>
      </c>
      <c r="H699" s="21" t="s">
        <v>285</v>
      </c>
      <c r="I699" s="19" t="s">
        <v>63</v>
      </c>
      <c r="J699" s="19" t="s">
        <v>27</v>
      </c>
      <c r="K699" s="21" t="s">
        <v>51</v>
      </c>
      <c r="L699" s="33" t="str">
        <f t="shared" si="50"/>
        <v>2x SiOLED</v>
      </c>
      <c r="M699" s="21" t="s">
        <v>6</v>
      </c>
      <c r="N699" s="21"/>
      <c r="O699" s="27">
        <v>0.55000000000000004</v>
      </c>
      <c r="P699" s="20">
        <v>1920</v>
      </c>
      <c r="Q699" s="20">
        <v>1080</v>
      </c>
      <c r="R699" s="29">
        <f t="shared" si="51"/>
        <v>4005.2857637859966</v>
      </c>
      <c r="S699" s="20">
        <v>120</v>
      </c>
      <c r="T699" s="18">
        <v>45536</v>
      </c>
      <c r="U699" s="20">
        <v>2</v>
      </c>
      <c r="V699" s="120">
        <v>5.0000000000000001E-3</v>
      </c>
      <c r="W699" s="69">
        <f t="shared" si="52"/>
        <v>0.27</v>
      </c>
      <c r="X699" s="106">
        <v>54</v>
      </c>
      <c r="Y699" s="72" t="str">
        <f t="shared" si="53"/>
        <v>AR_2025_2x SiOLED_Meizu StarV View</v>
      </c>
      <c r="Z699" s="36" t="str">
        <f t="shared" si="54"/>
        <v>AR_2025_2x SiOLED</v>
      </c>
    </row>
    <row r="700" spans="3:26">
      <c r="C700" s="17">
        <v>692</v>
      </c>
      <c r="D700" s="109" t="s">
        <v>129</v>
      </c>
      <c r="E700" s="20" t="s">
        <v>14</v>
      </c>
      <c r="F700" s="20" t="s">
        <v>177</v>
      </c>
      <c r="G700" s="21" t="s">
        <v>189</v>
      </c>
      <c r="H700" s="21" t="s">
        <v>289</v>
      </c>
      <c r="I700" s="19" t="s">
        <v>63</v>
      </c>
      <c r="J700" s="19" t="s">
        <v>27</v>
      </c>
      <c r="K700" s="21" t="s">
        <v>120</v>
      </c>
      <c r="L700" s="33" t="str">
        <f t="shared" si="50"/>
        <v>1x MicroLED</v>
      </c>
      <c r="M700" s="21" t="s">
        <v>144</v>
      </c>
      <c r="N700" s="21"/>
      <c r="O700" s="27">
        <v>0.13</v>
      </c>
      <c r="P700" s="20">
        <v>640</v>
      </c>
      <c r="Q700" s="20">
        <v>480</v>
      </c>
      <c r="R700" s="29">
        <f t="shared" si="51"/>
        <v>6153.8461538461534</v>
      </c>
      <c r="S700" s="20" t="s">
        <v>36</v>
      </c>
      <c r="T700" s="18">
        <v>45597</v>
      </c>
      <c r="U700" s="20">
        <v>1</v>
      </c>
      <c r="V700" s="120">
        <v>0.04</v>
      </c>
      <c r="W700" s="69">
        <f t="shared" si="52"/>
        <v>2.6215051680127992</v>
      </c>
      <c r="X700" s="106">
        <v>65.537629200319984</v>
      </c>
      <c r="Y700" s="72" t="str">
        <f t="shared" si="53"/>
        <v>AR_2025_1x MicroLED_Meizu StarV Air 2</v>
      </c>
      <c r="Z700" s="36" t="str">
        <f t="shared" si="54"/>
        <v>AR_2025_1x MicroLED</v>
      </c>
    </row>
    <row r="701" spans="3:26">
      <c r="C701" s="17">
        <v>693</v>
      </c>
      <c r="D701" s="109" t="s">
        <v>129</v>
      </c>
      <c r="E701" s="20" t="s">
        <v>14</v>
      </c>
      <c r="F701" s="20" t="s">
        <v>177</v>
      </c>
      <c r="G701" s="21" t="s">
        <v>294</v>
      </c>
      <c r="H701" s="21" t="s">
        <v>295</v>
      </c>
      <c r="I701" s="19" t="s">
        <v>63</v>
      </c>
      <c r="J701" s="19" t="s">
        <v>27</v>
      </c>
      <c r="K701" s="21" t="s">
        <v>51</v>
      </c>
      <c r="L701" s="33" t="str">
        <f t="shared" si="50"/>
        <v>2x SiOLED</v>
      </c>
      <c r="M701" s="21" t="s">
        <v>116</v>
      </c>
      <c r="N701" s="21"/>
      <c r="O701" s="27">
        <v>0.6</v>
      </c>
      <c r="P701" s="20">
        <v>1920</v>
      </c>
      <c r="Q701" s="20">
        <v>1080</v>
      </c>
      <c r="R701" s="29">
        <f t="shared" si="51"/>
        <v>3671.5119501371641</v>
      </c>
      <c r="S701" s="20" t="s">
        <v>36</v>
      </c>
      <c r="T701" s="18">
        <v>45870</v>
      </c>
      <c r="U701" s="20">
        <v>2</v>
      </c>
      <c r="V701" s="120">
        <v>5.5E-2</v>
      </c>
      <c r="W701" s="69">
        <f t="shared" si="52"/>
        <v>2.64</v>
      </c>
      <c r="X701" s="106">
        <v>48</v>
      </c>
      <c r="Y701" s="72" t="str">
        <f t="shared" si="53"/>
        <v>AR_2025_2x SiOLED_Air 3s Pro</v>
      </c>
      <c r="Z701" s="36" t="str">
        <f t="shared" si="54"/>
        <v>AR_2025_2x SiOLED</v>
      </c>
    </row>
    <row r="702" spans="3:26">
      <c r="C702" s="17">
        <v>694</v>
      </c>
      <c r="D702" s="109" t="s">
        <v>129</v>
      </c>
      <c r="E702" s="20" t="s">
        <v>14</v>
      </c>
      <c r="F702" s="20" t="s">
        <v>177</v>
      </c>
      <c r="G702" s="21" t="s">
        <v>294</v>
      </c>
      <c r="H702" s="21" t="s">
        <v>296</v>
      </c>
      <c r="I702" s="19" t="s">
        <v>63</v>
      </c>
      <c r="J702" s="19" t="s">
        <v>27</v>
      </c>
      <c r="K702" s="21" t="s">
        <v>120</v>
      </c>
      <c r="L702" s="33" t="str">
        <f t="shared" si="50"/>
        <v>2x MicroLED</v>
      </c>
      <c r="M702" s="21" t="s">
        <v>144</v>
      </c>
      <c r="N702" s="21"/>
      <c r="O702" s="27">
        <v>0.13</v>
      </c>
      <c r="P702" s="20">
        <v>640</v>
      </c>
      <c r="Q702" s="20">
        <v>480</v>
      </c>
      <c r="R702" s="29">
        <f t="shared" si="51"/>
        <v>6153.8461538461534</v>
      </c>
      <c r="S702" s="20" t="s">
        <v>36</v>
      </c>
      <c r="T702" s="18">
        <v>45809</v>
      </c>
      <c r="U702" s="20">
        <v>2</v>
      </c>
      <c r="V702" s="120">
        <v>6.0000000000000001E-3</v>
      </c>
      <c r="W702" s="69">
        <f t="shared" si="52"/>
        <v>0.54</v>
      </c>
      <c r="X702" s="106">
        <v>90</v>
      </c>
      <c r="Y702" s="72" t="str">
        <f t="shared" si="53"/>
        <v>AR_2025_2x MicroLED_X3 Pro</v>
      </c>
      <c r="Z702" s="36" t="str">
        <f t="shared" si="54"/>
        <v>AR_2025_2x MicroLED</v>
      </c>
    </row>
    <row r="703" spans="3:26">
      <c r="C703" s="17">
        <v>695</v>
      </c>
      <c r="D703" s="109" t="s">
        <v>129</v>
      </c>
      <c r="E703" s="20" t="s">
        <v>14</v>
      </c>
      <c r="F703" s="20" t="s">
        <v>177</v>
      </c>
      <c r="G703" s="21" t="s">
        <v>112</v>
      </c>
      <c r="H703" s="21" t="s">
        <v>298</v>
      </c>
      <c r="I703" s="19" t="s">
        <v>63</v>
      </c>
      <c r="J703" s="19" t="s">
        <v>27</v>
      </c>
      <c r="K703" s="21" t="s">
        <v>67</v>
      </c>
      <c r="L703" s="33" t="str">
        <f t="shared" si="50"/>
        <v>1x LCoS</v>
      </c>
      <c r="M703" s="21" t="s">
        <v>302</v>
      </c>
      <c r="N703" s="21"/>
      <c r="O703" s="27">
        <v>0.14000000000000001</v>
      </c>
      <c r="P703" s="20">
        <v>648</v>
      </c>
      <c r="Q703" s="20">
        <v>648</v>
      </c>
      <c r="R703" s="29">
        <f t="shared" si="51"/>
        <v>6545.7884886983247</v>
      </c>
      <c r="S703" s="20">
        <v>120</v>
      </c>
      <c r="T703" s="18">
        <v>45901</v>
      </c>
      <c r="U703" s="20">
        <v>1</v>
      </c>
      <c r="V703" s="120">
        <v>0.05</v>
      </c>
      <c r="W703" s="69">
        <f t="shared" si="52"/>
        <v>2.25</v>
      </c>
      <c r="X703" s="106">
        <v>45</v>
      </c>
      <c r="Y703" s="72" t="str">
        <f t="shared" si="53"/>
        <v>AR_2025_1x LCoS_Ray-Ban Meta Display</v>
      </c>
      <c r="Z703" s="36" t="str">
        <f t="shared" si="54"/>
        <v>AR_2025_1x LCoS</v>
      </c>
    </row>
    <row r="704" spans="3:26">
      <c r="C704" s="17">
        <v>696</v>
      </c>
      <c r="D704" s="109" t="s">
        <v>26</v>
      </c>
      <c r="E704" s="20" t="s">
        <v>14</v>
      </c>
      <c r="F704" s="20" t="s">
        <v>179</v>
      </c>
      <c r="G704" s="21" t="s">
        <v>164</v>
      </c>
      <c r="H704" s="21" t="s">
        <v>165</v>
      </c>
      <c r="I704" s="19" t="s">
        <v>26</v>
      </c>
      <c r="J704" s="19" t="s">
        <v>27</v>
      </c>
      <c r="K704" s="21" t="s">
        <v>51</v>
      </c>
      <c r="L704" s="33" t="str">
        <f t="shared" si="50"/>
        <v>2x SiOLED</v>
      </c>
      <c r="M704" s="21" t="s">
        <v>116</v>
      </c>
      <c r="N704" s="21"/>
      <c r="O704" s="27">
        <v>1.03</v>
      </c>
      <c r="P704" s="20">
        <v>2560</v>
      </c>
      <c r="Q704" s="20">
        <v>2560</v>
      </c>
      <c r="R704" s="29">
        <f t="shared" si="51"/>
        <v>3514.9385627913821</v>
      </c>
      <c r="S704" s="20">
        <v>90</v>
      </c>
      <c r="T704" s="18"/>
      <c r="U704" s="20">
        <v>2</v>
      </c>
      <c r="V704" s="120">
        <v>0.02</v>
      </c>
      <c r="W704" s="69">
        <f t="shared" si="52"/>
        <v>2.16</v>
      </c>
      <c r="X704" s="106">
        <v>108</v>
      </c>
      <c r="Y704" s="72" t="str">
        <f t="shared" si="53"/>
        <v>VR_2025_2x SiOLED_Beyond</v>
      </c>
      <c r="Z704" s="36" t="str">
        <f t="shared" si="54"/>
        <v>VR_2025_2x SiOLED</v>
      </c>
    </row>
    <row r="705" spans="3:26">
      <c r="C705" s="17">
        <v>697</v>
      </c>
      <c r="D705" s="109" t="s">
        <v>26</v>
      </c>
      <c r="E705" s="20" t="s">
        <v>14</v>
      </c>
      <c r="F705" s="20" t="s">
        <v>179</v>
      </c>
      <c r="G705" s="21" t="s">
        <v>112</v>
      </c>
      <c r="H705" s="21" t="s">
        <v>137</v>
      </c>
      <c r="I705" s="19" t="s">
        <v>26</v>
      </c>
      <c r="J705" s="19" t="s">
        <v>31</v>
      </c>
      <c r="K705" s="21" t="s">
        <v>15</v>
      </c>
      <c r="L705" s="33" t="str">
        <f t="shared" si="50"/>
        <v>2x LCD</v>
      </c>
      <c r="M705" s="21" t="s">
        <v>4</v>
      </c>
      <c r="N705" s="21" t="s">
        <v>2</v>
      </c>
      <c r="O705" s="27"/>
      <c r="P705" s="20"/>
      <c r="Q705" s="20"/>
      <c r="R705" s="29">
        <f t="shared" si="51"/>
        <v>0</v>
      </c>
      <c r="S705" s="20"/>
      <c r="T705" s="18">
        <v>45200</v>
      </c>
      <c r="U705" s="20">
        <v>2</v>
      </c>
      <c r="V705" s="120">
        <v>0.45</v>
      </c>
      <c r="W705" s="69">
        <f t="shared" si="52"/>
        <v>15.945162855552002</v>
      </c>
      <c r="X705" s="106">
        <v>35.433695234560005</v>
      </c>
      <c r="Y705" s="72" t="str">
        <f t="shared" si="53"/>
        <v>VR_2025_2x LCD_Quest 3</v>
      </c>
      <c r="Z705" s="36" t="str">
        <f t="shared" si="54"/>
        <v>VR_2025_2x LCD</v>
      </c>
    </row>
    <row r="706" spans="3:26">
      <c r="C706" s="17">
        <v>698</v>
      </c>
      <c r="D706" s="109" t="s">
        <v>26</v>
      </c>
      <c r="E706" s="20" t="s">
        <v>14</v>
      </c>
      <c r="F706" s="20" t="s">
        <v>179</v>
      </c>
      <c r="G706" s="21" t="s">
        <v>110</v>
      </c>
      <c r="H706" s="21" t="s">
        <v>134</v>
      </c>
      <c r="I706" s="19" t="s">
        <v>26</v>
      </c>
      <c r="J706" s="19" t="s">
        <v>31</v>
      </c>
      <c r="K706" s="21" t="s">
        <v>15</v>
      </c>
      <c r="L706" s="33" t="str">
        <f t="shared" si="50"/>
        <v>2x LCD</v>
      </c>
      <c r="M706" s="21" t="s">
        <v>146</v>
      </c>
      <c r="N706" s="21"/>
      <c r="O706" s="27">
        <v>2.56</v>
      </c>
      <c r="P706" s="20">
        <v>2160</v>
      </c>
      <c r="Q706" s="20">
        <v>2160</v>
      </c>
      <c r="R706" s="29">
        <f t="shared" si="51"/>
        <v>1193.242693252299</v>
      </c>
      <c r="S706" s="20">
        <v>90</v>
      </c>
      <c r="T706" s="18">
        <v>44805</v>
      </c>
      <c r="U706" s="20">
        <v>2</v>
      </c>
      <c r="V706" s="120">
        <v>0.15</v>
      </c>
      <c r="W706" s="69">
        <f t="shared" si="52"/>
        <v>5.3150542851840008</v>
      </c>
      <c r="X706" s="106">
        <v>35.433695234560005</v>
      </c>
      <c r="Y706" s="72" t="str">
        <f t="shared" si="53"/>
        <v>VR_2025_2x LCD_Pico 4</v>
      </c>
      <c r="Z706" s="36" t="str">
        <f t="shared" si="54"/>
        <v>VR_2025_2x LCD</v>
      </c>
    </row>
    <row r="707" spans="3:26">
      <c r="C707" s="17">
        <v>699</v>
      </c>
      <c r="D707" s="109" t="s">
        <v>26</v>
      </c>
      <c r="E707" s="20" t="s">
        <v>14</v>
      </c>
      <c r="F707" s="20" t="s">
        <v>179</v>
      </c>
      <c r="G707" s="21" t="s">
        <v>97</v>
      </c>
      <c r="H707" s="21" t="s">
        <v>111</v>
      </c>
      <c r="I707" s="19" t="s">
        <v>26</v>
      </c>
      <c r="J707" s="19" t="s">
        <v>36</v>
      </c>
      <c r="K707" s="21" t="s">
        <v>15</v>
      </c>
      <c r="L707" s="33" t="str">
        <f t="shared" si="50"/>
        <v>2x LCD</v>
      </c>
      <c r="M707" s="21" t="s">
        <v>36</v>
      </c>
      <c r="N707" s="21" t="s">
        <v>143</v>
      </c>
      <c r="O707" s="27"/>
      <c r="P707" s="20"/>
      <c r="Q707" s="20"/>
      <c r="R707" s="29">
        <f t="shared" si="51"/>
        <v>0</v>
      </c>
      <c r="S707" s="20" t="s">
        <v>36</v>
      </c>
      <c r="T707" s="18" t="s">
        <v>143</v>
      </c>
      <c r="U707" s="20">
        <v>2</v>
      </c>
      <c r="V707" s="120">
        <v>0.1</v>
      </c>
      <c r="W707" s="69">
        <f t="shared" si="52"/>
        <v>3.5433695234560005</v>
      </c>
      <c r="X707" s="106">
        <v>35.433695234560005</v>
      </c>
      <c r="Y707" s="72" t="str">
        <f t="shared" si="53"/>
        <v>VR_2025_2x LCD_Dual LCD VR headset</v>
      </c>
      <c r="Z707" s="36" t="str">
        <f t="shared" si="54"/>
        <v>VR_2025_2x LCD</v>
      </c>
    </row>
    <row r="708" spans="3:26">
      <c r="C708" s="17">
        <v>700</v>
      </c>
      <c r="D708" s="109" t="s">
        <v>26</v>
      </c>
      <c r="E708" s="20" t="s">
        <v>14</v>
      </c>
      <c r="F708" s="20" t="s">
        <v>179</v>
      </c>
      <c r="G708" s="21" t="s">
        <v>97</v>
      </c>
      <c r="H708" s="21" t="s">
        <v>138</v>
      </c>
      <c r="I708" s="19" t="s">
        <v>26</v>
      </c>
      <c r="J708" s="19" t="s">
        <v>36</v>
      </c>
      <c r="K708" s="21" t="s">
        <v>51</v>
      </c>
      <c r="L708" s="33" t="str">
        <f t="shared" si="50"/>
        <v>2x SiOLED</v>
      </c>
      <c r="M708" s="21" t="s">
        <v>36</v>
      </c>
      <c r="N708" s="21"/>
      <c r="O708" s="27"/>
      <c r="P708" s="20"/>
      <c r="Q708" s="20"/>
      <c r="R708" s="29">
        <f t="shared" si="51"/>
        <v>0</v>
      </c>
      <c r="S708" s="20" t="s">
        <v>36</v>
      </c>
      <c r="T708" s="18"/>
      <c r="U708" s="20">
        <v>2</v>
      </c>
      <c r="V708" s="120">
        <v>0.02</v>
      </c>
      <c r="W708" s="69">
        <f t="shared" si="52"/>
        <v>2.6</v>
      </c>
      <c r="X708" s="106">
        <v>130</v>
      </c>
      <c r="Y708" s="72" t="str">
        <f t="shared" si="53"/>
        <v>VR_2025_2x SiOLED_Dual SiOLED headset</v>
      </c>
      <c r="Z708" s="36" t="str">
        <f t="shared" si="54"/>
        <v>VR_2025_2x SiOLED</v>
      </c>
    </row>
    <row r="709" spans="3:26">
      <c r="C709" s="17">
        <v>701</v>
      </c>
      <c r="D709" s="109" t="s">
        <v>26</v>
      </c>
      <c r="E709" s="20" t="s">
        <v>14</v>
      </c>
      <c r="F709" s="20" t="s">
        <v>179</v>
      </c>
      <c r="G709" s="21" t="s">
        <v>97</v>
      </c>
      <c r="H709" s="21" t="s">
        <v>161</v>
      </c>
      <c r="I709" s="19" t="s">
        <v>26</v>
      </c>
      <c r="J709" s="19" t="s">
        <v>36</v>
      </c>
      <c r="K709" s="21" t="s">
        <v>15</v>
      </c>
      <c r="L709" s="33" t="str">
        <f t="shared" si="50"/>
        <v>1x LCD</v>
      </c>
      <c r="M709" s="21" t="s">
        <v>36</v>
      </c>
      <c r="N709" s="21" t="s">
        <v>143</v>
      </c>
      <c r="O709" s="27"/>
      <c r="P709" s="20"/>
      <c r="Q709" s="20"/>
      <c r="R709" s="29">
        <f t="shared" si="51"/>
        <v>0</v>
      </c>
      <c r="S709" s="20" t="s">
        <v>36</v>
      </c>
      <c r="T709" s="18" t="s">
        <v>143</v>
      </c>
      <c r="U709" s="20">
        <v>1</v>
      </c>
      <c r="V709" s="120">
        <v>0.02</v>
      </c>
      <c r="W709" s="69">
        <f t="shared" si="52"/>
        <v>1.06</v>
      </c>
      <c r="X709" s="106">
        <v>53</v>
      </c>
      <c r="Y709" s="72" t="str">
        <f t="shared" si="53"/>
        <v>VR_2025_1x LCD_Single LCD VR headset</v>
      </c>
      <c r="Z709" s="36" t="str">
        <f t="shared" si="54"/>
        <v>VR_2025_1x LCD</v>
      </c>
    </row>
    <row r="710" spans="3:26">
      <c r="C710" s="17">
        <v>702</v>
      </c>
      <c r="D710" s="109" t="s">
        <v>26</v>
      </c>
      <c r="E710" s="20" t="s">
        <v>14</v>
      </c>
      <c r="F710" s="20" t="s">
        <v>179</v>
      </c>
      <c r="G710" s="21" t="s">
        <v>112</v>
      </c>
      <c r="H710" s="21" t="s">
        <v>196</v>
      </c>
      <c r="I710" s="19" t="s">
        <v>26</v>
      </c>
      <c r="J710" s="19" t="s">
        <v>31</v>
      </c>
      <c r="K710" s="21" t="s">
        <v>15</v>
      </c>
      <c r="L710" s="33" t="str">
        <f t="shared" si="50"/>
        <v>1x LCD</v>
      </c>
      <c r="M710" s="21" t="s">
        <v>2</v>
      </c>
      <c r="N710" s="21" t="s">
        <v>4</v>
      </c>
      <c r="O710" s="27">
        <v>5.5</v>
      </c>
      <c r="P710" s="20">
        <v>3840</v>
      </c>
      <c r="Q710" s="20">
        <v>1832</v>
      </c>
      <c r="R710" s="29">
        <f t="shared" si="51"/>
        <v>773.56797048396322</v>
      </c>
      <c r="S710" s="20">
        <v>120</v>
      </c>
      <c r="T710" s="18">
        <v>45566</v>
      </c>
      <c r="U710" s="20">
        <v>1</v>
      </c>
      <c r="V710" s="120">
        <v>0.6</v>
      </c>
      <c r="W710" s="69">
        <f t="shared" si="52"/>
        <v>32.4</v>
      </c>
      <c r="X710" s="106">
        <v>54</v>
      </c>
      <c r="Y710" s="72" t="str">
        <f t="shared" si="53"/>
        <v>VR_2025_1x LCD_Quest 3S</v>
      </c>
      <c r="Z710" s="36" t="str">
        <f t="shared" si="54"/>
        <v>VR_2025_1x LCD</v>
      </c>
    </row>
    <row r="711" spans="3:26">
      <c r="C711" s="17">
        <v>703</v>
      </c>
      <c r="D711" s="109" t="s">
        <v>129</v>
      </c>
      <c r="E711" s="20" t="s">
        <v>14</v>
      </c>
      <c r="F711" s="20" t="s">
        <v>179</v>
      </c>
      <c r="G711" s="21" t="s">
        <v>97</v>
      </c>
      <c r="H711" s="21" t="s">
        <v>123</v>
      </c>
      <c r="I711" s="19" t="s">
        <v>63</v>
      </c>
      <c r="J711" s="19" t="s">
        <v>36</v>
      </c>
      <c r="K711" s="21" t="s">
        <v>120</v>
      </c>
      <c r="L711" s="33" t="str">
        <f t="shared" si="50"/>
        <v>2x MicroLED</v>
      </c>
      <c r="M711" s="21" t="s">
        <v>36</v>
      </c>
      <c r="N711" s="21"/>
      <c r="O711" s="27"/>
      <c r="P711" s="20"/>
      <c r="Q711" s="20"/>
      <c r="R711" s="29">
        <f t="shared" si="51"/>
        <v>0</v>
      </c>
      <c r="S711" s="20" t="s">
        <v>36</v>
      </c>
      <c r="T711" s="18" t="s">
        <v>143</v>
      </c>
      <c r="U711" s="20">
        <v>2</v>
      </c>
      <c r="V711" s="120">
        <v>2.1999999999999999E-2</v>
      </c>
      <c r="W711" s="69">
        <f t="shared" si="52"/>
        <v>1.4418278424070397</v>
      </c>
      <c r="X711" s="106">
        <v>65.537629200319984</v>
      </c>
      <c r="Y711" s="72" t="str">
        <f t="shared" si="53"/>
        <v>AR_2025_2x MicroLED_Binocular MicroLED</v>
      </c>
      <c r="Z711" s="36" t="str">
        <f t="shared" si="54"/>
        <v>AR_2025_2x MicroLED</v>
      </c>
    </row>
    <row r="712" spans="3:26">
      <c r="C712" s="17">
        <v>704</v>
      </c>
      <c r="D712" s="109" t="s">
        <v>129</v>
      </c>
      <c r="E712" s="20" t="s">
        <v>14</v>
      </c>
      <c r="F712" s="20" t="s">
        <v>179</v>
      </c>
      <c r="G712" s="21" t="s">
        <v>97</v>
      </c>
      <c r="H712" s="21" t="s">
        <v>76</v>
      </c>
      <c r="I712" s="19" t="s">
        <v>63</v>
      </c>
      <c r="J712" s="19" t="s">
        <v>36</v>
      </c>
      <c r="K712" s="21" t="s">
        <v>70</v>
      </c>
      <c r="L712" s="33" t="str">
        <f t="shared" si="50"/>
        <v>1x DLP</v>
      </c>
      <c r="M712" s="21" t="s">
        <v>36</v>
      </c>
      <c r="N712" s="21"/>
      <c r="O712" s="27"/>
      <c r="P712" s="20"/>
      <c r="Q712" s="20"/>
      <c r="R712" s="29">
        <f t="shared" si="51"/>
        <v>0</v>
      </c>
      <c r="S712" s="20" t="s">
        <v>36</v>
      </c>
      <c r="T712" s="18" t="s">
        <v>143</v>
      </c>
      <c r="U712" s="20">
        <v>1</v>
      </c>
      <c r="V712" s="120">
        <v>1.1E-4</v>
      </c>
      <c r="W712" s="69">
        <f t="shared" si="52"/>
        <v>8.5957137640311296E-3</v>
      </c>
      <c r="X712" s="106">
        <v>78.14285240028299</v>
      </c>
      <c r="Y712" s="72" t="str">
        <f t="shared" si="53"/>
        <v>AR_2025_1x DLP_DLP glasses</v>
      </c>
      <c r="Z712" s="36" t="str">
        <f t="shared" si="54"/>
        <v>AR_2025_1x DLP</v>
      </c>
    </row>
    <row r="713" spans="3:26">
      <c r="C713" s="17">
        <v>705</v>
      </c>
      <c r="D713" s="109" t="s">
        <v>129</v>
      </c>
      <c r="E713" s="20" t="s">
        <v>14</v>
      </c>
      <c r="F713" s="20" t="s">
        <v>179</v>
      </c>
      <c r="G713" s="21" t="s">
        <v>97</v>
      </c>
      <c r="H713" s="21" t="s">
        <v>75</v>
      </c>
      <c r="I713" s="19" t="s">
        <v>63</v>
      </c>
      <c r="J713" s="19" t="s">
        <v>36</v>
      </c>
      <c r="K713" s="21" t="s">
        <v>67</v>
      </c>
      <c r="L713" s="33" t="str">
        <f t="shared" ref="L713:L776" si="55">IF(U713=0, "", U713&amp;"x "&amp;K713)</f>
        <v>2x LCoS</v>
      </c>
      <c r="M713" s="21" t="s">
        <v>36</v>
      </c>
      <c r="N713" s="21"/>
      <c r="O713" s="27"/>
      <c r="P713" s="20"/>
      <c r="Q713" s="20"/>
      <c r="R713" s="29">
        <f t="shared" ref="R713:R776" si="56">IF(O713=0, 0, SQRT(Q713^2+P713^2)/O713)</f>
        <v>0</v>
      </c>
      <c r="S713" s="20" t="s">
        <v>36</v>
      </c>
      <c r="T713" s="18" t="s">
        <v>143</v>
      </c>
      <c r="U713" s="20">
        <v>2</v>
      </c>
      <c r="V713" s="120">
        <v>4.4000000000000003E-3</v>
      </c>
      <c r="W713" s="69">
        <f t="shared" ref="W713:W776" si="57">V713*X713</f>
        <v>0.1905555822387624</v>
      </c>
      <c r="X713" s="106">
        <v>43.308086872445998</v>
      </c>
      <c r="Y713" s="72" t="str">
        <f t="shared" ref="Y713:Y776" si="58">D713&amp;"_"&amp;E713&amp;"_"&amp;L713&amp;"_"&amp;H713</f>
        <v>AR_2025_2x LCoS_LCoS glasses</v>
      </c>
      <c r="Z713" s="36" t="str">
        <f t="shared" ref="Z713:Z776" si="59">D713&amp;"_"&amp;E713&amp;"_"&amp;L713</f>
        <v>AR_2025_2x LCoS</v>
      </c>
    </row>
    <row r="714" spans="3:26">
      <c r="C714" s="17">
        <v>706</v>
      </c>
      <c r="D714" s="109" t="s">
        <v>129</v>
      </c>
      <c r="E714" s="20" t="s">
        <v>14</v>
      </c>
      <c r="F714" s="20" t="s">
        <v>179</v>
      </c>
      <c r="G714" s="21" t="s">
        <v>97</v>
      </c>
      <c r="H714" s="21" t="s">
        <v>121</v>
      </c>
      <c r="I714" s="19" t="s">
        <v>63</v>
      </c>
      <c r="J714" s="19" t="s">
        <v>36</v>
      </c>
      <c r="K714" s="21" t="s">
        <v>120</v>
      </c>
      <c r="L714" s="33" t="str">
        <f t="shared" si="55"/>
        <v>1x MicroLED</v>
      </c>
      <c r="M714" s="21" t="s">
        <v>36</v>
      </c>
      <c r="N714" s="21"/>
      <c r="O714" s="27"/>
      <c r="P714" s="20"/>
      <c r="Q714" s="20"/>
      <c r="R714" s="29">
        <f t="shared" si="56"/>
        <v>0</v>
      </c>
      <c r="S714" s="20" t="s">
        <v>36</v>
      </c>
      <c r="T714" s="18" t="s">
        <v>143</v>
      </c>
      <c r="U714" s="20">
        <v>1</v>
      </c>
      <c r="V714" s="120">
        <v>3.3000000000000002E-2</v>
      </c>
      <c r="W714" s="69">
        <f t="shared" si="57"/>
        <v>2.1627417636105597</v>
      </c>
      <c r="X714" s="106">
        <v>65.537629200319984</v>
      </c>
      <c r="Y714" s="72" t="str">
        <f t="shared" si="58"/>
        <v>AR_2025_1x MicroLED_Monocular MicroLED</v>
      </c>
      <c r="Z714" s="36" t="str">
        <f t="shared" si="59"/>
        <v>AR_2025_1x MicroLED</v>
      </c>
    </row>
    <row r="715" spans="3:26">
      <c r="C715" s="17">
        <v>707</v>
      </c>
      <c r="D715" s="109" t="s">
        <v>129</v>
      </c>
      <c r="E715" s="20" t="s">
        <v>14</v>
      </c>
      <c r="F715" s="20" t="s">
        <v>179</v>
      </c>
      <c r="G715" s="21" t="s">
        <v>97</v>
      </c>
      <c r="H715" s="21" t="s">
        <v>79</v>
      </c>
      <c r="I715" s="19" t="s">
        <v>63</v>
      </c>
      <c r="J715" s="19" t="s">
        <v>36</v>
      </c>
      <c r="K715" s="21" t="s">
        <v>51</v>
      </c>
      <c r="L715" s="33" t="str">
        <f t="shared" si="55"/>
        <v>2x SiOLED</v>
      </c>
      <c r="M715" s="21" t="s">
        <v>36</v>
      </c>
      <c r="N715" s="21"/>
      <c r="O715" s="27"/>
      <c r="P715" s="20"/>
      <c r="Q715" s="20"/>
      <c r="R715" s="29">
        <f t="shared" si="56"/>
        <v>0</v>
      </c>
      <c r="S715" s="20" t="s">
        <v>36</v>
      </c>
      <c r="T715" s="18" t="s">
        <v>143</v>
      </c>
      <c r="U715" s="20">
        <v>2</v>
      </c>
      <c r="V715" s="120">
        <v>0.26400000000000001</v>
      </c>
      <c r="W715" s="69">
        <f t="shared" si="57"/>
        <v>14.520000000000001</v>
      </c>
      <c r="X715" s="106">
        <v>55</v>
      </c>
      <c r="Y715" s="72" t="str">
        <f t="shared" si="58"/>
        <v>AR_2025_2x SiOLED_SiOLED glasses</v>
      </c>
      <c r="Z715" s="36" t="str">
        <f t="shared" si="59"/>
        <v>AR_2025_2x SiOLED</v>
      </c>
    </row>
    <row r="716" spans="3:26">
      <c r="C716" s="17">
        <v>708</v>
      </c>
      <c r="D716" s="109" t="s">
        <v>129</v>
      </c>
      <c r="E716" s="20" t="s">
        <v>14</v>
      </c>
      <c r="F716" s="20" t="s">
        <v>179</v>
      </c>
      <c r="G716" s="21" t="s">
        <v>97</v>
      </c>
      <c r="H716" s="21" t="s">
        <v>279</v>
      </c>
      <c r="I716" s="19" t="s">
        <v>63</v>
      </c>
      <c r="J716" s="19" t="s">
        <v>27</v>
      </c>
      <c r="K716" s="21" t="s">
        <v>67</v>
      </c>
      <c r="L716" s="33" t="str">
        <f t="shared" si="55"/>
        <v>1x LCoS</v>
      </c>
      <c r="M716" s="21" t="s">
        <v>36</v>
      </c>
      <c r="N716" s="21"/>
      <c r="O716" s="27"/>
      <c r="P716" s="20"/>
      <c r="Q716" s="20"/>
      <c r="R716" s="29">
        <f t="shared" si="56"/>
        <v>0</v>
      </c>
      <c r="S716" s="20" t="s">
        <v>36</v>
      </c>
      <c r="T716" s="18"/>
      <c r="U716" s="20">
        <v>1</v>
      </c>
      <c r="V716" s="120">
        <v>4.3999999999999997E-2</v>
      </c>
      <c r="W716" s="69">
        <f t="shared" si="57"/>
        <v>1.9055558223876239</v>
      </c>
      <c r="X716" s="106">
        <v>43.308086872445998</v>
      </c>
      <c r="Y716" s="72" t="str">
        <f t="shared" si="58"/>
        <v>AR_2025_1x LCoS_Monocular LCoS glasses</v>
      </c>
      <c r="Z716" s="36" t="str">
        <f t="shared" si="59"/>
        <v>AR_2025_1x LCoS</v>
      </c>
    </row>
    <row r="717" spans="3:26">
      <c r="C717" s="17">
        <v>709</v>
      </c>
      <c r="D717" s="109" t="s">
        <v>129</v>
      </c>
      <c r="E717" s="20" t="s">
        <v>14</v>
      </c>
      <c r="F717" s="20" t="s">
        <v>179</v>
      </c>
      <c r="G717" s="21" t="s">
        <v>132</v>
      </c>
      <c r="H717" s="21" t="s">
        <v>199</v>
      </c>
      <c r="I717" s="19" t="s">
        <v>63</v>
      </c>
      <c r="J717" s="19" t="s">
        <v>27</v>
      </c>
      <c r="K717" s="21" t="s">
        <v>120</v>
      </c>
      <c r="L717" s="33" t="str">
        <f t="shared" si="55"/>
        <v>1x MicroLED</v>
      </c>
      <c r="M717" s="21" t="s">
        <v>144</v>
      </c>
      <c r="N717" s="21"/>
      <c r="O717" s="27">
        <v>0.13</v>
      </c>
      <c r="P717" s="20">
        <v>640</v>
      </c>
      <c r="Q717" s="20">
        <v>480</v>
      </c>
      <c r="R717" s="29">
        <f t="shared" si="56"/>
        <v>6153.8461538461534</v>
      </c>
      <c r="S717" s="20" t="s">
        <v>36</v>
      </c>
      <c r="T717" s="18">
        <v>45627</v>
      </c>
      <c r="U717" s="20">
        <v>1</v>
      </c>
      <c r="V717" s="120">
        <v>0.02</v>
      </c>
      <c r="W717" s="69">
        <f t="shared" si="57"/>
        <v>1.3107525840063996</v>
      </c>
      <c r="X717" s="106">
        <v>65.537629200319984</v>
      </c>
      <c r="Y717" s="72" t="str">
        <f t="shared" si="58"/>
        <v>AR_2025_1x MicroLED_Glasses</v>
      </c>
      <c r="Z717" s="36" t="str">
        <f t="shared" si="59"/>
        <v>AR_2025_1x MicroLED</v>
      </c>
    </row>
    <row r="718" spans="3:26">
      <c r="C718" s="17">
        <v>710</v>
      </c>
      <c r="D718" s="109" t="s">
        <v>129</v>
      </c>
      <c r="E718" s="20" t="s">
        <v>14</v>
      </c>
      <c r="F718" s="20" t="s">
        <v>179</v>
      </c>
      <c r="G718" s="21" t="s">
        <v>186</v>
      </c>
      <c r="H718" s="21" t="s">
        <v>200</v>
      </c>
      <c r="I718" s="19" t="s">
        <v>63</v>
      </c>
      <c r="J718" s="19" t="s">
        <v>27</v>
      </c>
      <c r="K718" s="21" t="s">
        <v>51</v>
      </c>
      <c r="L718" s="33" t="str">
        <f t="shared" si="55"/>
        <v>2x SiOLED</v>
      </c>
      <c r="M718" s="21" t="s">
        <v>6</v>
      </c>
      <c r="N718" s="21"/>
      <c r="O718" s="27">
        <v>0.68</v>
      </c>
      <c r="P718" s="20">
        <v>1920</v>
      </c>
      <c r="Q718" s="20">
        <v>1200</v>
      </c>
      <c r="R718" s="29">
        <f t="shared" si="56"/>
        <v>3329.6403995493893</v>
      </c>
      <c r="S718" s="20">
        <v>120</v>
      </c>
      <c r="T718" s="18">
        <v>45627</v>
      </c>
      <c r="U718" s="20">
        <v>2</v>
      </c>
      <c r="V718" s="120">
        <v>4.4999999999999998E-2</v>
      </c>
      <c r="W718" s="69">
        <f t="shared" si="57"/>
        <v>2.25</v>
      </c>
      <c r="X718" s="106">
        <v>50</v>
      </c>
      <c r="Y718" s="72" t="str">
        <f t="shared" si="58"/>
        <v>AR_2025_2x SiOLED_One</v>
      </c>
      <c r="Z718" s="36" t="str">
        <f t="shared" si="59"/>
        <v>AR_2025_2x SiOLED</v>
      </c>
    </row>
    <row r="719" spans="3:26">
      <c r="C719" s="17">
        <v>711</v>
      </c>
      <c r="D719" s="109" t="s">
        <v>129</v>
      </c>
      <c r="E719" s="20" t="s">
        <v>14</v>
      </c>
      <c r="F719" s="20" t="s">
        <v>179</v>
      </c>
      <c r="G719" s="21" t="s">
        <v>186</v>
      </c>
      <c r="H719" s="21" t="s">
        <v>201</v>
      </c>
      <c r="I719" s="19" t="s">
        <v>63</v>
      </c>
      <c r="J719" s="19" t="s">
        <v>27</v>
      </c>
      <c r="K719" s="21" t="s">
        <v>51</v>
      </c>
      <c r="L719" s="33" t="str">
        <f t="shared" si="55"/>
        <v>2x SiOLED</v>
      </c>
      <c r="M719" s="21" t="s">
        <v>6</v>
      </c>
      <c r="N719" s="21"/>
      <c r="O719" s="27">
        <v>0.55000000000000004</v>
      </c>
      <c r="P719" s="20">
        <v>1920</v>
      </c>
      <c r="Q719" s="20">
        <v>1080</v>
      </c>
      <c r="R719" s="29">
        <f t="shared" si="56"/>
        <v>4005.2857637859966</v>
      </c>
      <c r="S719" s="20">
        <v>120</v>
      </c>
      <c r="T719" s="18">
        <v>45627</v>
      </c>
      <c r="U719" s="20">
        <v>2</v>
      </c>
      <c r="V719" s="120">
        <v>0.04</v>
      </c>
      <c r="W719" s="69">
        <f t="shared" si="57"/>
        <v>2.16</v>
      </c>
      <c r="X719" s="106">
        <v>54</v>
      </c>
      <c r="Y719" s="72" t="str">
        <f t="shared" si="58"/>
        <v>AR_2025_2x SiOLED_One Pro</v>
      </c>
      <c r="Z719" s="36" t="str">
        <f t="shared" si="59"/>
        <v>AR_2025_2x SiOLED</v>
      </c>
    </row>
    <row r="720" spans="3:26">
      <c r="C720" s="17">
        <v>712</v>
      </c>
      <c r="D720" s="109" t="s">
        <v>129</v>
      </c>
      <c r="E720" s="20" t="s">
        <v>14</v>
      </c>
      <c r="F720" s="20" t="s">
        <v>179</v>
      </c>
      <c r="G720" s="21" t="s">
        <v>194</v>
      </c>
      <c r="H720" s="21" t="s">
        <v>195</v>
      </c>
      <c r="I720" s="19" t="s">
        <v>63</v>
      </c>
      <c r="J720" s="19" t="s">
        <v>27</v>
      </c>
      <c r="K720" s="21" t="s">
        <v>120</v>
      </c>
      <c r="L720" s="33" t="str">
        <f t="shared" si="55"/>
        <v>2x MicroLED</v>
      </c>
      <c r="M720" s="21" t="s">
        <v>144</v>
      </c>
      <c r="N720" s="21"/>
      <c r="O720" s="27">
        <v>0.13</v>
      </c>
      <c r="P720" s="20">
        <v>640</v>
      </c>
      <c r="Q720" s="20">
        <v>480</v>
      </c>
      <c r="R720" s="29">
        <f t="shared" si="56"/>
        <v>6153.8461538461534</v>
      </c>
      <c r="S720" s="20" t="s">
        <v>36</v>
      </c>
      <c r="T720" s="18">
        <v>45566</v>
      </c>
      <c r="U720" s="20">
        <v>2</v>
      </c>
      <c r="V720" s="120">
        <v>0.01</v>
      </c>
      <c r="W720" s="69">
        <f t="shared" si="57"/>
        <v>0.6553762920031998</v>
      </c>
      <c r="X720" s="106">
        <v>65.537629200319984</v>
      </c>
      <c r="Y720" s="72" t="str">
        <f t="shared" si="58"/>
        <v>AR_2025_2x MicroLED_G1</v>
      </c>
      <c r="Z720" s="36" t="str">
        <f t="shared" si="59"/>
        <v>AR_2025_2x MicroLED</v>
      </c>
    </row>
    <row r="721" spans="3:26">
      <c r="C721" s="17">
        <v>713</v>
      </c>
      <c r="D721" s="109" t="s">
        <v>129</v>
      </c>
      <c r="E721" s="20" t="s">
        <v>14</v>
      </c>
      <c r="F721" s="20" t="s">
        <v>179</v>
      </c>
      <c r="G721" s="21" t="s">
        <v>294</v>
      </c>
      <c r="H721" s="21" t="s">
        <v>198</v>
      </c>
      <c r="I721" s="19" t="s">
        <v>63</v>
      </c>
      <c r="J721" s="19" t="s">
        <v>27</v>
      </c>
      <c r="K721" s="21" t="s">
        <v>51</v>
      </c>
      <c r="L721" s="33" t="str">
        <f t="shared" si="55"/>
        <v>2x SiOLED</v>
      </c>
      <c r="M721" s="21" t="s">
        <v>116</v>
      </c>
      <c r="N721" s="21"/>
      <c r="O721" s="27">
        <v>0.6</v>
      </c>
      <c r="P721" s="20">
        <v>1920</v>
      </c>
      <c r="Q721" s="20">
        <v>1080</v>
      </c>
      <c r="R721" s="29">
        <f t="shared" si="56"/>
        <v>3671.5119501371641</v>
      </c>
      <c r="S721" s="20" t="s">
        <v>36</v>
      </c>
      <c r="T721" s="18">
        <v>45566</v>
      </c>
      <c r="U721" s="20">
        <v>2</v>
      </c>
      <c r="V721" s="120">
        <v>0.06</v>
      </c>
      <c r="W721" s="69">
        <f t="shared" si="57"/>
        <v>2.88</v>
      </c>
      <c r="X721" s="106">
        <v>48</v>
      </c>
      <c r="Y721" s="72" t="str">
        <f t="shared" si="58"/>
        <v>AR_2025_2x SiOLED_Air 3</v>
      </c>
      <c r="Z721" s="36" t="str">
        <f t="shared" si="59"/>
        <v>AR_2025_2x SiOLED</v>
      </c>
    </row>
    <row r="722" spans="3:26">
      <c r="C722" s="17">
        <v>714</v>
      </c>
      <c r="D722" s="109" t="s">
        <v>129</v>
      </c>
      <c r="E722" s="20" t="s">
        <v>14</v>
      </c>
      <c r="F722" s="20" t="s">
        <v>179</v>
      </c>
      <c r="G722" s="21" t="s">
        <v>189</v>
      </c>
      <c r="H722" s="21" t="s">
        <v>289</v>
      </c>
      <c r="I722" s="19" t="s">
        <v>63</v>
      </c>
      <c r="J722" s="19" t="s">
        <v>27</v>
      </c>
      <c r="K722" s="21" t="s">
        <v>120</v>
      </c>
      <c r="L722" s="33" t="str">
        <f t="shared" si="55"/>
        <v>1x MicroLED</v>
      </c>
      <c r="M722" s="21" t="s">
        <v>144</v>
      </c>
      <c r="N722" s="21"/>
      <c r="O722" s="27">
        <v>0.13</v>
      </c>
      <c r="P722" s="20">
        <v>640</v>
      </c>
      <c r="Q722" s="20">
        <v>480</v>
      </c>
      <c r="R722" s="29">
        <f t="shared" si="56"/>
        <v>6153.8461538461534</v>
      </c>
      <c r="S722" s="20" t="s">
        <v>36</v>
      </c>
      <c r="T722" s="18">
        <v>45597</v>
      </c>
      <c r="U722" s="20">
        <v>1</v>
      </c>
      <c r="V722" s="120">
        <v>0.01</v>
      </c>
      <c r="W722" s="69">
        <f t="shared" si="57"/>
        <v>0.6553762920031998</v>
      </c>
      <c r="X722" s="106">
        <v>65.537629200319984</v>
      </c>
      <c r="Y722" s="72" t="str">
        <f t="shared" si="58"/>
        <v>AR_2025_1x MicroLED_Meizu StarV Air 2</v>
      </c>
      <c r="Z722" s="36" t="str">
        <f t="shared" si="59"/>
        <v>AR_2025_1x MicroLED</v>
      </c>
    </row>
    <row r="723" spans="3:26">
      <c r="C723" s="17">
        <v>715</v>
      </c>
      <c r="D723" s="109" t="s">
        <v>129</v>
      </c>
      <c r="E723" s="20" t="s">
        <v>14</v>
      </c>
      <c r="F723" s="20" t="s">
        <v>179</v>
      </c>
      <c r="G723" s="21" t="s">
        <v>294</v>
      </c>
      <c r="H723" s="21" t="s">
        <v>295</v>
      </c>
      <c r="I723" s="19" t="s">
        <v>63</v>
      </c>
      <c r="J723" s="19" t="s">
        <v>27</v>
      </c>
      <c r="K723" s="21" t="s">
        <v>51</v>
      </c>
      <c r="L723" s="33" t="str">
        <f t="shared" si="55"/>
        <v>2x SiOLED</v>
      </c>
      <c r="M723" s="21" t="s">
        <v>116</v>
      </c>
      <c r="N723" s="21"/>
      <c r="O723" s="27">
        <v>0.6</v>
      </c>
      <c r="P723" s="20">
        <v>1920</v>
      </c>
      <c r="Q723" s="20">
        <v>1080</v>
      </c>
      <c r="R723" s="29">
        <f t="shared" si="56"/>
        <v>3671.5119501371641</v>
      </c>
      <c r="S723" s="20" t="s">
        <v>36</v>
      </c>
      <c r="T723" s="18">
        <v>45870</v>
      </c>
      <c r="U723" s="20">
        <v>2</v>
      </c>
      <c r="V723" s="120">
        <v>5.5E-2</v>
      </c>
      <c r="W723" s="69">
        <f t="shared" si="57"/>
        <v>2.64</v>
      </c>
      <c r="X723" s="106">
        <v>48</v>
      </c>
      <c r="Y723" s="72" t="str">
        <f t="shared" si="58"/>
        <v>AR_2025_2x SiOLED_Air 3s Pro</v>
      </c>
      <c r="Z723" s="36" t="str">
        <f t="shared" si="59"/>
        <v>AR_2025_2x SiOLED</v>
      </c>
    </row>
    <row r="724" spans="3:26">
      <c r="C724" s="17">
        <v>716</v>
      </c>
      <c r="D724" s="109" t="s">
        <v>129</v>
      </c>
      <c r="E724" s="20" t="s">
        <v>14</v>
      </c>
      <c r="F724" s="20" t="s">
        <v>179</v>
      </c>
      <c r="G724" s="21" t="s">
        <v>294</v>
      </c>
      <c r="H724" s="21" t="s">
        <v>296</v>
      </c>
      <c r="I724" s="19" t="s">
        <v>63</v>
      </c>
      <c r="J724" s="19" t="s">
        <v>27</v>
      </c>
      <c r="K724" s="21" t="s">
        <v>120</v>
      </c>
      <c r="L724" s="33" t="str">
        <f t="shared" si="55"/>
        <v>2x MicroLED</v>
      </c>
      <c r="M724" s="21" t="s">
        <v>144</v>
      </c>
      <c r="N724" s="21"/>
      <c r="O724" s="27">
        <v>0.13</v>
      </c>
      <c r="P724" s="20">
        <v>640</v>
      </c>
      <c r="Q724" s="20">
        <v>480</v>
      </c>
      <c r="R724" s="29">
        <f t="shared" si="56"/>
        <v>6153.8461538461534</v>
      </c>
      <c r="S724" s="20" t="s">
        <v>36</v>
      </c>
      <c r="T724" s="18">
        <v>45809</v>
      </c>
      <c r="U724" s="20">
        <v>2</v>
      </c>
      <c r="V724" s="120">
        <v>3.0000000000000001E-3</v>
      </c>
      <c r="W724" s="69">
        <f t="shared" si="57"/>
        <v>0.27</v>
      </c>
      <c r="X724" s="106">
        <v>90</v>
      </c>
      <c r="Y724" s="72" t="str">
        <f t="shared" si="58"/>
        <v>AR_2025_2x MicroLED_X3 Pro</v>
      </c>
      <c r="Z724" s="36" t="str">
        <f t="shared" si="59"/>
        <v>AR_2025_2x MicroLED</v>
      </c>
    </row>
    <row r="725" spans="3:26">
      <c r="C725" s="17">
        <v>717</v>
      </c>
      <c r="D725" s="109" t="s">
        <v>129</v>
      </c>
      <c r="E725" s="20" t="s">
        <v>14</v>
      </c>
      <c r="F725" s="20" t="s">
        <v>179</v>
      </c>
      <c r="G725" s="21" t="s">
        <v>112</v>
      </c>
      <c r="H725" s="21" t="s">
        <v>298</v>
      </c>
      <c r="I725" s="19" t="s">
        <v>63</v>
      </c>
      <c r="J725" s="19" t="s">
        <v>27</v>
      </c>
      <c r="K725" s="21" t="s">
        <v>67</v>
      </c>
      <c r="L725" s="33" t="str">
        <f t="shared" si="55"/>
        <v>1x LCoS</v>
      </c>
      <c r="M725" s="21" t="s">
        <v>302</v>
      </c>
      <c r="N725" s="21"/>
      <c r="O725" s="27">
        <v>0.14000000000000001</v>
      </c>
      <c r="P725" s="20">
        <v>648</v>
      </c>
      <c r="Q725" s="20">
        <v>648</v>
      </c>
      <c r="R725" s="29">
        <f t="shared" si="56"/>
        <v>6545.7884886983247</v>
      </c>
      <c r="S725" s="20">
        <v>120</v>
      </c>
      <c r="T725" s="18">
        <v>45901</v>
      </c>
      <c r="U725" s="20">
        <v>1</v>
      </c>
      <c r="V725" s="120">
        <v>0.05</v>
      </c>
      <c r="W725" s="69">
        <f t="shared" si="57"/>
        <v>2.25</v>
      </c>
      <c r="X725" s="106">
        <v>45</v>
      </c>
      <c r="Y725" s="72" t="str">
        <f t="shared" si="58"/>
        <v>AR_2025_1x LCoS_Ray-Ban Meta Display</v>
      </c>
      <c r="Z725" s="36" t="str">
        <f t="shared" si="59"/>
        <v>AR_2025_1x LCoS</v>
      </c>
    </row>
    <row r="726" spans="3:26">
      <c r="C726" s="17">
        <v>718</v>
      </c>
      <c r="D726" s="109" t="s">
        <v>129</v>
      </c>
      <c r="E726" s="20" t="s">
        <v>14</v>
      </c>
      <c r="F726" s="20" t="s">
        <v>179</v>
      </c>
      <c r="G726" s="21" t="s">
        <v>299</v>
      </c>
      <c r="H726" s="21" t="s">
        <v>300</v>
      </c>
      <c r="I726" s="19" t="s">
        <v>63</v>
      </c>
      <c r="J726" s="19" t="s">
        <v>27</v>
      </c>
      <c r="K726" s="21" t="s">
        <v>120</v>
      </c>
      <c r="L726" s="33" t="str">
        <f t="shared" si="55"/>
        <v>2x MicroLED</v>
      </c>
      <c r="M726" s="21" t="s">
        <v>144</v>
      </c>
      <c r="N726" s="21"/>
      <c r="O726" s="27">
        <v>0.13</v>
      </c>
      <c r="P726" s="20">
        <v>640</v>
      </c>
      <c r="Q726" s="20">
        <v>480</v>
      </c>
      <c r="R726" s="29">
        <f t="shared" si="56"/>
        <v>6153.8461538461534</v>
      </c>
      <c r="S726" s="20" t="s">
        <v>36</v>
      </c>
      <c r="T726" s="18">
        <v>45992</v>
      </c>
      <c r="U726" s="20">
        <v>2</v>
      </c>
      <c r="V726" s="120">
        <v>2.5000000000000001E-2</v>
      </c>
      <c r="W726" s="69">
        <f t="shared" si="57"/>
        <v>1.5</v>
      </c>
      <c r="X726" s="106">
        <v>60</v>
      </c>
      <c r="Y726" s="72" t="str">
        <f t="shared" si="58"/>
        <v>AR_2025_2x MicroLED_Quark AI</v>
      </c>
      <c r="Z726" s="36" t="str">
        <f t="shared" si="59"/>
        <v>AR_2025_2x MicroLED</v>
      </c>
    </row>
    <row r="727" spans="3:26">
      <c r="C727" s="17">
        <v>719</v>
      </c>
      <c r="D727" s="109" t="s">
        <v>26</v>
      </c>
      <c r="E727" s="20" t="s">
        <v>14</v>
      </c>
      <c r="F727" s="20" t="s">
        <v>182</v>
      </c>
      <c r="G727" s="21" t="s">
        <v>112</v>
      </c>
      <c r="H727" s="21" t="s">
        <v>137</v>
      </c>
      <c r="I727" s="19" t="s">
        <v>26</v>
      </c>
      <c r="J727" s="19" t="s">
        <v>31</v>
      </c>
      <c r="K727" s="21" t="s">
        <v>15</v>
      </c>
      <c r="L727" s="33" t="str">
        <f t="shared" si="55"/>
        <v>2x LCD</v>
      </c>
      <c r="M727" s="21" t="s">
        <v>4</v>
      </c>
      <c r="N727" s="21" t="s">
        <v>2</v>
      </c>
      <c r="O727" s="27"/>
      <c r="P727" s="20"/>
      <c r="Q727" s="20"/>
      <c r="R727" s="29">
        <f t="shared" si="56"/>
        <v>0</v>
      </c>
      <c r="S727" s="20"/>
      <c r="T727" s="18">
        <v>45200</v>
      </c>
      <c r="U727" s="20">
        <v>2</v>
      </c>
      <c r="V727" s="120">
        <v>0.45</v>
      </c>
      <c r="W727" s="69">
        <f t="shared" si="57"/>
        <v>15.945162855552002</v>
      </c>
      <c r="X727" s="106">
        <v>35.433695234560005</v>
      </c>
      <c r="Y727" s="72" t="str">
        <f t="shared" si="58"/>
        <v>VR_2025_2x LCD_Quest 3</v>
      </c>
      <c r="Z727" s="36" t="str">
        <f t="shared" si="59"/>
        <v>VR_2025_2x LCD</v>
      </c>
    </row>
    <row r="728" spans="3:26">
      <c r="C728" s="17">
        <v>720</v>
      </c>
      <c r="D728" s="109" t="s">
        <v>26</v>
      </c>
      <c r="E728" s="20" t="s">
        <v>14</v>
      </c>
      <c r="F728" s="20" t="s">
        <v>182</v>
      </c>
      <c r="G728" s="21" t="s">
        <v>97</v>
      </c>
      <c r="H728" s="21" t="s">
        <v>111</v>
      </c>
      <c r="I728" s="19" t="s">
        <v>26</v>
      </c>
      <c r="J728" s="19" t="s">
        <v>36</v>
      </c>
      <c r="K728" s="21" t="s">
        <v>15</v>
      </c>
      <c r="L728" s="33" t="str">
        <f t="shared" si="55"/>
        <v>2x LCD</v>
      </c>
      <c r="M728" s="21" t="s">
        <v>36</v>
      </c>
      <c r="N728" s="21" t="s">
        <v>143</v>
      </c>
      <c r="O728" s="27"/>
      <c r="P728" s="20"/>
      <c r="Q728" s="20"/>
      <c r="R728" s="29">
        <f t="shared" si="56"/>
        <v>0</v>
      </c>
      <c r="S728" s="20" t="s">
        <v>36</v>
      </c>
      <c r="T728" s="18" t="s">
        <v>143</v>
      </c>
      <c r="U728" s="20">
        <v>2</v>
      </c>
      <c r="V728" s="120">
        <v>0.3</v>
      </c>
      <c r="W728" s="69">
        <f t="shared" si="57"/>
        <v>10.630108570368002</v>
      </c>
      <c r="X728" s="106">
        <v>35.433695234560005</v>
      </c>
      <c r="Y728" s="72" t="str">
        <f t="shared" si="58"/>
        <v>VR_2025_2x LCD_Dual LCD VR headset</v>
      </c>
      <c r="Z728" s="36" t="str">
        <f t="shared" si="59"/>
        <v>VR_2025_2x LCD</v>
      </c>
    </row>
    <row r="729" spans="3:26">
      <c r="C729" s="17">
        <v>721</v>
      </c>
      <c r="D729" s="109" t="s">
        <v>26</v>
      </c>
      <c r="E729" s="20" t="s">
        <v>14</v>
      </c>
      <c r="F729" s="20" t="s">
        <v>182</v>
      </c>
      <c r="G729" s="21" t="s">
        <v>97</v>
      </c>
      <c r="H729" s="21" t="s">
        <v>138</v>
      </c>
      <c r="I729" s="19" t="s">
        <v>26</v>
      </c>
      <c r="J729" s="19" t="s">
        <v>36</v>
      </c>
      <c r="K729" s="21" t="s">
        <v>51</v>
      </c>
      <c r="L729" s="33" t="str">
        <f t="shared" si="55"/>
        <v>2x SiOLED</v>
      </c>
      <c r="M729" s="21" t="s">
        <v>36</v>
      </c>
      <c r="N729" s="21"/>
      <c r="O729" s="27"/>
      <c r="P729" s="20"/>
      <c r="Q729" s="20"/>
      <c r="R729" s="29">
        <f t="shared" si="56"/>
        <v>0</v>
      </c>
      <c r="S729" s="20" t="s">
        <v>36</v>
      </c>
      <c r="T729" s="18"/>
      <c r="U729" s="20">
        <v>2</v>
      </c>
      <c r="V729" s="120">
        <v>0.11</v>
      </c>
      <c r="W729" s="69">
        <f t="shared" si="57"/>
        <v>14.3</v>
      </c>
      <c r="X729" s="106">
        <v>130</v>
      </c>
      <c r="Y729" s="72" t="str">
        <f t="shared" si="58"/>
        <v>VR_2025_2x SiOLED_Dual SiOLED headset</v>
      </c>
      <c r="Z729" s="36" t="str">
        <f t="shared" si="59"/>
        <v>VR_2025_2x SiOLED</v>
      </c>
    </row>
    <row r="730" spans="3:26">
      <c r="C730" s="17">
        <v>722</v>
      </c>
      <c r="D730" s="109" t="s">
        <v>26</v>
      </c>
      <c r="E730" s="20" t="s">
        <v>14</v>
      </c>
      <c r="F730" s="20" t="s">
        <v>182</v>
      </c>
      <c r="G730" s="21" t="s">
        <v>97</v>
      </c>
      <c r="H730" s="21" t="s">
        <v>161</v>
      </c>
      <c r="I730" s="19" t="s">
        <v>26</v>
      </c>
      <c r="J730" s="19" t="s">
        <v>36</v>
      </c>
      <c r="K730" s="21" t="s">
        <v>15</v>
      </c>
      <c r="L730" s="33" t="str">
        <f t="shared" si="55"/>
        <v>1x LCD</v>
      </c>
      <c r="M730" s="21" t="s">
        <v>36</v>
      </c>
      <c r="N730" s="21" t="s">
        <v>143</v>
      </c>
      <c r="O730" s="27"/>
      <c r="P730" s="20"/>
      <c r="Q730" s="20"/>
      <c r="R730" s="29">
        <f t="shared" si="56"/>
        <v>0</v>
      </c>
      <c r="S730" s="20" t="s">
        <v>36</v>
      </c>
      <c r="T730" s="18" t="s">
        <v>143</v>
      </c>
      <c r="U730" s="20">
        <v>1</v>
      </c>
      <c r="V730" s="120">
        <v>0.02</v>
      </c>
      <c r="W730" s="69">
        <f t="shared" si="57"/>
        <v>1.06</v>
      </c>
      <c r="X730" s="106">
        <v>53</v>
      </c>
      <c r="Y730" s="72" t="str">
        <f t="shared" si="58"/>
        <v>VR_2025_1x LCD_Single LCD VR headset</v>
      </c>
      <c r="Z730" s="36" t="str">
        <f t="shared" si="59"/>
        <v>VR_2025_1x LCD</v>
      </c>
    </row>
    <row r="731" spans="3:26">
      <c r="C731" s="17">
        <v>723</v>
      </c>
      <c r="D731" s="109" t="s">
        <v>26</v>
      </c>
      <c r="E731" s="20" t="s">
        <v>14</v>
      </c>
      <c r="F731" s="20" t="s">
        <v>182</v>
      </c>
      <c r="G731" s="21" t="s">
        <v>112</v>
      </c>
      <c r="H731" s="21" t="s">
        <v>196</v>
      </c>
      <c r="I731" s="19" t="s">
        <v>26</v>
      </c>
      <c r="J731" s="19" t="s">
        <v>31</v>
      </c>
      <c r="K731" s="21" t="s">
        <v>15</v>
      </c>
      <c r="L731" s="33" t="str">
        <f t="shared" si="55"/>
        <v>1x LCD</v>
      </c>
      <c r="M731" s="21" t="s">
        <v>2</v>
      </c>
      <c r="N731" s="21" t="s">
        <v>4</v>
      </c>
      <c r="O731" s="27">
        <v>5.5</v>
      </c>
      <c r="P731" s="20">
        <v>3840</v>
      </c>
      <c r="Q731" s="20">
        <v>1832</v>
      </c>
      <c r="R731" s="29">
        <f t="shared" si="56"/>
        <v>773.56797048396322</v>
      </c>
      <c r="S731" s="20">
        <v>120</v>
      </c>
      <c r="T731" s="18">
        <v>45566</v>
      </c>
      <c r="U731" s="20">
        <v>1</v>
      </c>
      <c r="V731" s="120">
        <v>0.6</v>
      </c>
      <c r="W731" s="69">
        <f t="shared" si="57"/>
        <v>32.4</v>
      </c>
      <c r="X731" s="106">
        <v>54</v>
      </c>
      <c r="Y731" s="72" t="str">
        <f t="shared" si="58"/>
        <v>VR_2025_1x LCD_Quest 3S</v>
      </c>
      <c r="Z731" s="36" t="str">
        <f t="shared" si="59"/>
        <v>VR_2025_1x LCD</v>
      </c>
    </row>
    <row r="732" spans="3:26">
      <c r="C732" s="17">
        <v>724</v>
      </c>
      <c r="D732" s="109" t="s">
        <v>129</v>
      </c>
      <c r="E732" s="20" t="s">
        <v>14</v>
      </c>
      <c r="F732" s="20" t="s">
        <v>182</v>
      </c>
      <c r="G732" s="21" t="s">
        <v>97</v>
      </c>
      <c r="H732" s="21" t="s">
        <v>123</v>
      </c>
      <c r="I732" s="19" t="s">
        <v>63</v>
      </c>
      <c r="J732" s="19" t="s">
        <v>36</v>
      </c>
      <c r="K732" s="21" t="s">
        <v>120</v>
      </c>
      <c r="L732" s="33" t="str">
        <f t="shared" si="55"/>
        <v>2x MicroLED</v>
      </c>
      <c r="M732" s="21" t="s">
        <v>36</v>
      </c>
      <c r="N732" s="21"/>
      <c r="O732" s="27"/>
      <c r="P732" s="20"/>
      <c r="Q732" s="20"/>
      <c r="R732" s="29">
        <f t="shared" si="56"/>
        <v>0</v>
      </c>
      <c r="S732" s="20" t="s">
        <v>36</v>
      </c>
      <c r="T732" s="18" t="s">
        <v>143</v>
      </c>
      <c r="U732" s="20">
        <v>2</v>
      </c>
      <c r="V732" s="120">
        <v>2.1999999999999999E-2</v>
      </c>
      <c r="W732" s="69">
        <f t="shared" si="57"/>
        <v>1.4418278424070397</v>
      </c>
      <c r="X732" s="106">
        <v>65.537629200319984</v>
      </c>
      <c r="Y732" s="72" t="str">
        <f t="shared" si="58"/>
        <v>AR_2025_2x MicroLED_Binocular MicroLED</v>
      </c>
      <c r="Z732" s="36" t="str">
        <f t="shared" si="59"/>
        <v>AR_2025_2x MicroLED</v>
      </c>
    </row>
    <row r="733" spans="3:26">
      <c r="C733" s="17">
        <v>725</v>
      </c>
      <c r="D733" s="109" t="s">
        <v>129</v>
      </c>
      <c r="E733" s="20" t="s">
        <v>14</v>
      </c>
      <c r="F733" s="20" t="s">
        <v>182</v>
      </c>
      <c r="G733" s="21" t="s">
        <v>97</v>
      </c>
      <c r="H733" s="21" t="s">
        <v>76</v>
      </c>
      <c r="I733" s="19" t="s">
        <v>63</v>
      </c>
      <c r="J733" s="19" t="s">
        <v>36</v>
      </c>
      <c r="K733" s="21" t="s">
        <v>70</v>
      </c>
      <c r="L733" s="33" t="str">
        <f t="shared" si="55"/>
        <v>1x DLP</v>
      </c>
      <c r="M733" s="21" t="s">
        <v>36</v>
      </c>
      <c r="N733" s="21"/>
      <c r="O733" s="27"/>
      <c r="P733" s="20"/>
      <c r="Q733" s="20"/>
      <c r="R733" s="29">
        <f t="shared" si="56"/>
        <v>0</v>
      </c>
      <c r="S733" s="20" t="s">
        <v>36</v>
      </c>
      <c r="T733" s="18" t="s">
        <v>143</v>
      </c>
      <c r="U733" s="20">
        <v>1</v>
      </c>
      <c r="V733" s="120">
        <v>1.1E-4</v>
      </c>
      <c r="W733" s="69">
        <f t="shared" si="57"/>
        <v>8.5957137640311296E-3</v>
      </c>
      <c r="X733" s="106">
        <v>78.14285240028299</v>
      </c>
      <c r="Y733" s="72" t="str">
        <f t="shared" si="58"/>
        <v>AR_2025_1x DLP_DLP glasses</v>
      </c>
      <c r="Z733" s="36" t="str">
        <f t="shared" si="59"/>
        <v>AR_2025_1x DLP</v>
      </c>
    </row>
    <row r="734" spans="3:26">
      <c r="C734" s="17">
        <v>726</v>
      </c>
      <c r="D734" s="109" t="s">
        <v>129</v>
      </c>
      <c r="E734" s="20" t="s">
        <v>14</v>
      </c>
      <c r="F734" s="20" t="s">
        <v>182</v>
      </c>
      <c r="G734" s="21" t="s">
        <v>97</v>
      </c>
      <c r="H734" s="21" t="s">
        <v>75</v>
      </c>
      <c r="I734" s="19" t="s">
        <v>63</v>
      </c>
      <c r="J734" s="19" t="s">
        <v>36</v>
      </c>
      <c r="K734" s="21" t="s">
        <v>67</v>
      </c>
      <c r="L734" s="33" t="str">
        <f t="shared" si="55"/>
        <v>2x LCoS</v>
      </c>
      <c r="M734" s="21" t="s">
        <v>36</v>
      </c>
      <c r="N734" s="21"/>
      <c r="O734" s="27"/>
      <c r="P734" s="20"/>
      <c r="Q734" s="20"/>
      <c r="R734" s="29">
        <f t="shared" si="56"/>
        <v>0</v>
      </c>
      <c r="S734" s="20" t="s">
        <v>36</v>
      </c>
      <c r="T734" s="18" t="s">
        <v>143</v>
      </c>
      <c r="U734" s="20">
        <v>2</v>
      </c>
      <c r="V734" s="120">
        <v>2.1999999999999999E-2</v>
      </c>
      <c r="W734" s="69">
        <f t="shared" si="57"/>
        <v>0.95277791119381194</v>
      </c>
      <c r="X734" s="106">
        <v>43.308086872445998</v>
      </c>
      <c r="Y734" s="72" t="str">
        <f t="shared" si="58"/>
        <v>AR_2025_2x LCoS_LCoS glasses</v>
      </c>
      <c r="Z734" s="36" t="str">
        <f t="shared" si="59"/>
        <v>AR_2025_2x LCoS</v>
      </c>
    </row>
    <row r="735" spans="3:26">
      <c r="C735" s="17">
        <v>727</v>
      </c>
      <c r="D735" s="109" t="s">
        <v>129</v>
      </c>
      <c r="E735" s="20" t="s">
        <v>14</v>
      </c>
      <c r="F735" s="20" t="s">
        <v>182</v>
      </c>
      <c r="G735" s="21" t="s">
        <v>97</v>
      </c>
      <c r="H735" s="21" t="s">
        <v>121</v>
      </c>
      <c r="I735" s="19" t="s">
        <v>63</v>
      </c>
      <c r="J735" s="19" t="s">
        <v>36</v>
      </c>
      <c r="K735" s="21" t="s">
        <v>120</v>
      </c>
      <c r="L735" s="33" t="str">
        <f t="shared" si="55"/>
        <v>1x MicroLED</v>
      </c>
      <c r="M735" s="21" t="s">
        <v>36</v>
      </c>
      <c r="N735" s="21"/>
      <c r="O735" s="27"/>
      <c r="P735" s="20"/>
      <c r="Q735" s="20"/>
      <c r="R735" s="29">
        <f t="shared" si="56"/>
        <v>0</v>
      </c>
      <c r="S735" s="20" t="s">
        <v>36</v>
      </c>
      <c r="T735" s="18" t="s">
        <v>143</v>
      </c>
      <c r="U735" s="20">
        <v>1</v>
      </c>
      <c r="V735" s="120">
        <v>3.3000000000000002E-2</v>
      </c>
      <c r="W735" s="69">
        <f t="shared" si="57"/>
        <v>2.1627417636105597</v>
      </c>
      <c r="X735" s="106">
        <v>65.537629200319984</v>
      </c>
      <c r="Y735" s="72" t="str">
        <f t="shared" si="58"/>
        <v>AR_2025_1x MicroLED_Monocular MicroLED</v>
      </c>
      <c r="Z735" s="36" t="str">
        <f t="shared" si="59"/>
        <v>AR_2025_1x MicroLED</v>
      </c>
    </row>
    <row r="736" spans="3:26">
      <c r="C736" s="17">
        <v>728</v>
      </c>
      <c r="D736" s="109" t="s">
        <v>129</v>
      </c>
      <c r="E736" s="20" t="s">
        <v>14</v>
      </c>
      <c r="F736" s="20" t="s">
        <v>182</v>
      </c>
      <c r="G736" s="21" t="s">
        <v>97</v>
      </c>
      <c r="H736" s="21" t="s">
        <v>79</v>
      </c>
      <c r="I736" s="19" t="s">
        <v>63</v>
      </c>
      <c r="J736" s="19" t="s">
        <v>36</v>
      </c>
      <c r="K736" s="21" t="s">
        <v>51</v>
      </c>
      <c r="L736" s="33" t="str">
        <f t="shared" si="55"/>
        <v>2x SiOLED</v>
      </c>
      <c r="M736" s="21" t="s">
        <v>36</v>
      </c>
      <c r="N736" s="21"/>
      <c r="O736" s="27"/>
      <c r="P736" s="20"/>
      <c r="Q736" s="20"/>
      <c r="R736" s="29">
        <f t="shared" si="56"/>
        <v>0</v>
      </c>
      <c r="S736" s="20" t="s">
        <v>36</v>
      </c>
      <c r="T736" s="18" t="s">
        <v>143</v>
      </c>
      <c r="U736" s="20">
        <v>2</v>
      </c>
      <c r="V736" s="120">
        <v>0.308</v>
      </c>
      <c r="W736" s="69">
        <f t="shared" si="57"/>
        <v>16.940000000000001</v>
      </c>
      <c r="X736" s="106">
        <v>55</v>
      </c>
      <c r="Y736" s="72" t="str">
        <f t="shared" si="58"/>
        <v>AR_2025_2x SiOLED_SiOLED glasses</v>
      </c>
      <c r="Z736" s="36" t="str">
        <f t="shared" si="59"/>
        <v>AR_2025_2x SiOLED</v>
      </c>
    </row>
    <row r="737" spans="3:26">
      <c r="C737" s="17">
        <v>729</v>
      </c>
      <c r="D737" s="109" t="s">
        <v>129</v>
      </c>
      <c r="E737" s="20" t="s">
        <v>14</v>
      </c>
      <c r="F737" s="20" t="s">
        <v>182</v>
      </c>
      <c r="G737" s="21" t="s">
        <v>97</v>
      </c>
      <c r="H737" s="21" t="s">
        <v>279</v>
      </c>
      <c r="I737" s="19" t="s">
        <v>63</v>
      </c>
      <c r="J737" s="19" t="s">
        <v>27</v>
      </c>
      <c r="K737" s="21" t="s">
        <v>67</v>
      </c>
      <c r="L737" s="33" t="str">
        <f t="shared" si="55"/>
        <v>1x LCoS</v>
      </c>
      <c r="M737" s="21" t="s">
        <v>36</v>
      </c>
      <c r="N737" s="21"/>
      <c r="O737" s="27"/>
      <c r="P737" s="20"/>
      <c r="Q737" s="20"/>
      <c r="R737" s="29">
        <f t="shared" si="56"/>
        <v>0</v>
      </c>
      <c r="S737" s="20" t="s">
        <v>36</v>
      </c>
      <c r="T737" s="18"/>
      <c r="U737" s="20">
        <v>1</v>
      </c>
      <c r="V737" s="120">
        <v>1.0999999999999999E-2</v>
      </c>
      <c r="W737" s="69">
        <f t="shared" si="57"/>
        <v>0.47638895559690597</v>
      </c>
      <c r="X737" s="106">
        <v>43.308086872445998</v>
      </c>
      <c r="Y737" s="72" t="str">
        <f t="shared" si="58"/>
        <v>AR_2025_1x LCoS_Monocular LCoS glasses</v>
      </c>
      <c r="Z737" s="36" t="str">
        <f t="shared" si="59"/>
        <v>AR_2025_1x LCoS</v>
      </c>
    </row>
    <row r="738" spans="3:26">
      <c r="C738" s="17">
        <v>730</v>
      </c>
      <c r="D738" s="109" t="s">
        <v>26</v>
      </c>
      <c r="E738" s="20" t="s">
        <v>86</v>
      </c>
      <c r="F738" s="20" t="s">
        <v>176</v>
      </c>
      <c r="G738" s="21" t="s">
        <v>97</v>
      </c>
      <c r="H738" s="21" t="s">
        <v>111</v>
      </c>
      <c r="I738" s="19" t="s">
        <v>26</v>
      </c>
      <c r="J738" s="19" t="s">
        <v>36</v>
      </c>
      <c r="K738" s="21" t="s">
        <v>15</v>
      </c>
      <c r="L738" s="33" t="str">
        <f t="shared" si="55"/>
        <v>2x LCD</v>
      </c>
      <c r="M738" s="21" t="s">
        <v>36</v>
      </c>
      <c r="N738" s="21" t="s">
        <v>143</v>
      </c>
      <c r="O738" s="27"/>
      <c r="P738" s="20"/>
      <c r="Q738" s="20"/>
      <c r="R738" s="29">
        <f t="shared" si="56"/>
        <v>0</v>
      </c>
      <c r="S738" s="20" t="s">
        <v>36</v>
      </c>
      <c r="T738" s="18" t="s">
        <v>143</v>
      </c>
      <c r="U738" s="20">
        <v>2</v>
      </c>
      <c r="V738" s="120">
        <v>1.65</v>
      </c>
      <c r="W738" s="69">
        <f t="shared" si="57"/>
        <v>57.29628519428352</v>
      </c>
      <c r="X738" s="106">
        <v>34.725021329868802</v>
      </c>
      <c r="Y738" s="72" t="str">
        <f t="shared" si="58"/>
        <v>VR_2026_2x LCD_Dual LCD VR headset</v>
      </c>
      <c r="Z738" s="36" t="str">
        <f t="shared" si="59"/>
        <v>VR_2026_2x LCD</v>
      </c>
    </row>
    <row r="739" spans="3:26">
      <c r="C739" s="17">
        <v>731</v>
      </c>
      <c r="D739" s="109" t="s">
        <v>26</v>
      </c>
      <c r="E739" s="20" t="s">
        <v>86</v>
      </c>
      <c r="F739" s="20" t="s">
        <v>176</v>
      </c>
      <c r="G739" s="21" t="s">
        <v>97</v>
      </c>
      <c r="H739" s="21" t="s">
        <v>138</v>
      </c>
      <c r="I739" s="19" t="s">
        <v>26</v>
      </c>
      <c r="J739" s="19" t="s">
        <v>36</v>
      </c>
      <c r="K739" s="21" t="s">
        <v>51</v>
      </c>
      <c r="L739" s="33" t="str">
        <f t="shared" si="55"/>
        <v>2x SiOLED</v>
      </c>
      <c r="M739" s="21" t="s">
        <v>36</v>
      </c>
      <c r="N739" s="21"/>
      <c r="O739" s="27"/>
      <c r="P739" s="20"/>
      <c r="Q739" s="20"/>
      <c r="R739" s="29">
        <f t="shared" si="56"/>
        <v>0</v>
      </c>
      <c r="S739" s="20" t="s">
        <v>36</v>
      </c>
      <c r="T739" s="18"/>
      <c r="U739" s="20">
        <v>2</v>
      </c>
      <c r="V739" s="120">
        <v>0.11</v>
      </c>
      <c r="W739" s="69">
        <f t="shared" si="57"/>
        <v>14.3</v>
      </c>
      <c r="X739" s="106">
        <v>130</v>
      </c>
      <c r="Y739" s="72" t="str">
        <f t="shared" si="58"/>
        <v>VR_2026_2x SiOLED_Dual SiOLED headset</v>
      </c>
      <c r="Z739" s="36" t="str">
        <f t="shared" si="59"/>
        <v>VR_2026_2x SiOLED</v>
      </c>
    </row>
    <row r="740" spans="3:26">
      <c r="C740" s="17">
        <v>732</v>
      </c>
      <c r="D740" s="109" t="s">
        <v>26</v>
      </c>
      <c r="E740" s="20" t="s">
        <v>86</v>
      </c>
      <c r="F740" s="20" t="s">
        <v>176</v>
      </c>
      <c r="G740" s="21" t="s">
        <v>97</v>
      </c>
      <c r="H740" s="21" t="s">
        <v>42</v>
      </c>
      <c r="I740" s="19" t="s">
        <v>26</v>
      </c>
      <c r="J740" s="19" t="s">
        <v>36</v>
      </c>
      <c r="K740" s="21" t="s">
        <v>28</v>
      </c>
      <c r="L740" s="33" t="str">
        <f t="shared" si="55"/>
        <v>2x AMOLED</v>
      </c>
      <c r="M740" s="21" t="s">
        <v>36</v>
      </c>
      <c r="N740" s="21" t="s">
        <v>143</v>
      </c>
      <c r="O740" s="27"/>
      <c r="P740" s="20"/>
      <c r="Q740" s="20"/>
      <c r="R740" s="29">
        <f t="shared" si="56"/>
        <v>0</v>
      </c>
      <c r="S740" s="20" t="s">
        <v>36</v>
      </c>
      <c r="T740" s="18" t="s">
        <v>143</v>
      </c>
      <c r="U740" s="20">
        <v>2</v>
      </c>
      <c r="V740" s="120">
        <v>2.1999999999999999E-2</v>
      </c>
      <c r="W740" s="69">
        <f t="shared" si="57"/>
        <v>0.86571055531690477</v>
      </c>
      <c r="X740" s="106">
        <v>39.350479787132038</v>
      </c>
      <c r="Y740" s="72" t="str">
        <f t="shared" si="58"/>
        <v>VR_2026_2x AMOLED_OLED VR headset</v>
      </c>
      <c r="Z740" s="36" t="str">
        <f t="shared" si="59"/>
        <v>VR_2026_2x AMOLED</v>
      </c>
    </row>
    <row r="741" spans="3:26">
      <c r="C741" s="17">
        <v>733</v>
      </c>
      <c r="D741" s="109" t="s">
        <v>26</v>
      </c>
      <c r="E741" s="20" t="s">
        <v>86</v>
      </c>
      <c r="F741" s="20" t="s">
        <v>176</v>
      </c>
      <c r="G741" s="21" t="s">
        <v>97</v>
      </c>
      <c r="H741" s="21" t="s">
        <v>161</v>
      </c>
      <c r="I741" s="19" t="s">
        <v>26</v>
      </c>
      <c r="J741" s="19" t="s">
        <v>36</v>
      </c>
      <c r="K741" s="21" t="s">
        <v>15</v>
      </c>
      <c r="L741" s="33" t="str">
        <f t="shared" si="55"/>
        <v>1x LCD</v>
      </c>
      <c r="M741" s="21" t="s">
        <v>36</v>
      </c>
      <c r="N741" s="21" t="s">
        <v>143</v>
      </c>
      <c r="O741" s="27"/>
      <c r="P741" s="20"/>
      <c r="Q741" s="20"/>
      <c r="R741" s="29">
        <f t="shared" si="56"/>
        <v>0</v>
      </c>
      <c r="S741" s="20" t="s">
        <v>36</v>
      </c>
      <c r="T741" s="18" t="s">
        <v>143</v>
      </c>
      <c r="U741" s="20">
        <v>1</v>
      </c>
      <c r="V741" s="120">
        <v>0.55000000000000004</v>
      </c>
      <c r="W741" s="69">
        <f t="shared" si="57"/>
        <v>28.648142597141753</v>
      </c>
      <c r="X741" s="106">
        <v>52.087531994803186</v>
      </c>
      <c r="Y741" s="72" t="str">
        <f t="shared" si="58"/>
        <v>VR_2026_1x LCD_Single LCD VR headset</v>
      </c>
      <c r="Z741" s="36" t="str">
        <f t="shared" si="59"/>
        <v>VR_2026_1x LCD</v>
      </c>
    </row>
    <row r="742" spans="3:26">
      <c r="C742" s="17">
        <v>734</v>
      </c>
      <c r="D742" s="109" t="s">
        <v>129</v>
      </c>
      <c r="E742" s="20" t="s">
        <v>86</v>
      </c>
      <c r="F742" s="20" t="s">
        <v>176</v>
      </c>
      <c r="G742" s="21" t="s">
        <v>97</v>
      </c>
      <c r="H742" s="21" t="s">
        <v>123</v>
      </c>
      <c r="I742" s="19" t="s">
        <v>63</v>
      </c>
      <c r="J742" s="19" t="s">
        <v>36</v>
      </c>
      <c r="K742" s="21" t="s">
        <v>120</v>
      </c>
      <c r="L742" s="33" t="str">
        <f t="shared" si="55"/>
        <v>2x MicroLED</v>
      </c>
      <c r="M742" s="21" t="s">
        <v>36</v>
      </c>
      <c r="N742" s="21"/>
      <c r="O742" s="27"/>
      <c r="P742" s="20"/>
      <c r="Q742" s="20"/>
      <c r="R742" s="29">
        <f t="shared" si="56"/>
        <v>0</v>
      </c>
      <c r="S742" s="20" t="s">
        <v>36</v>
      </c>
      <c r="T742" s="18" t="s">
        <v>143</v>
      </c>
      <c r="U742" s="20">
        <v>2</v>
      </c>
      <c r="V742" s="120">
        <v>2.64E-2</v>
      </c>
      <c r="W742" s="69">
        <f t="shared" si="57"/>
        <v>1.6263818062351405</v>
      </c>
      <c r="X742" s="106">
        <v>61.605371448300779</v>
      </c>
      <c r="Y742" s="72" t="str">
        <f t="shared" si="58"/>
        <v>AR_2026_2x MicroLED_Binocular MicroLED</v>
      </c>
      <c r="Z742" s="36" t="str">
        <f t="shared" si="59"/>
        <v>AR_2026_2x MicroLED</v>
      </c>
    </row>
    <row r="743" spans="3:26">
      <c r="C743" s="17">
        <v>735</v>
      </c>
      <c r="D743" s="109" t="s">
        <v>129</v>
      </c>
      <c r="E743" s="20" t="s">
        <v>86</v>
      </c>
      <c r="F743" s="20" t="s">
        <v>176</v>
      </c>
      <c r="G743" s="21" t="s">
        <v>97</v>
      </c>
      <c r="H743" s="21" t="s">
        <v>76</v>
      </c>
      <c r="I743" s="19" t="s">
        <v>63</v>
      </c>
      <c r="J743" s="19" t="s">
        <v>36</v>
      </c>
      <c r="K743" s="21" t="s">
        <v>70</v>
      </c>
      <c r="L743" s="33" t="str">
        <f t="shared" si="55"/>
        <v>1x DLP</v>
      </c>
      <c r="M743" s="21" t="s">
        <v>36</v>
      </c>
      <c r="N743" s="21"/>
      <c r="O743" s="27"/>
      <c r="P743" s="20"/>
      <c r="Q743" s="20"/>
      <c r="R743" s="29">
        <f t="shared" si="56"/>
        <v>0</v>
      </c>
      <c r="S743" s="20" t="s">
        <v>36</v>
      </c>
      <c r="T743" s="18" t="s">
        <v>143</v>
      </c>
      <c r="U743" s="20">
        <v>1</v>
      </c>
      <c r="V743" s="120">
        <v>1.1E-4</v>
      </c>
      <c r="W743" s="69">
        <f t="shared" si="57"/>
        <v>8.509756626390818E-3</v>
      </c>
      <c r="X743" s="106">
        <v>77.361423876280156</v>
      </c>
      <c r="Y743" s="72" t="str">
        <f t="shared" si="58"/>
        <v>AR_2026_1x DLP_DLP glasses</v>
      </c>
      <c r="Z743" s="36" t="str">
        <f t="shared" si="59"/>
        <v>AR_2026_1x DLP</v>
      </c>
    </row>
    <row r="744" spans="3:26">
      <c r="C744" s="17">
        <v>736</v>
      </c>
      <c r="D744" s="109" t="s">
        <v>129</v>
      </c>
      <c r="E744" s="20" t="s">
        <v>86</v>
      </c>
      <c r="F744" s="20" t="s">
        <v>176</v>
      </c>
      <c r="G744" s="21" t="s">
        <v>97</v>
      </c>
      <c r="H744" s="21" t="s">
        <v>75</v>
      </c>
      <c r="I744" s="19" t="s">
        <v>63</v>
      </c>
      <c r="J744" s="19" t="s">
        <v>36</v>
      </c>
      <c r="K744" s="21" t="s">
        <v>67</v>
      </c>
      <c r="L744" s="33" t="str">
        <f t="shared" si="55"/>
        <v>2x LCoS</v>
      </c>
      <c r="M744" s="21" t="s">
        <v>36</v>
      </c>
      <c r="N744" s="21"/>
      <c r="O744" s="27"/>
      <c r="P744" s="20"/>
      <c r="Q744" s="20"/>
      <c r="R744" s="29">
        <f t="shared" si="56"/>
        <v>0</v>
      </c>
      <c r="S744" s="20" t="s">
        <v>36</v>
      </c>
      <c r="T744" s="18" t="s">
        <v>143</v>
      </c>
      <c r="U744" s="20">
        <v>2</v>
      </c>
      <c r="V744" s="120">
        <v>5.5E-2</v>
      </c>
      <c r="W744" s="69">
        <f t="shared" si="57"/>
        <v>2.3581253302046847</v>
      </c>
      <c r="X744" s="106">
        <v>42.875006003721538</v>
      </c>
      <c r="Y744" s="72" t="str">
        <f t="shared" si="58"/>
        <v>AR_2026_2x LCoS_LCoS glasses</v>
      </c>
      <c r="Z744" s="36" t="str">
        <f t="shared" si="59"/>
        <v>AR_2026_2x LCoS</v>
      </c>
    </row>
    <row r="745" spans="3:26">
      <c r="C745" s="17">
        <v>737</v>
      </c>
      <c r="D745" s="109" t="s">
        <v>129</v>
      </c>
      <c r="E745" s="20" t="s">
        <v>86</v>
      </c>
      <c r="F745" s="20" t="s">
        <v>176</v>
      </c>
      <c r="G745" s="21" t="s">
        <v>97</v>
      </c>
      <c r="H745" s="21" t="s">
        <v>121</v>
      </c>
      <c r="I745" s="19" t="s">
        <v>63</v>
      </c>
      <c r="J745" s="19" t="s">
        <v>36</v>
      </c>
      <c r="K745" s="21" t="s">
        <v>120</v>
      </c>
      <c r="L745" s="33" t="str">
        <f t="shared" si="55"/>
        <v>1x MicroLED</v>
      </c>
      <c r="M745" s="21" t="s">
        <v>36</v>
      </c>
      <c r="N745" s="21"/>
      <c r="O745" s="27"/>
      <c r="P745" s="20"/>
      <c r="Q745" s="20"/>
      <c r="R745" s="29">
        <f t="shared" si="56"/>
        <v>0</v>
      </c>
      <c r="S745" s="20" t="s">
        <v>36</v>
      </c>
      <c r="T745" s="18" t="s">
        <v>143</v>
      </c>
      <c r="U745" s="20">
        <v>1</v>
      </c>
      <c r="V745" s="120">
        <v>3.85E-2</v>
      </c>
      <c r="W745" s="69">
        <f t="shared" si="57"/>
        <v>2.3718068007595798</v>
      </c>
      <c r="X745" s="106">
        <v>61.605371448300779</v>
      </c>
      <c r="Y745" s="72" t="str">
        <f t="shared" si="58"/>
        <v>AR_2026_1x MicroLED_Monocular MicroLED</v>
      </c>
      <c r="Z745" s="36" t="str">
        <f t="shared" si="59"/>
        <v>AR_2026_1x MicroLED</v>
      </c>
    </row>
    <row r="746" spans="3:26">
      <c r="C746" s="17">
        <v>738</v>
      </c>
      <c r="D746" s="109" t="s">
        <v>129</v>
      </c>
      <c r="E746" s="20" t="s">
        <v>86</v>
      </c>
      <c r="F746" s="20" t="s">
        <v>176</v>
      </c>
      <c r="G746" s="21" t="s">
        <v>97</v>
      </c>
      <c r="H746" s="21" t="s">
        <v>79</v>
      </c>
      <c r="I746" s="19" t="s">
        <v>63</v>
      </c>
      <c r="J746" s="19" t="s">
        <v>36</v>
      </c>
      <c r="K746" s="21" t="s">
        <v>51</v>
      </c>
      <c r="L746" s="33" t="str">
        <f t="shared" si="55"/>
        <v>2x SiOLED</v>
      </c>
      <c r="M746" s="21" t="s">
        <v>36</v>
      </c>
      <c r="N746" s="21"/>
      <c r="O746" s="27"/>
      <c r="P746" s="20"/>
      <c r="Q746" s="20"/>
      <c r="R746" s="29">
        <f t="shared" si="56"/>
        <v>0</v>
      </c>
      <c r="S746" s="20" t="s">
        <v>36</v>
      </c>
      <c r="T746" s="18" t="s">
        <v>143</v>
      </c>
      <c r="U746" s="20">
        <v>2</v>
      </c>
      <c r="V746" s="120">
        <v>0.33</v>
      </c>
      <c r="W746" s="69">
        <f t="shared" si="57"/>
        <v>17.16</v>
      </c>
      <c r="X746" s="106">
        <v>52</v>
      </c>
      <c r="Y746" s="72" t="str">
        <f t="shared" si="58"/>
        <v>AR_2026_2x SiOLED_SiOLED glasses</v>
      </c>
      <c r="Z746" s="36" t="str">
        <f t="shared" si="59"/>
        <v>AR_2026_2x SiOLED</v>
      </c>
    </row>
    <row r="747" spans="3:26">
      <c r="C747" s="17">
        <v>739</v>
      </c>
      <c r="D747" s="109" t="s">
        <v>129</v>
      </c>
      <c r="E747" s="20" t="s">
        <v>86</v>
      </c>
      <c r="F747" s="20" t="s">
        <v>176</v>
      </c>
      <c r="G747" s="21" t="s">
        <v>97</v>
      </c>
      <c r="H747" s="21" t="s">
        <v>279</v>
      </c>
      <c r="I747" s="19" t="s">
        <v>63</v>
      </c>
      <c r="J747" s="19" t="s">
        <v>27</v>
      </c>
      <c r="K747" s="21" t="s">
        <v>67</v>
      </c>
      <c r="L747" s="33" t="str">
        <f t="shared" si="55"/>
        <v>1x LCoS</v>
      </c>
      <c r="M747" s="21" t="s">
        <v>36</v>
      </c>
      <c r="N747" s="21"/>
      <c r="O747" s="27"/>
      <c r="P747" s="20"/>
      <c r="Q747" s="20"/>
      <c r="R747" s="29">
        <f t="shared" si="56"/>
        <v>0</v>
      </c>
      <c r="S747" s="20" t="s">
        <v>36</v>
      </c>
      <c r="T747" s="18"/>
      <c r="U747" s="20">
        <v>1</v>
      </c>
      <c r="V747" s="120">
        <v>2.1999999999999999E-2</v>
      </c>
      <c r="W747" s="69">
        <f t="shared" si="57"/>
        <v>0.9432501320818738</v>
      </c>
      <c r="X747" s="106">
        <v>42.875006003721538</v>
      </c>
      <c r="Y747" s="72" t="str">
        <f t="shared" si="58"/>
        <v>AR_2026_1x LCoS_Monocular LCoS glasses</v>
      </c>
      <c r="Z747" s="36" t="str">
        <f t="shared" si="59"/>
        <v>AR_2026_1x LCoS</v>
      </c>
    </row>
    <row r="748" spans="3:26">
      <c r="C748" s="17">
        <v>740</v>
      </c>
      <c r="D748" s="109" t="s">
        <v>26</v>
      </c>
      <c r="E748" s="20" t="s">
        <v>86</v>
      </c>
      <c r="F748" s="20" t="s">
        <v>177</v>
      </c>
      <c r="G748" s="21" t="s">
        <v>97</v>
      </c>
      <c r="H748" s="21" t="s">
        <v>111</v>
      </c>
      <c r="I748" s="19" t="s">
        <v>26</v>
      </c>
      <c r="J748" s="19" t="s">
        <v>36</v>
      </c>
      <c r="K748" s="21" t="s">
        <v>15</v>
      </c>
      <c r="L748" s="33" t="str">
        <f t="shared" si="55"/>
        <v>2x LCD</v>
      </c>
      <c r="M748" s="21" t="s">
        <v>36</v>
      </c>
      <c r="N748" s="21" t="s">
        <v>143</v>
      </c>
      <c r="O748" s="27"/>
      <c r="P748" s="20"/>
      <c r="Q748" s="20"/>
      <c r="R748" s="29">
        <f t="shared" si="56"/>
        <v>0</v>
      </c>
      <c r="S748" s="20" t="s">
        <v>36</v>
      </c>
      <c r="T748" s="18" t="s">
        <v>143</v>
      </c>
      <c r="U748" s="20">
        <v>2</v>
      </c>
      <c r="V748" s="120">
        <v>2.0459999999999998</v>
      </c>
      <c r="W748" s="69">
        <f t="shared" si="57"/>
        <v>71.047393640911565</v>
      </c>
      <c r="X748" s="106">
        <v>34.725021329868802</v>
      </c>
      <c r="Y748" s="72" t="str">
        <f t="shared" si="58"/>
        <v>VR_2026_2x LCD_Dual LCD VR headset</v>
      </c>
      <c r="Z748" s="36" t="str">
        <f t="shared" si="59"/>
        <v>VR_2026_2x LCD</v>
      </c>
    </row>
    <row r="749" spans="3:26">
      <c r="C749" s="17">
        <v>741</v>
      </c>
      <c r="D749" s="109" t="s">
        <v>26</v>
      </c>
      <c r="E749" s="20" t="s">
        <v>86</v>
      </c>
      <c r="F749" s="20" t="s">
        <v>177</v>
      </c>
      <c r="G749" s="21" t="s">
        <v>97</v>
      </c>
      <c r="H749" s="21" t="s">
        <v>138</v>
      </c>
      <c r="I749" s="19" t="s">
        <v>26</v>
      </c>
      <c r="J749" s="19" t="s">
        <v>36</v>
      </c>
      <c r="K749" s="21" t="s">
        <v>51</v>
      </c>
      <c r="L749" s="33" t="str">
        <f t="shared" si="55"/>
        <v>2x SiOLED</v>
      </c>
      <c r="M749" s="21" t="s">
        <v>36</v>
      </c>
      <c r="N749" s="21"/>
      <c r="O749" s="27"/>
      <c r="P749" s="20"/>
      <c r="Q749" s="20"/>
      <c r="R749" s="29">
        <f t="shared" si="56"/>
        <v>0</v>
      </c>
      <c r="S749" s="20" t="s">
        <v>36</v>
      </c>
      <c r="T749" s="18"/>
      <c r="U749" s="20">
        <v>2</v>
      </c>
      <c r="V749" s="120">
        <v>0.308</v>
      </c>
      <c r="W749" s="69">
        <f t="shared" si="57"/>
        <v>40.04</v>
      </c>
      <c r="X749" s="106">
        <v>130</v>
      </c>
      <c r="Y749" s="72" t="str">
        <f t="shared" si="58"/>
        <v>VR_2026_2x SiOLED_Dual SiOLED headset</v>
      </c>
      <c r="Z749" s="36" t="str">
        <f t="shared" si="59"/>
        <v>VR_2026_2x SiOLED</v>
      </c>
    </row>
    <row r="750" spans="3:26">
      <c r="C750" s="17">
        <v>742</v>
      </c>
      <c r="D750" s="109" t="s">
        <v>26</v>
      </c>
      <c r="E750" s="20" t="s">
        <v>86</v>
      </c>
      <c r="F750" s="20" t="s">
        <v>177</v>
      </c>
      <c r="G750" s="21" t="s">
        <v>97</v>
      </c>
      <c r="H750" s="21" t="s">
        <v>42</v>
      </c>
      <c r="I750" s="19" t="s">
        <v>26</v>
      </c>
      <c r="J750" s="19" t="s">
        <v>36</v>
      </c>
      <c r="K750" s="21" t="s">
        <v>28</v>
      </c>
      <c r="L750" s="33" t="str">
        <f t="shared" si="55"/>
        <v>2x AMOLED</v>
      </c>
      <c r="M750" s="21" t="s">
        <v>36</v>
      </c>
      <c r="N750" s="21" t="s">
        <v>143</v>
      </c>
      <c r="O750" s="27"/>
      <c r="P750" s="20"/>
      <c r="Q750" s="20"/>
      <c r="R750" s="29">
        <f t="shared" si="56"/>
        <v>0</v>
      </c>
      <c r="S750" s="20" t="s">
        <v>36</v>
      </c>
      <c r="T750" s="18" t="s">
        <v>143</v>
      </c>
      <c r="U750" s="20">
        <v>2</v>
      </c>
      <c r="V750" s="120">
        <v>2.1999999999999999E-2</v>
      </c>
      <c r="W750" s="69">
        <f t="shared" si="57"/>
        <v>0.86571055531690477</v>
      </c>
      <c r="X750" s="106">
        <v>39.350479787132038</v>
      </c>
      <c r="Y750" s="72" t="str">
        <f t="shared" si="58"/>
        <v>VR_2026_2x AMOLED_OLED VR headset</v>
      </c>
      <c r="Z750" s="36" t="str">
        <f t="shared" si="59"/>
        <v>VR_2026_2x AMOLED</v>
      </c>
    </row>
    <row r="751" spans="3:26">
      <c r="C751" s="17">
        <v>743</v>
      </c>
      <c r="D751" s="109" t="s">
        <v>26</v>
      </c>
      <c r="E751" s="20" t="s">
        <v>86</v>
      </c>
      <c r="F751" s="20" t="s">
        <v>177</v>
      </c>
      <c r="G751" s="21" t="s">
        <v>97</v>
      </c>
      <c r="H751" s="21" t="s">
        <v>161</v>
      </c>
      <c r="I751" s="19" t="s">
        <v>26</v>
      </c>
      <c r="J751" s="19" t="s">
        <v>36</v>
      </c>
      <c r="K751" s="21" t="s">
        <v>15</v>
      </c>
      <c r="L751" s="33" t="str">
        <f t="shared" si="55"/>
        <v>1x LCD</v>
      </c>
      <c r="M751" s="21" t="s">
        <v>36</v>
      </c>
      <c r="N751" s="21" t="s">
        <v>143</v>
      </c>
      <c r="O751" s="27"/>
      <c r="P751" s="20"/>
      <c r="Q751" s="20"/>
      <c r="R751" s="29">
        <f t="shared" si="56"/>
        <v>0</v>
      </c>
      <c r="S751" s="20" t="s">
        <v>36</v>
      </c>
      <c r="T751" s="18" t="s">
        <v>143</v>
      </c>
      <c r="U751" s="20">
        <v>1</v>
      </c>
      <c r="V751" s="120">
        <v>0.55000000000000004</v>
      </c>
      <c r="W751" s="69">
        <f t="shared" si="57"/>
        <v>28.648142597141753</v>
      </c>
      <c r="X751" s="106">
        <v>52.087531994803186</v>
      </c>
      <c r="Y751" s="72" t="str">
        <f t="shared" si="58"/>
        <v>VR_2026_1x LCD_Single LCD VR headset</v>
      </c>
      <c r="Z751" s="36" t="str">
        <f t="shared" si="59"/>
        <v>VR_2026_1x LCD</v>
      </c>
    </row>
    <row r="752" spans="3:26">
      <c r="C752" s="17">
        <v>744</v>
      </c>
      <c r="D752" s="109" t="s">
        <v>129</v>
      </c>
      <c r="E752" s="20" t="s">
        <v>86</v>
      </c>
      <c r="F752" s="20" t="s">
        <v>177</v>
      </c>
      <c r="G752" s="21" t="s">
        <v>97</v>
      </c>
      <c r="H752" s="21" t="s">
        <v>123</v>
      </c>
      <c r="I752" s="19" t="s">
        <v>63</v>
      </c>
      <c r="J752" s="19" t="s">
        <v>36</v>
      </c>
      <c r="K752" s="21" t="s">
        <v>120</v>
      </c>
      <c r="L752" s="33" t="str">
        <f t="shared" si="55"/>
        <v>2x MicroLED</v>
      </c>
      <c r="M752" s="21" t="s">
        <v>36</v>
      </c>
      <c r="N752" s="21"/>
      <c r="O752" s="27"/>
      <c r="P752" s="20"/>
      <c r="Q752" s="20"/>
      <c r="R752" s="29">
        <f t="shared" si="56"/>
        <v>0</v>
      </c>
      <c r="S752" s="20" t="s">
        <v>36</v>
      </c>
      <c r="T752" s="18" t="s">
        <v>143</v>
      </c>
      <c r="U752" s="20">
        <v>2</v>
      </c>
      <c r="V752" s="120">
        <v>7.9200000000000007E-2</v>
      </c>
      <c r="W752" s="69">
        <f t="shared" si="57"/>
        <v>4.8791454187054217</v>
      </c>
      <c r="X752" s="106">
        <v>61.605371448300779</v>
      </c>
      <c r="Y752" s="72" t="str">
        <f t="shared" si="58"/>
        <v>AR_2026_2x MicroLED_Binocular MicroLED</v>
      </c>
      <c r="Z752" s="36" t="str">
        <f t="shared" si="59"/>
        <v>AR_2026_2x MicroLED</v>
      </c>
    </row>
    <row r="753" spans="3:26">
      <c r="C753" s="17">
        <v>745</v>
      </c>
      <c r="D753" s="109" t="s">
        <v>129</v>
      </c>
      <c r="E753" s="20" t="s">
        <v>86</v>
      </c>
      <c r="F753" s="20" t="s">
        <v>177</v>
      </c>
      <c r="G753" s="21" t="s">
        <v>97</v>
      </c>
      <c r="H753" s="21" t="s">
        <v>76</v>
      </c>
      <c r="I753" s="19" t="s">
        <v>63</v>
      </c>
      <c r="J753" s="19" t="s">
        <v>36</v>
      </c>
      <c r="K753" s="21" t="s">
        <v>70</v>
      </c>
      <c r="L753" s="33" t="str">
        <f t="shared" si="55"/>
        <v>1x DLP</v>
      </c>
      <c r="M753" s="21" t="s">
        <v>36</v>
      </c>
      <c r="N753" s="21"/>
      <c r="O753" s="27"/>
      <c r="P753" s="20"/>
      <c r="Q753" s="20"/>
      <c r="R753" s="29">
        <f t="shared" si="56"/>
        <v>0</v>
      </c>
      <c r="S753" s="20" t="s">
        <v>36</v>
      </c>
      <c r="T753" s="18" t="s">
        <v>143</v>
      </c>
      <c r="U753" s="20">
        <v>1</v>
      </c>
      <c r="V753" s="120">
        <v>1.1E-4</v>
      </c>
      <c r="W753" s="69">
        <f t="shared" si="57"/>
        <v>8.509756626390818E-3</v>
      </c>
      <c r="X753" s="106">
        <v>77.361423876280156</v>
      </c>
      <c r="Y753" s="72" t="str">
        <f t="shared" si="58"/>
        <v>AR_2026_1x DLP_DLP glasses</v>
      </c>
      <c r="Z753" s="36" t="str">
        <f t="shared" si="59"/>
        <v>AR_2026_1x DLP</v>
      </c>
    </row>
    <row r="754" spans="3:26">
      <c r="C754" s="17">
        <v>746</v>
      </c>
      <c r="D754" s="109" t="s">
        <v>129</v>
      </c>
      <c r="E754" s="20" t="s">
        <v>86</v>
      </c>
      <c r="F754" s="20" t="s">
        <v>177</v>
      </c>
      <c r="G754" s="21" t="s">
        <v>97</v>
      </c>
      <c r="H754" s="21" t="s">
        <v>75</v>
      </c>
      <c r="I754" s="19" t="s">
        <v>63</v>
      </c>
      <c r="J754" s="19" t="s">
        <v>36</v>
      </c>
      <c r="K754" s="21" t="s">
        <v>67</v>
      </c>
      <c r="L754" s="33" t="str">
        <f t="shared" si="55"/>
        <v>2x LCoS</v>
      </c>
      <c r="M754" s="21" t="s">
        <v>36</v>
      </c>
      <c r="N754" s="21"/>
      <c r="O754" s="27"/>
      <c r="P754" s="20"/>
      <c r="Q754" s="20"/>
      <c r="R754" s="29">
        <f t="shared" si="56"/>
        <v>0</v>
      </c>
      <c r="S754" s="20" t="s">
        <v>36</v>
      </c>
      <c r="T754" s="18" t="s">
        <v>143</v>
      </c>
      <c r="U754" s="20">
        <v>2</v>
      </c>
      <c r="V754" s="120">
        <v>6.6000000000000003E-2</v>
      </c>
      <c r="W754" s="69">
        <f t="shared" si="57"/>
        <v>2.8297503962456214</v>
      </c>
      <c r="X754" s="106">
        <v>42.875006003721538</v>
      </c>
      <c r="Y754" s="72" t="str">
        <f t="shared" si="58"/>
        <v>AR_2026_2x LCoS_LCoS glasses</v>
      </c>
      <c r="Z754" s="36" t="str">
        <f t="shared" si="59"/>
        <v>AR_2026_2x LCoS</v>
      </c>
    </row>
    <row r="755" spans="3:26">
      <c r="C755" s="17">
        <v>747</v>
      </c>
      <c r="D755" s="109" t="s">
        <v>129</v>
      </c>
      <c r="E755" s="20" t="s">
        <v>86</v>
      </c>
      <c r="F755" s="20" t="s">
        <v>177</v>
      </c>
      <c r="G755" s="21" t="s">
        <v>97</v>
      </c>
      <c r="H755" s="21" t="s">
        <v>121</v>
      </c>
      <c r="I755" s="19" t="s">
        <v>63</v>
      </c>
      <c r="J755" s="19" t="s">
        <v>36</v>
      </c>
      <c r="K755" s="21" t="s">
        <v>120</v>
      </c>
      <c r="L755" s="33" t="str">
        <f t="shared" si="55"/>
        <v>1x MicroLED</v>
      </c>
      <c r="M755" s="21" t="s">
        <v>36</v>
      </c>
      <c r="N755" s="21"/>
      <c r="O755" s="27"/>
      <c r="P755" s="20"/>
      <c r="Q755" s="20"/>
      <c r="R755" s="29">
        <f t="shared" si="56"/>
        <v>0</v>
      </c>
      <c r="S755" s="20" t="s">
        <v>36</v>
      </c>
      <c r="T755" s="18" t="s">
        <v>143</v>
      </c>
      <c r="U755" s="20">
        <v>1</v>
      </c>
      <c r="V755" s="120">
        <v>5.5E-2</v>
      </c>
      <c r="W755" s="69">
        <f t="shared" si="57"/>
        <v>3.3882954296565431</v>
      </c>
      <c r="X755" s="106">
        <v>61.605371448300779</v>
      </c>
      <c r="Y755" s="72" t="str">
        <f t="shared" si="58"/>
        <v>AR_2026_1x MicroLED_Monocular MicroLED</v>
      </c>
      <c r="Z755" s="36" t="str">
        <f t="shared" si="59"/>
        <v>AR_2026_1x MicroLED</v>
      </c>
    </row>
    <row r="756" spans="3:26">
      <c r="C756" s="17">
        <v>748</v>
      </c>
      <c r="D756" s="109" t="s">
        <v>129</v>
      </c>
      <c r="E756" s="20" t="s">
        <v>86</v>
      </c>
      <c r="F756" s="20" t="s">
        <v>177</v>
      </c>
      <c r="G756" s="21" t="s">
        <v>97</v>
      </c>
      <c r="H756" s="21" t="s">
        <v>79</v>
      </c>
      <c r="I756" s="19" t="s">
        <v>63</v>
      </c>
      <c r="J756" s="19" t="s">
        <v>36</v>
      </c>
      <c r="K756" s="21" t="s">
        <v>51</v>
      </c>
      <c r="L756" s="33" t="str">
        <f t="shared" si="55"/>
        <v>2x SiOLED</v>
      </c>
      <c r="M756" s="21" t="s">
        <v>36</v>
      </c>
      <c r="N756" s="21"/>
      <c r="O756" s="27"/>
      <c r="P756" s="20"/>
      <c r="Q756" s="20"/>
      <c r="R756" s="29">
        <f t="shared" si="56"/>
        <v>0</v>
      </c>
      <c r="S756" s="20" t="s">
        <v>36</v>
      </c>
      <c r="T756" s="18" t="s">
        <v>143</v>
      </c>
      <c r="U756" s="20">
        <v>2</v>
      </c>
      <c r="V756" s="120">
        <v>0.55000000000000004</v>
      </c>
      <c r="W756" s="69">
        <f t="shared" si="57"/>
        <v>28.6</v>
      </c>
      <c r="X756" s="106">
        <v>52</v>
      </c>
      <c r="Y756" s="72" t="str">
        <f t="shared" si="58"/>
        <v>AR_2026_2x SiOLED_SiOLED glasses</v>
      </c>
      <c r="Z756" s="36" t="str">
        <f t="shared" si="59"/>
        <v>AR_2026_2x SiOLED</v>
      </c>
    </row>
    <row r="757" spans="3:26">
      <c r="C757" s="17">
        <v>749</v>
      </c>
      <c r="D757" s="109" t="s">
        <v>129</v>
      </c>
      <c r="E757" s="20" t="s">
        <v>86</v>
      </c>
      <c r="F757" s="20" t="s">
        <v>177</v>
      </c>
      <c r="G757" s="21" t="s">
        <v>97</v>
      </c>
      <c r="H757" s="21" t="s">
        <v>279</v>
      </c>
      <c r="I757" s="19" t="s">
        <v>63</v>
      </c>
      <c r="J757" s="19" t="s">
        <v>27</v>
      </c>
      <c r="K757" s="21" t="s">
        <v>67</v>
      </c>
      <c r="L757" s="33" t="str">
        <f t="shared" si="55"/>
        <v>1x LCoS</v>
      </c>
      <c r="M757" s="21" t="s">
        <v>36</v>
      </c>
      <c r="N757" s="21"/>
      <c r="O757" s="27"/>
      <c r="P757" s="20"/>
      <c r="Q757" s="20"/>
      <c r="R757" s="29">
        <f t="shared" si="56"/>
        <v>0</v>
      </c>
      <c r="S757" s="20" t="s">
        <v>36</v>
      </c>
      <c r="T757" s="18"/>
      <c r="U757" s="20">
        <v>1</v>
      </c>
      <c r="V757" s="120">
        <v>0.11</v>
      </c>
      <c r="W757" s="69">
        <f t="shared" si="57"/>
        <v>4.7162506604093695</v>
      </c>
      <c r="X757" s="106">
        <v>42.875006003721538</v>
      </c>
      <c r="Y757" s="72" t="str">
        <f t="shared" si="58"/>
        <v>AR_2026_1x LCoS_Monocular LCoS glasses</v>
      </c>
      <c r="Z757" s="36" t="str">
        <f t="shared" si="59"/>
        <v>AR_2026_1x LCoS</v>
      </c>
    </row>
    <row r="758" spans="3:26">
      <c r="C758" s="17">
        <v>750</v>
      </c>
      <c r="D758" s="109" t="s">
        <v>26</v>
      </c>
      <c r="E758" s="20" t="s">
        <v>86</v>
      </c>
      <c r="F758" s="20" t="s">
        <v>179</v>
      </c>
      <c r="G758" s="21" t="s">
        <v>97</v>
      </c>
      <c r="H758" s="21" t="s">
        <v>111</v>
      </c>
      <c r="I758" s="19" t="s">
        <v>26</v>
      </c>
      <c r="J758" s="19" t="s">
        <v>36</v>
      </c>
      <c r="K758" s="21" t="s">
        <v>15</v>
      </c>
      <c r="L758" s="33" t="str">
        <f t="shared" si="55"/>
        <v>2x LCD</v>
      </c>
      <c r="M758" s="21" t="s">
        <v>36</v>
      </c>
      <c r="N758" s="21" t="s">
        <v>143</v>
      </c>
      <c r="O758" s="27"/>
      <c r="P758" s="20"/>
      <c r="Q758" s="20"/>
      <c r="R758" s="29">
        <f t="shared" si="56"/>
        <v>0</v>
      </c>
      <c r="S758" s="20" t="s">
        <v>36</v>
      </c>
      <c r="T758" s="18" t="s">
        <v>143</v>
      </c>
      <c r="U758" s="20">
        <v>2</v>
      </c>
      <c r="V758" s="120">
        <v>1.32</v>
      </c>
      <c r="W758" s="69">
        <f t="shared" si="57"/>
        <v>45.837028155426822</v>
      </c>
      <c r="X758" s="106">
        <v>34.725021329868802</v>
      </c>
      <c r="Y758" s="72" t="str">
        <f t="shared" si="58"/>
        <v>VR_2026_2x LCD_Dual LCD VR headset</v>
      </c>
      <c r="Z758" s="36" t="str">
        <f t="shared" si="59"/>
        <v>VR_2026_2x LCD</v>
      </c>
    </row>
    <row r="759" spans="3:26">
      <c r="C759" s="17">
        <v>751</v>
      </c>
      <c r="D759" s="109" t="s">
        <v>26</v>
      </c>
      <c r="E759" s="20" t="s">
        <v>86</v>
      </c>
      <c r="F759" s="20" t="s">
        <v>179</v>
      </c>
      <c r="G759" s="21" t="s">
        <v>97</v>
      </c>
      <c r="H759" s="21" t="s">
        <v>138</v>
      </c>
      <c r="I759" s="19" t="s">
        <v>26</v>
      </c>
      <c r="J759" s="19" t="s">
        <v>36</v>
      </c>
      <c r="K759" s="21" t="s">
        <v>51</v>
      </c>
      <c r="L759" s="33" t="str">
        <f t="shared" si="55"/>
        <v>2x SiOLED</v>
      </c>
      <c r="M759" s="21" t="s">
        <v>36</v>
      </c>
      <c r="N759" s="21"/>
      <c r="O759" s="27"/>
      <c r="P759" s="20"/>
      <c r="Q759" s="20"/>
      <c r="R759" s="29">
        <f t="shared" si="56"/>
        <v>0</v>
      </c>
      <c r="S759" s="20" t="s">
        <v>36</v>
      </c>
      <c r="T759" s="18"/>
      <c r="U759" s="20">
        <v>2</v>
      </c>
      <c r="V759" s="120">
        <v>0.33</v>
      </c>
      <c r="W759" s="69">
        <f t="shared" si="57"/>
        <v>42.9</v>
      </c>
      <c r="X759" s="106">
        <v>130</v>
      </c>
      <c r="Y759" s="72" t="str">
        <f t="shared" si="58"/>
        <v>VR_2026_2x SiOLED_Dual SiOLED headset</v>
      </c>
      <c r="Z759" s="36" t="str">
        <f t="shared" si="59"/>
        <v>VR_2026_2x SiOLED</v>
      </c>
    </row>
    <row r="760" spans="3:26">
      <c r="C760" s="17">
        <v>752</v>
      </c>
      <c r="D760" s="109" t="s">
        <v>26</v>
      </c>
      <c r="E760" s="20" t="s">
        <v>86</v>
      </c>
      <c r="F760" s="20" t="s">
        <v>179</v>
      </c>
      <c r="G760" s="21" t="s">
        <v>97</v>
      </c>
      <c r="H760" s="21" t="s">
        <v>42</v>
      </c>
      <c r="I760" s="19" t="s">
        <v>26</v>
      </c>
      <c r="J760" s="19" t="s">
        <v>36</v>
      </c>
      <c r="K760" s="21" t="s">
        <v>28</v>
      </c>
      <c r="L760" s="33" t="str">
        <f t="shared" si="55"/>
        <v>2x AMOLED</v>
      </c>
      <c r="M760" s="21" t="s">
        <v>36</v>
      </c>
      <c r="N760" s="21" t="s">
        <v>143</v>
      </c>
      <c r="O760" s="27"/>
      <c r="P760" s="20"/>
      <c r="Q760" s="20"/>
      <c r="R760" s="29">
        <f t="shared" si="56"/>
        <v>0</v>
      </c>
      <c r="S760" s="20" t="s">
        <v>36</v>
      </c>
      <c r="T760" s="18" t="s">
        <v>143</v>
      </c>
      <c r="U760" s="20">
        <v>2</v>
      </c>
      <c r="V760" s="120">
        <v>2.1999999999999999E-2</v>
      </c>
      <c r="W760" s="69">
        <f t="shared" si="57"/>
        <v>0.86571055531690477</v>
      </c>
      <c r="X760" s="106">
        <v>39.350479787132038</v>
      </c>
      <c r="Y760" s="72" t="str">
        <f t="shared" si="58"/>
        <v>VR_2026_2x AMOLED_OLED VR headset</v>
      </c>
      <c r="Z760" s="36" t="str">
        <f t="shared" si="59"/>
        <v>VR_2026_2x AMOLED</v>
      </c>
    </row>
    <row r="761" spans="3:26">
      <c r="C761" s="17">
        <v>753</v>
      </c>
      <c r="D761" s="109" t="s">
        <v>26</v>
      </c>
      <c r="E761" s="20" t="s">
        <v>86</v>
      </c>
      <c r="F761" s="20" t="s">
        <v>179</v>
      </c>
      <c r="G761" s="21" t="s">
        <v>97</v>
      </c>
      <c r="H761" s="21" t="s">
        <v>161</v>
      </c>
      <c r="I761" s="19" t="s">
        <v>26</v>
      </c>
      <c r="J761" s="19" t="s">
        <v>36</v>
      </c>
      <c r="K761" s="21" t="s">
        <v>15</v>
      </c>
      <c r="L761" s="33" t="str">
        <f t="shared" si="55"/>
        <v>1x LCD</v>
      </c>
      <c r="M761" s="21" t="s">
        <v>36</v>
      </c>
      <c r="N761" s="21" t="s">
        <v>143</v>
      </c>
      <c r="O761" s="27"/>
      <c r="P761" s="20"/>
      <c r="Q761" s="20"/>
      <c r="R761" s="29">
        <f t="shared" si="56"/>
        <v>0</v>
      </c>
      <c r="S761" s="20" t="s">
        <v>36</v>
      </c>
      <c r="T761" s="18" t="s">
        <v>143</v>
      </c>
      <c r="U761" s="20">
        <v>1</v>
      </c>
      <c r="V761" s="120">
        <v>0.38500000000000001</v>
      </c>
      <c r="W761" s="69">
        <f t="shared" si="57"/>
        <v>20.053699817999227</v>
      </c>
      <c r="X761" s="106">
        <v>52.087531994803186</v>
      </c>
      <c r="Y761" s="72" t="str">
        <f t="shared" si="58"/>
        <v>VR_2026_1x LCD_Single LCD VR headset</v>
      </c>
      <c r="Z761" s="36" t="str">
        <f t="shared" si="59"/>
        <v>VR_2026_1x LCD</v>
      </c>
    </row>
    <row r="762" spans="3:26">
      <c r="C762" s="17">
        <v>754</v>
      </c>
      <c r="D762" s="109" t="s">
        <v>129</v>
      </c>
      <c r="E762" s="20" t="s">
        <v>86</v>
      </c>
      <c r="F762" s="20" t="s">
        <v>179</v>
      </c>
      <c r="G762" s="21" t="s">
        <v>97</v>
      </c>
      <c r="H762" s="21" t="s">
        <v>123</v>
      </c>
      <c r="I762" s="19" t="s">
        <v>63</v>
      </c>
      <c r="J762" s="19" t="s">
        <v>36</v>
      </c>
      <c r="K762" s="21" t="s">
        <v>120</v>
      </c>
      <c r="L762" s="33" t="str">
        <f t="shared" si="55"/>
        <v>2x MicroLED</v>
      </c>
      <c r="M762" s="21" t="s">
        <v>36</v>
      </c>
      <c r="N762" s="21"/>
      <c r="O762" s="27"/>
      <c r="P762" s="20"/>
      <c r="Q762" s="20"/>
      <c r="R762" s="29">
        <f t="shared" si="56"/>
        <v>0</v>
      </c>
      <c r="S762" s="20" t="s">
        <v>36</v>
      </c>
      <c r="T762" s="18" t="s">
        <v>143</v>
      </c>
      <c r="U762" s="20">
        <v>2</v>
      </c>
      <c r="V762" s="120">
        <v>4.3999999999999997E-2</v>
      </c>
      <c r="W762" s="69">
        <f t="shared" si="57"/>
        <v>2.7106363437252341</v>
      </c>
      <c r="X762" s="106">
        <v>61.605371448300779</v>
      </c>
      <c r="Y762" s="72" t="str">
        <f t="shared" si="58"/>
        <v>AR_2026_2x MicroLED_Binocular MicroLED</v>
      </c>
      <c r="Z762" s="36" t="str">
        <f t="shared" si="59"/>
        <v>AR_2026_2x MicroLED</v>
      </c>
    </row>
    <row r="763" spans="3:26">
      <c r="C763" s="17">
        <v>755</v>
      </c>
      <c r="D763" s="109" t="s">
        <v>129</v>
      </c>
      <c r="E763" s="20" t="s">
        <v>86</v>
      </c>
      <c r="F763" s="20" t="s">
        <v>179</v>
      </c>
      <c r="G763" s="21" t="s">
        <v>97</v>
      </c>
      <c r="H763" s="21" t="s">
        <v>76</v>
      </c>
      <c r="I763" s="19" t="s">
        <v>63</v>
      </c>
      <c r="J763" s="19" t="s">
        <v>36</v>
      </c>
      <c r="K763" s="21" t="s">
        <v>70</v>
      </c>
      <c r="L763" s="33" t="str">
        <f t="shared" si="55"/>
        <v>1x DLP</v>
      </c>
      <c r="M763" s="21" t="s">
        <v>36</v>
      </c>
      <c r="N763" s="21"/>
      <c r="O763" s="27"/>
      <c r="P763" s="20"/>
      <c r="Q763" s="20"/>
      <c r="R763" s="29">
        <f t="shared" si="56"/>
        <v>0</v>
      </c>
      <c r="S763" s="20" t="s">
        <v>36</v>
      </c>
      <c r="T763" s="18" t="s">
        <v>143</v>
      </c>
      <c r="U763" s="20">
        <v>1</v>
      </c>
      <c r="V763" s="120">
        <v>1.1E-4</v>
      </c>
      <c r="W763" s="69">
        <f t="shared" si="57"/>
        <v>8.509756626390818E-3</v>
      </c>
      <c r="X763" s="106">
        <v>77.361423876280156</v>
      </c>
      <c r="Y763" s="72" t="str">
        <f t="shared" si="58"/>
        <v>AR_2026_1x DLP_DLP glasses</v>
      </c>
      <c r="Z763" s="36" t="str">
        <f t="shared" si="59"/>
        <v>AR_2026_1x DLP</v>
      </c>
    </row>
    <row r="764" spans="3:26">
      <c r="C764" s="17">
        <v>756</v>
      </c>
      <c r="D764" s="109" t="s">
        <v>129</v>
      </c>
      <c r="E764" s="20" t="s">
        <v>86</v>
      </c>
      <c r="F764" s="20" t="s">
        <v>179</v>
      </c>
      <c r="G764" s="21" t="s">
        <v>97</v>
      </c>
      <c r="H764" s="21" t="s">
        <v>75</v>
      </c>
      <c r="I764" s="19" t="s">
        <v>63</v>
      </c>
      <c r="J764" s="19" t="s">
        <v>36</v>
      </c>
      <c r="K764" s="21" t="s">
        <v>67</v>
      </c>
      <c r="L764" s="33" t="str">
        <f t="shared" si="55"/>
        <v>2x LCoS</v>
      </c>
      <c r="M764" s="21" t="s">
        <v>36</v>
      </c>
      <c r="N764" s="21"/>
      <c r="O764" s="27"/>
      <c r="P764" s="20"/>
      <c r="Q764" s="20"/>
      <c r="R764" s="29">
        <f t="shared" si="56"/>
        <v>0</v>
      </c>
      <c r="S764" s="20" t="s">
        <v>36</v>
      </c>
      <c r="T764" s="18" t="s">
        <v>143</v>
      </c>
      <c r="U764" s="20">
        <v>2</v>
      </c>
      <c r="V764" s="120">
        <v>3.3000000000000002E-2</v>
      </c>
      <c r="W764" s="69">
        <f t="shared" si="57"/>
        <v>1.4148751981228107</v>
      </c>
      <c r="X764" s="106">
        <v>42.875006003721538</v>
      </c>
      <c r="Y764" s="72" t="str">
        <f t="shared" si="58"/>
        <v>AR_2026_2x LCoS_LCoS glasses</v>
      </c>
      <c r="Z764" s="36" t="str">
        <f t="shared" si="59"/>
        <v>AR_2026_2x LCoS</v>
      </c>
    </row>
    <row r="765" spans="3:26">
      <c r="C765" s="17">
        <v>757</v>
      </c>
      <c r="D765" s="109" t="s">
        <v>129</v>
      </c>
      <c r="E765" s="20" t="s">
        <v>86</v>
      </c>
      <c r="F765" s="20" t="s">
        <v>179</v>
      </c>
      <c r="G765" s="21" t="s">
        <v>97</v>
      </c>
      <c r="H765" s="21" t="s">
        <v>121</v>
      </c>
      <c r="I765" s="19" t="s">
        <v>63</v>
      </c>
      <c r="J765" s="19" t="s">
        <v>36</v>
      </c>
      <c r="K765" s="21" t="s">
        <v>120</v>
      </c>
      <c r="L765" s="33" t="str">
        <f t="shared" si="55"/>
        <v>1x MicroLED</v>
      </c>
      <c r="M765" s="21" t="s">
        <v>36</v>
      </c>
      <c r="N765" s="21"/>
      <c r="O765" s="27"/>
      <c r="P765" s="20"/>
      <c r="Q765" s="20"/>
      <c r="R765" s="29">
        <f t="shared" si="56"/>
        <v>0</v>
      </c>
      <c r="S765" s="20" t="s">
        <v>36</v>
      </c>
      <c r="T765" s="18" t="s">
        <v>143</v>
      </c>
      <c r="U765" s="20">
        <v>1</v>
      </c>
      <c r="V765" s="120">
        <v>5.5E-2</v>
      </c>
      <c r="W765" s="69">
        <f t="shared" si="57"/>
        <v>3.3882954296565431</v>
      </c>
      <c r="X765" s="106">
        <v>61.605371448300779</v>
      </c>
      <c r="Y765" s="72" t="str">
        <f t="shared" si="58"/>
        <v>AR_2026_1x MicroLED_Monocular MicroLED</v>
      </c>
      <c r="Z765" s="36" t="str">
        <f t="shared" si="59"/>
        <v>AR_2026_1x MicroLED</v>
      </c>
    </row>
    <row r="766" spans="3:26">
      <c r="C766" s="17">
        <v>758</v>
      </c>
      <c r="D766" s="109" t="s">
        <v>129</v>
      </c>
      <c r="E766" s="20" t="s">
        <v>86</v>
      </c>
      <c r="F766" s="20" t="s">
        <v>179</v>
      </c>
      <c r="G766" s="21" t="s">
        <v>97</v>
      </c>
      <c r="H766" s="21" t="s">
        <v>79</v>
      </c>
      <c r="I766" s="19" t="s">
        <v>63</v>
      </c>
      <c r="J766" s="19" t="s">
        <v>36</v>
      </c>
      <c r="K766" s="21" t="s">
        <v>51</v>
      </c>
      <c r="L766" s="33" t="str">
        <f t="shared" si="55"/>
        <v>2x SiOLED</v>
      </c>
      <c r="M766" s="21" t="s">
        <v>36</v>
      </c>
      <c r="N766" s="21"/>
      <c r="O766" s="27"/>
      <c r="P766" s="20"/>
      <c r="Q766" s="20"/>
      <c r="R766" s="29">
        <f t="shared" si="56"/>
        <v>0</v>
      </c>
      <c r="S766" s="20" t="s">
        <v>36</v>
      </c>
      <c r="T766" s="18" t="s">
        <v>143</v>
      </c>
      <c r="U766" s="20">
        <v>2</v>
      </c>
      <c r="V766" s="120">
        <v>0.33</v>
      </c>
      <c r="W766" s="69">
        <f t="shared" si="57"/>
        <v>17.16</v>
      </c>
      <c r="X766" s="106">
        <v>52</v>
      </c>
      <c r="Y766" s="72" t="str">
        <f t="shared" si="58"/>
        <v>AR_2026_2x SiOLED_SiOLED glasses</v>
      </c>
      <c r="Z766" s="36" t="str">
        <f t="shared" si="59"/>
        <v>AR_2026_2x SiOLED</v>
      </c>
    </row>
    <row r="767" spans="3:26">
      <c r="C767" s="17">
        <v>759</v>
      </c>
      <c r="D767" s="109" t="s">
        <v>129</v>
      </c>
      <c r="E767" s="20" t="s">
        <v>86</v>
      </c>
      <c r="F767" s="20" t="s">
        <v>179</v>
      </c>
      <c r="G767" s="21" t="s">
        <v>97</v>
      </c>
      <c r="H767" s="21" t="s">
        <v>279</v>
      </c>
      <c r="I767" s="19" t="s">
        <v>63</v>
      </c>
      <c r="J767" s="19" t="s">
        <v>27</v>
      </c>
      <c r="K767" s="21" t="s">
        <v>67</v>
      </c>
      <c r="L767" s="33" t="str">
        <f t="shared" si="55"/>
        <v>1x LCoS</v>
      </c>
      <c r="M767" s="21" t="s">
        <v>36</v>
      </c>
      <c r="N767" s="21"/>
      <c r="O767" s="27"/>
      <c r="P767" s="20"/>
      <c r="Q767" s="20"/>
      <c r="R767" s="29">
        <f t="shared" si="56"/>
        <v>0</v>
      </c>
      <c r="S767" s="20" t="s">
        <v>36</v>
      </c>
      <c r="T767" s="18"/>
      <c r="U767" s="20">
        <v>1</v>
      </c>
      <c r="V767" s="120">
        <v>5.5E-2</v>
      </c>
      <c r="W767" s="69">
        <f t="shared" si="57"/>
        <v>2.3581253302046847</v>
      </c>
      <c r="X767" s="106">
        <v>42.875006003721538</v>
      </c>
      <c r="Y767" s="72" t="str">
        <f t="shared" si="58"/>
        <v>AR_2026_1x LCoS_Monocular LCoS glasses</v>
      </c>
      <c r="Z767" s="36" t="str">
        <f t="shared" si="59"/>
        <v>AR_2026_1x LCoS</v>
      </c>
    </row>
    <row r="768" spans="3:26">
      <c r="C768" s="17">
        <v>760</v>
      </c>
      <c r="D768" s="109" t="s">
        <v>26</v>
      </c>
      <c r="E768" s="20" t="s">
        <v>86</v>
      </c>
      <c r="F768" s="20" t="s">
        <v>182</v>
      </c>
      <c r="G768" s="21" t="s">
        <v>97</v>
      </c>
      <c r="H768" s="21" t="s">
        <v>111</v>
      </c>
      <c r="I768" s="19" t="s">
        <v>26</v>
      </c>
      <c r="J768" s="19" t="s">
        <v>36</v>
      </c>
      <c r="K768" s="21" t="s">
        <v>15</v>
      </c>
      <c r="L768" s="33" t="str">
        <f t="shared" si="55"/>
        <v>2x LCD</v>
      </c>
      <c r="M768" s="21" t="s">
        <v>36</v>
      </c>
      <c r="N768" s="21" t="s">
        <v>143</v>
      </c>
      <c r="O768" s="27"/>
      <c r="P768" s="20"/>
      <c r="Q768" s="20"/>
      <c r="R768" s="29">
        <f t="shared" si="56"/>
        <v>0</v>
      </c>
      <c r="S768" s="20" t="s">
        <v>36</v>
      </c>
      <c r="T768" s="18" t="s">
        <v>143</v>
      </c>
      <c r="U768" s="20">
        <v>2</v>
      </c>
      <c r="V768" s="120">
        <v>1.32</v>
      </c>
      <c r="W768" s="69">
        <f t="shared" si="57"/>
        <v>45.837028155426822</v>
      </c>
      <c r="X768" s="106">
        <v>34.725021329868802</v>
      </c>
      <c r="Y768" s="72" t="str">
        <f t="shared" si="58"/>
        <v>VR_2026_2x LCD_Dual LCD VR headset</v>
      </c>
      <c r="Z768" s="36" t="str">
        <f t="shared" si="59"/>
        <v>VR_2026_2x LCD</v>
      </c>
    </row>
    <row r="769" spans="3:26">
      <c r="C769" s="17">
        <v>761</v>
      </c>
      <c r="D769" s="109" t="s">
        <v>26</v>
      </c>
      <c r="E769" s="20" t="s">
        <v>86</v>
      </c>
      <c r="F769" s="20" t="s">
        <v>182</v>
      </c>
      <c r="G769" s="21" t="s">
        <v>97</v>
      </c>
      <c r="H769" s="21" t="s">
        <v>138</v>
      </c>
      <c r="I769" s="19" t="s">
        <v>26</v>
      </c>
      <c r="J769" s="19" t="s">
        <v>36</v>
      </c>
      <c r="K769" s="21" t="s">
        <v>51</v>
      </c>
      <c r="L769" s="33" t="str">
        <f t="shared" si="55"/>
        <v>2x SiOLED</v>
      </c>
      <c r="M769" s="21" t="s">
        <v>36</v>
      </c>
      <c r="N769" s="21"/>
      <c r="O769" s="27"/>
      <c r="P769" s="20"/>
      <c r="Q769" s="20"/>
      <c r="R769" s="29">
        <f t="shared" si="56"/>
        <v>0</v>
      </c>
      <c r="S769" s="20" t="s">
        <v>36</v>
      </c>
      <c r="T769" s="18"/>
      <c r="U769" s="20">
        <v>2</v>
      </c>
      <c r="V769" s="120">
        <v>0.33</v>
      </c>
      <c r="W769" s="69">
        <f t="shared" si="57"/>
        <v>42.9</v>
      </c>
      <c r="X769" s="106">
        <v>130</v>
      </c>
      <c r="Y769" s="72" t="str">
        <f t="shared" si="58"/>
        <v>VR_2026_2x SiOLED_Dual SiOLED headset</v>
      </c>
      <c r="Z769" s="36" t="str">
        <f t="shared" si="59"/>
        <v>VR_2026_2x SiOLED</v>
      </c>
    </row>
    <row r="770" spans="3:26">
      <c r="C770" s="17">
        <v>762</v>
      </c>
      <c r="D770" s="109" t="s">
        <v>26</v>
      </c>
      <c r="E770" s="20" t="s">
        <v>86</v>
      </c>
      <c r="F770" s="20" t="s">
        <v>182</v>
      </c>
      <c r="G770" s="21" t="s">
        <v>97</v>
      </c>
      <c r="H770" s="21" t="s">
        <v>42</v>
      </c>
      <c r="I770" s="19" t="s">
        <v>26</v>
      </c>
      <c r="J770" s="19" t="s">
        <v>36</v>
      </c>
      <c r="K770" s="21" t="s">
        <v>28</v>
      </c>
      <c r="L770" s="33" t="str">
        <f t="shared" si="55"/>
        <v>2x AMOLED</v>
      </c>
      <c r="M770" s="21" t="s">
        <v>36</v>
      </c>
      <c r="N770" s="21" t="s">
        <v>143</v>
      </c>
      <c r="O770" s="27"/>
      <c r="P770" s="20"/>
      <c r="Q770" s="20"/>
      <c r="R770" s="29">
        <f t="shared" si="56"/>
        <v>0</v>
      </c>
      <c r="S770" s="20" t="s">
        <v>36</v>
      </c>
      <c r="T770" s="18" t="s">
        <v>143</v>
      </c>
      <c r="U770" s="20">
        <v>2</v>
      </c>
      <c r="V770" s="120">
        <v>2.1999999999999999E-2</v>
      </c>
      <c r="W770" s="69">
        <f t="shared" si="57"/>
        <v>0.86571055531690477</v>
      </c>
      <c r="X770" s="106">
        <v>39.350479787132038</v>
      </c>
      <c r="Y770" s="72" t="str">
        <f t="shared" si="58"/>
        <v>VR_2026_2x AMOLED_OLED VR headset</v>
      </c>
      <c r="Z770" s="36" t="str">
        <f t="shared" si="59"/>
        <v>VR_2026_2x AMOLED</v>
      </c>
    </row>
    <row r="771" spans="3:26">
      <c r="C771" s="17">
        <v>763</v>
      </c>
      <c r="D771" s="109" t="s">
        <v>26</v>
      </c>
      <c r="E771" s="20" t="s">
        <v>86</v>
      </c>
      <c r="F771" s="20" t="s">
        <v>182</v>
      </c>
      <c r="G771" s="21" t="s">
        <v>97</v>
      </c>
      <c r="H771" s="21" t="s">
        <v>161</v>
      </c>
      <c r="I771" s="19" t="s">
        <v>26</v>
      </c>
      <c r="J771" s="19" t="s">
        <v>36</v>
      </c>
      <c r="K771" s="21" t="s">
        <v>15</v>
      </c>
      <c r="L771" s="33" t="str">
        <f t="shared" si="55"/>
        <v>1x LCD</v>
      </c>
      <c r="M771" s="21" t="s">
        <v>36</v>
      </c>
      <c r="N771" s="21" t="s">
        <v>143</v>
      </c>
      <c r="O771" s="27"/>
      <c r="P771" s="20"/>
      <c r="Q771" s="20"/>
      <c r="R771" s="29">
        <f t="shared" si="56"/>
        <v>0</v>
      </c>
      <c r="S771" s="20" t="s">
        <v>36</v>
      </c>
      <c r="T771" s="18" t="s">
        <v>143</v>
      </c>
      <c r="U771" s="20">
        <v>1</v>
      </c>
      <c r="V771" s="120">
        <v>0.16500000000000001</v>
      </c>
      <c r="W771" s="69">
        <f t="shared" si="57"/>
        <v>8.5944427791425255</v>
      </c>
      <c r="X771" s="106">
        <v>52.087531994803186</v>
      </c>
      <c r="Y771" s="72" t="str">
        <f t="shared" si="58"/>
        <v>VR_2026_1x LCD_Single LCD VR headset</v>
      </c>
      <c r="Z771" s="36" t="str">
        <f t="shared" si="59"/>
        <v>VR_2026_1x LCD</v>
      </c>
    </row>
    <row r="772" spans="3:26">
      <c r="C772" s="17">
        <v>764</v>
      </c>
      <c r="D772" s="109" t="s">
        <v>129</v>
      </c>
      <c r="E772" s="20" t="s">
        <v>86</v>
      </c>
      <c r="F772" s="20" t="s">
        <v>182</v>
      </c>
      <c r="G772" s="21" t="s">
        <v>97</v>
      </c>
      <c r="H772" s="21" t="s">
        <v>123</v>
      </c>
      <c r="I772" s="19" t="s">
        <v>63</v>
      </c>
      <c r="J772" s="19" t="s">
        <v>36</v>
      </c>
      <c r="K772" s="21" t="s">
        <v>120</v>
      </c>
      <c r="L772" s="33" t="str">
        <f t="shared" si="55"/>
        <v>2x MicroLED</v>
      </c>
      <c r="M772" s="21" t="s">
        <v>36</v>
      </c>
      <c r="N772" s="21"/>
      <c r="O772" s="27"/>
      <c r="P772" s="20"/>
      <c r="Q772" s="20"/>
      <c r="R772" s="29">
        <f t="shared" si="56"/>
        <v>0</v>
      </c>
      <c r="S772" s="20" t="s">
        <v>36</v>
      </c>
      <c r="T772" s="18" t="s">
        <v>143</v>
      </c>
      <c r="U772" s="20">
        <v>2</v>
      </c>
      <c r="V772" s="120">
        <v>4.3999999999999997E-2</v>
      </c>
      <c r="W772" s="69">
        <f t="shared" si="57"/>
        <v>2.7106363437252341</v>
      </c>
      <c r="X772" s="106">
        <v>61.605371448300779</v>
      </c>
      <c r="Y772" s="72" t="str">
        <f t="shared" si="58"/>
        <v>AR_2026_2x MicroLED_Binocular MicroLED</v>
      </c>
      <c r="Z772" s="36" t="str">
        <f t="shared" si="59"/>
        <v>AR_2026_2x MicroLED</v>
      </c>
    </row>
    <row r="773" spans="3:26">
      <c r="C773" s="17">
        <v>765</v>
      </c>
      <c r="D773" s="109" t="s">
        <v>129</v>
      </c>
      <c r="E773" s="20" t="s">
        <v>86</v>
      </c>
      <c r="F773" s="20" t="s">
        <v>182</v>
      </c>
      <c r="G773" s="21" t="s">
        <v>97</v>
      </c>
      <c r="H773" s="21" t="s">
        <v>76</v>
      </c>
      <c r="I773" s="19" t="s">
        <v>63</v>
      </c>
      <c r="J773" s="19" t="s">
        <v>36</v>
      </c>
      <c r="K773" s="21" t="s">
        <v>70</v>
      </c>
      <c r="L773" s="33" t="str">
        <f t="shared" si="55"/>
        <v>1x DLP</v>
      </c>
      <c r="M773" s="21" t="s">
        <v>36</v>
      </c>
      <c r="N773" s="21"/>
      <c r="O773" s="27"/>
      <c r="P773" s="20"/>
      <c r="Q773" s="20"/>
      <c r="R773" s="29">
        <f t="shared" si="56"/>
        <v>0</v>
      </c>
      <c r="S773" s="20" t="s">
        <v>36</v>
      </c>
      <c r="T773" s="18" t="s">
        <v>143</v>
      </c>
      <c r="U773" s="20">
        <v>1</v>
      </c>
      <c r="V773" s="120">
        <v>1.1E-4</v>
      </c>
      <c r="W773" s="69">
        <f t="shared" si="57"/>
        <v>8.509756626390818E-3</v>
      </c>
      <c r="X773" s="106">
        <v>77.361423876280156</v>
      </c>
      <c r="Y773" s="72" t="str">
        <f t="shared" si="58"/>
        <v>AR_2026_1x DLP_DLP glasses</v>
      </c>
      <c r="Z773" s="36" t="str">
        <f t="shared" si="59"/>
        <v>AR_2026_1x DLP</v>
      </c>
    </row>
    <row r="774" spans="3:26">
      <c r="C774" s="17">
        <v>766</v>
      </c>
      <c r="D774" s="109" t="s">
        <v>129</v>
      </c>
      <c r="E774" s="20" t="s">
        <v>86</v>
      </c>
      <c r="F774" s="20" t="s">
        <v>182</v>
      </c>
      <c r="G774" s="21" t="s">
        <v>97</v>
      </c>
      <c r="H774" s="21" t="s">
        <v>75</v>
      </c>
      <c r="I774" s="19" t="s">
        <v>63</v>
      </c>
      <c r="J774" s="19" t="s">
        <v>36</v>
      </c>
      <c r="K774" s="21" t="s">
        <v>67</v>
      </c>
      <c r="L774" s="33" t="str">
        <f t="shared" si="55"/>
        <v>2x LCoS</v>
      </c>
      <c r="M774" s="21" t="s">
        <v>36</v>
      </c>
      <c r="N774" s="21"/>
      <c r="O774" s="27"/>
      <c r="P774" s="20"/>
      <c r="Q774" s="20"/>
      <c r="R774" s="29">
        <f t="shared" si="56"/>
        <v>0</v>
      </c>
      <c r="S774" s="20" t="s">
        <v>36</v>
      </c>
      <c r="T774" s="18" t="s">
        <v>143</v>
      </c>
      <c r="U774" s="20">
        <v>2</v>
      </c>
      <c r="V774" s="120">
        <v>3.3000000000000002E-2</v>
      </c>
      <c r="W774" s="69">
        <f t="shared" si="57"/>
        <v>1.4148751981228107</v>
      </c>
      <c r="X774" s="106">
        <v>42.875006003721538</v>
      </c>
      <c r="Y774" s="72" t="str">
        <f t="shared" si="58"/>
        <v>AR_2026_2x LCoS_LCoS glasses</v>
      </c>
      <c r="Z774" s="36" t="str">
        <f t="shared" si="59"/>
        <v>AR_2026_2x LCoS</v>
      </c>
    </row>
    <row r="775" spans="3:26">
      <c r="C775" s="17">
        <v>767</v>
      </c>
      <c r="D775" s="109" t="s">
        <v>129</v>
      </c>
      <c r="E775" s="20" t="s">
        <v>86</v>
      </c>
      <c r="F775" s="20" t="s">
        <v>182</v>
      </c>
      <c r="G775" s="21" t="s">
        <v>97</v>
      </c>
      <c r="H775" s="21" t="s">
        <v>121</v>
      </c>
      <c r="I775" s="19" t="s">
        <v>63</v>
      </c>
      <c r="J775" s="19" t="s">
        <v>36</v>
      </c>
      <c r="K775" s="21" t="s">
        <v>120</v>
      </c>
      <c r="L775" s="33" t="str">
        <f t="shared" si="55"/>
        <v>1x MicroLED</v>
      </c>
      <c r="M775" s="21" t="s">
        <v>36</v>
      </c>
      <c r="N775" s="21"/>
      <c r="O775" s="27"/>
      <c r="P775" s="20"/>
      <c r="Q775" s="20"/>
      <c r="R775" s="29">
        <f t="shared" si="56"/>
        <v>0</v>
      </c>
      <c r="S775" s="20" t="s">
        <v>36</v>
      </c>
      <c r="T775" s="18" t="s">
        <v>143</v>
      </c>
      <c r="U775" s="20">
        <v>1</v>
      </c>
      <c r="V775" s="120">
        <v>5.5E-2</v>
      </c>
      <c r="W775" s="69">
        <f t="shared" si="57"/>
        <v>3.3882954296565431</v>
      </c>
      <c r="X775" s="106">
        <v>61.605371448300779</v>
      </c>
      <c r="Y775" s="72" t="str">
        <f t="shared" si="58"/>
        <v>AR_2026_1x MicroLED_Monocular MicroLED</v>
      </c>
      <c r="Z775" s="36" t="str">
        <f t="shared" si="59"/>
        <v>AR_2026_1x MicroLED</v>
      </c>
    </row>
    <row r="776" spans="3:26">
      <c r="C776" s="17">
        <v>768</v>
      </c>
      <c r="D776" s="109" t="s">
        <v>129</v>
      </c>
      <c r="E776" s="20" t="s">
        <v>86</v>
      </c>
      <c r="F776" s="20" t="s">
        <v>182</v>
      </c>
      <c r="G776" s="21" t="s">
        <v>97</v>
      </c>
      <c r="H776" s="21" t="s">
        <v>79</v>
      </c>
      <c r="I776" s="19" t="s">
        <v>63</v>
      </c>
      <c r="J776" s="19" t="s">
        <v>36</v>
      </c>
      <c r="K776" s="21" t="s">
        <v>51</v>
      </c>
      <c r="L776" s="33" t="str">
        <f t="shared" si="55"/>
        <v>2x SiOLED</v>
      </c>
      <c r="M776" s="21" t="s">
        <v>36</v>
      </c>
      <c r="N776" s="21"/>
      <c r="O776" s="27"/>
      <c r="P776" s="20"/>
      <c r="Q776" s="20"/>
      <c r="R776" s="29">
        <f t="shared" si="56"/>
        <v>0</v>
      </c>
      <c r="S776" s="20" t="s">
        <v>36</v>
      </c>
      <c r="T776" s="18" t="s">
        <v>143</v>
      </c>
      <c r="U776" s="20">
        <v>2</v>
      </c>
      <c r="V776" s="120">
        <v>0.44</v>
      </c>
      <c r="W776" s="69">
        <f t="shared" si="57"/>
        <v>22.88</v>
      </c>
      <c r="X776" s="106">
        <v>52</v>
      </c>
      <c r="Y776" s="72" t="str">
        <f t="shared" si="58"/>
        <v>AR_2026_2x SiOLED_SiOLED glasses</v>
      </c>
      <c r="Z776" s="36" t="str">
        <f t="shared" si="59"/>
        <v>AR_2026_2x SiOLED</v>
      </c>
    </row>
    <row r="777" spans="3:26">
      <c r="C777" s="17">
        <v>769</v>
      </c>
      <c r="D777" s="109" t="s">
        <v>129</v>
      </c>
      <c r="E777" s="20" t="s">
        <v>86</v>
      </c>
      <c r="F777" s="20" t="s">
        <v>182</v>
      </c>
      <c r="G777" s="21" t="s">
        <v>97</v>
      </c>
      <c r="H777" s="21" t="s">
        <v>279</v>
      </c>
      <c r="I777" s="19" t="s">
        <v>63</v>
      </c>
      <c r="J777" s="19" t="s">
        <v>27</v>
      </c>
      <c r="K777" s="21" t="s">
        <v>67</v>
      </c>
      <c r="L777" s="33" t="str">
        <f t="shared" ref="L777:L840" si="60">IF(U777=0, "", U777&amp;"x "&amp;K777)</f>
        <v>1x LCoS</v>
      </c>
      <c r="M777" s="21" t="s">
        <v>36</v>
      </c>
      <c r="N777" s="21"/>
      <c r="O777" s="27"/>
      <c r="P777" s="20"/>
      <c r="Q777" s="20"/>
      <c r="R777" s="29">
        <f t="shared" ref="R777:R840" si="61">IF(O777=0, 0, SQRT(Q777^2+P777^2)/O777)</f>
        <v>0</v>
      </c>
      <c r="S777" s="20" t="s">
        <v>36</v>
      </c>
      <c r="T777" s="18"/>
      <c r="U777" s="20">
        <v>1</v>
      </c>
      <c r="V777" s="120">
        <v>5.5E-2</v>
      </c>
      <c r="W777" s="69">
        <f t="shared" ref="W777:W840" si="62">V777*X777</f>
        <v>2.3581253302046847</v>
      </c>
      <c r="X777" s="106">
        <v>42.875006003721538</v>
      </c>
      <c r="Y777" s="72" t="str">
        <f t="shared" ref="Y777:Y840" si="63">D777&amp;"_"&amp;E777&amp;"_"&amp;L777&amp;"_"&amp;H777</f>
        <v>AR_2026_1x LCoS_Monocular LCoS glasses</v>
      </c>
      <c r="Z777" s="36" t="str">
        <f t="shared" ref="Z777:Z840" si="64">D777&amp;"_"&amp;E777&amp;"_"&amp;L777</f>
        <v>AR_2026_1x LCoS</v>
      </c>
    </row>
    <row r="778" spans="3:26">
      <c r="C778" s="17">
        <v>770</v>
      </c>
      <c r="D778" s="109" t="s">
        <v>26</v>
      </c>
      <c r="E778" s="20" t="s">
        <v>125</v>
      </c>
      <c r="F778" s="20" t="s">
        <v>176</v>
      </c>
      <c r="G778" s="21" t="s">
        <v>97</v>
      </c>
      <c r="H778" s="21" t="s">
        <v>111</v>
      </c>
      <c r="I778" s="19" t="s">
        <v>26</v>
      </c>
      <c r="J778" s="19" t="s">
        <v>36</v>
      </c>
      <c r="K778" s="21" t="s">
        <v>15</v>
      </c>
      <c r="L778" s="33" t="str">
        <f t="shared" si="60"/>
        <v>2x LCD</v>
      </c>
      <c r="M778" s="21" t="s">
        <v>36</v>
      </c>
      <c r="N778" s="21" t="s">
        <v>143</v>
      </c>
      <c r="O778" s="27"/>
      <c r="P778" s="20"/>
      <c r="Q778" s="20"/>
      <c r="R778" s="29">
        <f t="shared" si="61"/>
        <v>0</v>
      </c>
      <c r="S778" s="20" t="s">
        <v>36</v>
      </c>
      <c r="T778" s="18" t="s">
        <v>143</v>
      </c>
      <c r="U778" s="20">
        <v>2</v>
      </c>
      <c r="V778" s="120">
        <v>2.64</v>
      </c>
      <c r="W778" s="69">
        <f t="shared" si="62"/>
        <v>89.840575184636563</v>
      </c>
      <c r="X778" s="106">
        <v>34.030520903271423</v>
      </c>
      <c r="Y778" s="72" t="str">
        <f t="shared" si="63"/>
        <v>VR_2027_2x LCD_Dual LCD VR headset</v>
      </c>
      <c r="Z778" s="36" t="str">
        <f t="shared" si="64"/>
        <v>VR_2027_2x LCD</v>
      </c>
    </row>
    <row r="779" spans="3:26">
      <c r="C779" s="17">
        <v>771</v>
      </c>
      <c r="D779" s="109" t="s">
        <v>26</v>
      </c>
      <c r="E779" s="20" t="s">
        <v>125</v>
      </c>
      <c r="F779" s="20" t="s">
        <v>176</v>
      </c>
      <c r="G779" s="21" t="s">
        <v>97</v>
      </c>
      <c r="H779" s="21" t="s">
        <v>138</v>
      </c>
      <c r="I779" s="19" t="s">
        <v>26</v>
      </c>
      <c r="J779" s="19" t="s">
        <v>36</v>
      </c>
      <c r="K779" s="21" t="s">
        <v>51</v>
      </c>
      <c r="L779" s="33" t="str">
        <f t="shared" si="60"/>
        <v>2x SiOLED</v>
      </c>
      <c r="M779" s="21" t="s">
        <v>36</v>
      </c>
      <c r="N779" s="21"/>
      <c r="O779" s="27"/>
      <c r="P779" s="20"/>
      <c r="Q779" s="20"/>
      <c r="R779" s="29">
        <f t="shared" si="61"/>
        <v>0</v>
      </c>
      <c r="S779" s="20" t="s">
        <v>36</v>
      </c>
      <c r="T779" s="18"/>
      <c r="U779" s="20">
        <v>2</v>
      </c>
      <c r="V779" s="120">
        <v>0.52800000000000002</v>
      </c>
      <c r="W779" s="69">
        <f t="shared" si="62"/>
        <v>64.135049932800015</v>
      </c>
      <c r="X779" s="106">
        <v>121.46789760000001</v>
      </c>
      <c r="Y779" s="72" t="str">
        <f t="shared" si="63"/>
        <v>VR_2027_2x SiOLED_Dual SiOLED headset</v>
      </c>
      <c r="Z779" s="36" t="str">
        <f t="shared" si="64"/>
        <v>VR_2027_2x SiOLED</v>
      </c>
    </row>
    <row r="780" spans="3:26">
      <c r="C780" s="17">
        <v>772</v>
      </c>
      <c r="D780" s="109" t="s">
        <v>26</v>
      </c>
      <c r="E780" s="20" t="s">
        <v>125</v>
      </c>
      <c r="F780" s="20" t="s">
        <v>176</v>
      </c>
      <c r="G780" s="21" t="s">
        <v>97</v>
      </c>
      <c r="H780" s="21" t="s">
        <v>42</v>
      </c>
      <c r="I780" s="19" t="s">
        <v>26</v>
      </c>
      <c r="J780" s="19" t="s">
        <v>36</v>
      </c>
      <c r="K780" s="21" t="s">
        <v>28</v>
      </c>
      <c r="L780" s="33" t="str">
        <f t="shared" si="60"/>
        <v>2x AMOLED</v>
      </c>
      <c r="M780" s="21" t="s">
        <v>36</v>
      </c>
      <c r="N780" s="21" t="s">
        <v>143</v>
      </c>
      <c r="O780" s="27"/>
      <c r="P780" s="20"/>
      <c r="Q780" s="20"/>
      <c r="R780" s="29">
        <f t="shared" si="61"/>
        <v>0</v>
      </c>
      <c r="S780" s="20" t="s">
        <v>36</v>
      </c>
      <c r="T780" s="18" t="s">
        <v>143</v>
      </c>
      <c r="U780" s="20">
        <v>2</v>
      </c>
      <c r="V780" s="120">
        <v>0.11</v>
      </c>
      <c r="W780" s="69">
        <f t="shared" si="62"/>
        <v>4.0746249399083414</v>
      </c>
      <c r="X780" s="106">
        <v>37.042044908257651</v>
      </c>
      <c r="Y780" s="72" t="str">
        <f t="shared" si="63"/>
        <v>VR_2027_2x AMOLED_OLED VR headset</v>
      </c>
      <c r="Z780" s="36" t="str">
        <f t="shared" si="64"/>
        <v>VR_2027_2x AMOLED</v>
      </c>
    </row>
    <row r="781" spans="3:26">
      <c r="C781" s="17">
        <v>773</v>
      </c>
      <c r="D781" s="109" t="s">
        <v>26</v>
      </c>
      <c r="E781" s="20" t="s">
        <v>125</v>
      </c>
      <c r="F781" s="20" t="s">
        <v>176</v>
      </c>
      <c r="G781" s="21" t="s">
        <v>97</v>
      </c>
      <c r="H781" s="21" t="s">
        <v>161</v>
      </c>
      <c r="I781" s="19" t="s">
        <v>26</v>
      </c>
      <c r="J781" s="19" t="s">
        <v>36</v>
      </c>
      <c r="K781" s="21" t="s">
        <v>15</v>
      </c>
      <c r="L781" s="33" t="str">
        <f t="shared" si="60"/>
        <v>1x LCD</v>
      </c>
      <c r="M781" s="21" t="s">
        <v>36</v>
      </c>
      <c r="N781" s="21" t="s">
        <v>143</v>
      </c>
      <c r="O781" s="27"/>
      <c r="P781" s="20"/>
      <c r="Q781" s="20"/>
      <c r="R781" s="29">
        <f t="shared" si="61"/>
        <v>0</v>
      </c>
      <c r="S781" s="20" t="s">
        <v>36</v>
      </c>
      <c r="T781" s="18" t="s">
        <v>143</v>
      </c>
      <c r="U781" s="20">
        <v>1</v>
      </c>
      <c r="V781" s="120">
        <v>0.27500000000000002</v>
      </c>
      <c r="W781" s="69">
        <f t="shared" si="62"/>
        <v>14.03758987259946</v>
      </c>
      <c r="X781" s="106">
        <v>51.04578135490712</v>
      </c>
      <c r="Y781" s="72" t="str">
        <f t="shared" si="63"/>
        <v>VR_2027_1x LCD_Single LCD VR headset</v>
      </c>
      <c r="Z781" s="36" t="str">
        <f t="shared" si="64"/>
        <v>VR_2027_1x LCD</v>
      </c>
    </row>
    <row r="782" spans="3:26">
      <c r="C782" s="17">
        <v>774</v>
      </c>
      <c r="D782" s="109" t="s">
        <v>129</v>
      </c>
      <c r="E782" s="20" t="s">
        <v>125</v>
      </c>
      <c r="F782" s="20" t="s">
        <v>176</v>
      </c>
      <c r="G782" s="21" t="s">
        <v>97</v>
      </c>
      <c r="H782" s="21" t="s">
        <v>123</v>
      </c>
      <c r="I782" s="19" t="s">
        <v>63</v>
      </c>
      <c r="J782" s="19" t="s">
        <v>36</v>
      </c>
      <c r="K782" s="21" t="s">
        <v>120</v>
      </c>
      <c r="L782" s="33" t="str">
        <f t="shared" si="60"/>
        <v>2x MicroLED</v>
      </c>
      <c r="M782" s="21" t="s">
        <v>36</v>
      </c>
      <c r="N782" s="21"/>
      <c r="O782" s="27"/>
      <c r="P782" s="20"/>
      <c r="Q782" s="20"/>
      <c r="R782" s="29">
        <f t="shared" si="61"/>
        <v>0</v>
      </c>
      <c r="S782" s="20" t="s">
        <v>36</v>
      </c>
      <c r="T782" s="18" t="s">
        <v>143</v>
      </c>
      <c r="U782" s="20">
        <v>2</v>
      </c>
      <c r="V782" s="120">
        <v>7.0400000000000004E-2</v>
      </c>
      <c r="W782" s="69">
        <f t="shared" si="62"/>
        <v>4.0767970609627522</v>
      </c>
      <c r="X782" s="106">
        <v>57.909049161402727</v>
      </c>
      <c r="Y782" s="72" t="str">
        <f t="shared" si="63"/>
        <v>AR_2027_2x MicroLED_Binocular MicroLED</v>
      </c>
      <c r="Z782" s="36" t="str">
        <f t="shared" si="64"/>
        <v>AR_2027_2x MicroLED</v>
      </c>
    </row>
    <row r="783" spans="3:26">
      <c r="C783" s="17">
        <v>775</v>
      </c>
      <c r="D783" s="109" t="s">
        <v>129</v>
      </c>
      <c r="E783" s="20" t="s">
        <v>125</v>
      </c>
      <c r="F783" s="20" t="s">
        <v>176</v>
      </c>
      <c r="G783" s="21" t="s">
        <v>97</v>
      </c>
      <c r="H783" s="21" t="s">
        <v>76</v>
      </c>
      <c r="I783" s="19" t="s">
        <v>63</v>
      </c>
      <c r="J783" s="19" t="s">
        <v>36</v>
      </c>
      <c r="K783" s="21" t="s">
        <v>70</v>
      </c>
      <c r="L783" s="33" t="str">
        <f t="shared" si="60"/>
        <v>1x DLP</v>
      </c>
      <c r="M783" s="21" t="s">
        <v>36</v>
      </c>
      <c r="N783" s="21"/>
      <c r="O783" s="27"/>
      <c r="P783" s="20"/>
      <c r="Q783" s="20"/>
      <c r="R783" s="29">
        <f t="shared" si="61"/>
        <v>0</v>
      </c>
      <c r="S783" s="20" t="s">
        <v>36</v>
      </c>
      <c r="T783" s="18" t="s">
        <v>143</v>
      </c>
      <c r="U783" s="20">
        <v>1</v>
      </c>
      <c r="V783" s="120">
        <v>1.1E-4</v>
      </c>
      <c r="W783" s="69">
        <f t="shared" si="62"/>
        <v>8.4246590601269097E-3</v>
      </c>
      <c r="X783" s="106">
        <v>76.587809637517353</v>
      </c>
      <c r="Y783" s="72" t="str">
        <f t="shared" si="63"/>
        <v>AR_2027_1x DLP_DLP glasses</v>
      </c>
      <c r="Z783" s="36" t="str">
        <f t="shared" si="64"/>
        <v>AR_2027_1x DLP</v>
      </c>
    </row>
    <row r="784" spans="3:26">
      <c r="C784" s="17">
        <v>776</v>
      </c>
      <c r="D784" s="109" t="s">
        <v>129</v>
      </c>
      <c r="E784" s="20" t="s">
        <v>125</v>
      </c>
      <c r="F784" s="20" t="s">
        <v>176</v>
      </c>
      <c r="G784" s="21" t="s">
        <v>97</v>
      </c>
      <c r="H784" s="21" t="s">
        <v>75</v>
      </c>
      <c r="I784" s="19" t="s">
        <v>63</v>
      </c>
      <c r="J784" s="19" t="s">
        <v>36</v>
      </c>
      <c r="K784" s="21" t="s">
        <v>67</v>
      </c>
      <c r="L784" s="33" t="str">
        <f t="shared" si="60"/>
        <v>2x LCoS</v>
      </c>
      <c r="M784" s="21" t="s">
        <v>36</v>
      </c>
      <c r="N784" s="21"/>
      <c r="O784" s="27"/>
      <c r="P784" s="20"/>
      <c r="Q784" s="20"/>
      <c r="R784" s="29">
        <f t="shared" si="61"/>
        <v>0</v>
      </c>
      <c r="S784" s="20" t="s">
        <v>36</v>
      </c>
      <c r="T784" s="18" t="s">
        <v>143</v>
      </c>
      <c r="U784" s="20">
        <v>2</v>
      </c>
      <c r="V784" s="120">
        <v>4.3999999999999997E-2</v>
      </c>
      <c r="W784" s="69">
        <f t="shared" si="62"/>
        <v>1.8676352615221099</v>
      </c>
      <c r="X784" s="106">
        <v>42.446255943684321</v>
      </c>
      <c r="Y784" s="72" t="str">
        <f t="shared" si="63"/>
        <v>AR_2027_2x LCoS_LCoS glasses</v>
      </c>
      <c r="Z784" s="36" t="str">
        <f t="shared" si="64"/>
        <v>AR_2027_2x LCoS</v>
      </c>
    </row>
    <row r="785" spans="3:26">
      <c r="C785" s="17">
        <v>777</v>
      </c>
      <c r="D785" s="109" t="s">
        <v>129</v>
      </c>
      <c r="E785" s="20" t="s">
        <v>125</v>
      </c>
      <c r="F785" s="20" t="s">
        <v>176</v>
      </c>
      <c r="G785" s="21" t="s">
        <v>97</v>
      </c>
      <c r="H785" s="21" t="s">
        <v>121</v>
      </c>
      <c r="I785" s="19" t="s">
        <v>63</v>
      </c>
      <c r="J785" s="19" t="s">
        <v>36</v>
      </c>
      <c r="K785" s="21" t="s">
        <v>120</v>
      </c>
      <c r="L785" s="33" t="str">
        <f t="shared" si="60"/>
        <v>1x MicroLED</v>
      </c>
      <c r="M785" s="21" t="s">
        <v>36</v>
      </c>
      <c r="N785" s="21"/>
      <c r="O785" s="27"/>
      <c r="P785" s="20"/>
      <c r="Q785" s="20"/>
      <c r="R785" s="29">
        <f t="shared" si="61"/>
        <v>0</v>
      </c>
      <c r="S785" s="20" t="s">
        <v>36</v>
      </c>
      <c r="T785" s="18" t="s">
        <v>143</v>
      </c>
      <c r="U785" s="20">
        <v>1</v>
      </c>
      <c r="V785" s="120">
        <v>0.19800000000000001</v>
      </c>
      <c r="W785" s="69">
        <f t="shared" si="62"/>
        <v>11.46599173395774</v>
      </c>
      <c r="X785" s="106">
        <v>57.909049161402727</v>
      </c>
      <c r="Y785" s="72" t="str">
        <f t="shared" si="63"/>
        <v>AR_2027_1x MicroLED_Monocular MicroLED</v>
      </c>
      <c r="Z785" s="36" t="str">
        <f t="shared" si="64"/>
        <v>AR_2027_1x MicroLED</v>
      </c>
    </row>
    <row r="786" spans="3:26">
      <c r="C786" s="17">
        <v>778</v>
      </c>
      <c r="D786" s="109" t="s">
        <v>129</v>
      </c>
      <c r="E786" s="20" t="s">
        <v>125</v>
      </c>
      <c r="F786" s="20" t="s">
        <v>176</v>
      </c>
      <c r="G786" s="21" t="s">
        <v>97</v>
      </c>
      <c r="H786" s="21" t="s">
        <v>79</v>
      </c>
      <c r="I786" s="19" t="s">
        <v>63</v>
      </c>
      <c r="J786" s="19" t="s">
        <v>36</v>
      </c>
      <c r="K786" s="21" t="s">
        <v>51</v>
      </c>
      <c r="L786" s="33" t="str">
        <f t="shared" si="60"/>
        <v>2x SiOLED</v>
      </c>
      <c r="M786" s="21" t="s">
        <v>36</v>
      </c>
      <c r="N786" s="21"/>
      <c r="O786" s="27"/>
      <c r="P786" s="20"/>
      <c r="Q786" s="20"/>
      <c r="R786" s="29">
        <f t="shared" si="61"/>
        <v>0</v>
      </c>
      <c r="S786" s="20" t="s">
        <v>36</v>
      </c>
      <c r="T786" s="18" t="s">
        <v>143</v>
      </c>
      <c r="U786" s="20">
        <v>2</v>
      </c>
      <c r="V786" s="120">
        <v>0.57199999999999995</v>
      </c>
      <c r="W786" s="69">
        <f t="shared" si="62"/>
        <v>29.171999999999997</v>
      </c>
      <c r="X786" s="106">
        <v>51</v>
      </c>
      <c r="Y786" s="72" t="str">
        <f t="shared" si="63"/>
        <v>AR_2027_2x SiOLED_SiOLED glasses</v>
      </c>
      <c r="Z786" s="36" t="str">
        <f t="shared" si="64"/>
        <v>AR_2027_2x SiOLED</v>
      </c>
    </row>
    <row r="787" spans="3:26">
      <c r="C787" s="17">
        <v>779</v>
      </c>
      <c r="D787" s="109" t="s">
        <v>129</v>
      </c>
      <c r="E787" s="20" t="s">
        <v>125</v>
      </c>
      <c r="F787" s="20" t="s">
        <v>176</v>
      </c>
      <c r="G787" s="21" t="s">
        <v>97</v>
      </c>
      <c r="H787" s="21" t="s">
        <v>279</v>
      </c>
      <c r="I787" s="19" t="s">
        <v>63</v>
      </c>
      <c r="J787" s="19" t="s">
        <v>27</v>
      </c>
      <c r="K787" s="21" t="s">
        <v>67</v>
      </c>
      <c r="L787" s="33" t="str">
        <f t="shared" si="60"/>
        <v>1x LCoS</v>
      </c>
      <c r="M787" s="21" t="s">
        <v>36</v>
      </c>
      <c r="N787" s="21"/>
      <c r="O787" s="27"/>
      <c r="P787" s="20"/>
      <c r="Q787" s="20"/>
      <c r="R787" s="29">
        <f t="shared" si="61"/>
        <v>0</v>
      </c>
      <c r="S787" s="20" t="s">
        <v>36</v>
      </c>
      <c r="T787" s="18"/>
      <c r="U787" s="20">
        <v>1</v>
      </c>
      <c r="V787" s="120">
        <v>7.1499999999999994E-2</v>
      </c>
      <c r="W787" s="69">
        <f t="shared" si="62"/>
        <v>3.0349072999734288</v>
      </c>
      <c r="X787" s="106">
        <v>42.446255943684321</v>
      </c>
      <c r="Y787" s="72" t="str">
        <f t="shared" si="63"/>
        <v>AR_2027_1x LCoS_Monocular LCoS glasses</v>
      </c>
      <c r="Z787" s="36" t="str">
        <f t="shared" si="64"/>
        <v>AR_2027_1x LCoS</v>
      </c>
    </row>
    <row r="788" spans="3:26">
      <c r="C788" s="17">
        <v>780</v>
      </c>
      <c r="D788" s="109" t="s">
        <v>26</v>
      </c>
      <c r="E788" s="20" t="s">
        <v>125</v>
      </c>
      <c r="F788" s="20" t="s">
        <v>177</v>
      </c>
      <c r="G788" s="21" t="s">
        <v>97</v>
      </c>
      <c r="H788" s="21" t="s">
        <v>111</v>
      </c>
      <c r="I788" s="19" t="s">
        <v>26</v>
      </c>
      <c r="J788" s="19" t="s">
        <v>36</v>
      </c>
      <c r="K788" s="21" t="s">
        <v>15</v>
      </c>
      <c r="L788" s="33" t="str">
        <f t="shared" si="60"/>
        <v>2x LCD</v>
      </c>
      <c r="M788" s="21" t="s">
        <v>36</v>
      </c>
      <c r="N788" s="21" t="s">
        <v>143</v>
      </c>
      <c r="O788" s="27"/>
      <c r="P788" s="20"/>
      <c r="Q788" s="20"/>
      <c r="R788" s="29">
        <f t="shared" si="61"/>
        <v>0</v>
      </c>
      <c r="S788" s="20" t="s">
        <v>36</v>
      </c>
      <c r="T788" s="18" t="s">
        <v>143</v>
      </c>
      <c r="U788" s="20">
        <v>2</v>
      </c>
      <c r="V788" s="120">
        <v>4.18</v>
      </c>
      <c r="W788" s="69">
        <f t="shared" si="62"/>
        <v>142.24757737567455</v>
      </c>
      <c r="X788" s="106">
        <v>34.030520903271423</v>
      </c>
      <c r="Y788" s="72" t="str">
        <f t="shared" si="63"/>
        <v>VR_2027_2x LCD_Dual LCD VR headset</v>
      </c>
      <c r="Z788" s="36" t="str">
        <f t="shared" si="64"/>
        <v>VR_2027_2x LCD</v>
      </c>
    </row>
    <row r="789" spans="3:26">
      <c r="C789" s="17">
        <v>781</v>
      </c>
      <c r="D789" s="109" t="s">
        <v>26</v>
      </c>
      <c r="E789" s="20" t="s">
        <v>125</v>
      </c>
      <c r="F789" s="20" t="s">
        <v>177</v>
      </c>
      <c r="G789" s="21" t="s">
        <v>97</v>
      </c>
      <c r="H789" s="21" t="s">
        <v>138</v>
      </c>
      <c r="I789" s="19" t="s">
        <v>26</v>
      </c>
      <c r="J789" s="19" t="s">
        <v>36</v>
      </c>
      <c r="K789" s="21" t="s">
        <v>51</v>
      </c>
      <c r="L789" s="33" t="str">
        <f t="shared" si="60"/>
        <v>2x SiOLED</v>
      </c>
      <c r="M789" s="21" t="s">
        <v>36</v>
      </c>
      <c r="N789" s="21"/>
      <c r="O789" s="27"/>
      <c r="P789" s="20"/>
      <c r="Q789" s="20"/>
      <c r="R789" s="29">
        <f t="shared" si="61"/>
        <v>0</v>
      </c>
      <c r="S789" s="20" t="s">
        <v>36</v>
      </c>
      <c r="T789" s="18"/>
      <c r="U789" s="20">
        <v>2</v>
      </c>
      <c r="V789" s="120">
        <v>2.42</v>
      </c>
      <c r="W789" s="69">
        <f t="shared" si="62"/>
        <v>293.95231219200002</v>
      </c>
      <c r="X789" s="106">
        <v>121.46789760000001</v>
      </c>
      <c r="Y789" s="72" t="str">
        <f t="shared" si="63"/>
        <v>VR_2027_2x SiOLED_Dual SiOLED headset</v>
      </c>
      <c r="Z789" s="36" t="str">
        <f t="shared" si="64"/>
        <v>VR_2027_2x SiOLED</v>
      </c>
    </row>
    <row r="790" spans="3:26">
      <c r="C790" s="17">
        <v>782</v>
      </c>
      <c r="D790" s="109" t="s">
        <v>26</v>
      </c>
      <c r="E790" s="20" t="s">
        <v>125</v>
      </c>
      <c r="F790" s="20" t="s">
        <v>177</v>
      </c>
      <c r="G790" s="21" t="s">
        <v>97</v>
      </c>
      <c r="H790" s="21" t="s">
        <v>42</v>
      </c>
      <c r="I790" s="19" t="s">
        <v>26</v>
      </c>
      <c r="J790" s="19" t="s">
        <v>36</v>
      </c>
      <c r="K790" s="21" t="s">
        <v>28</v>
      </c>
      <c r="L790" s="33" t="str">
        <f t="shared" si="60"/>
        <v>2x AMOLED</v>
      </c>
      <c r="M790" s="21" t="s">
        <v>36</v>
      </c>
      <c r="N790" s="21" t="s">
        <v>143</v>
      </c>
      <c r="O790" s="27"/>
      <c r="P790" s="20"/>
      <c r="Q790" s="20"/>
      <c r="R790" s="29">
        <f t="shared" si="61"/>
        <v>0</v>
      </c>
      <c r="S790" s="20" t="s">
        <v>36</v>
      </c>
      <c r="T790" s="18" t="s">
        <v>143</v>
      </c>
      <c r="U790" s="20">
        <v>2</v>
      </c>
      <c r="V790" s="120">
        <v>0.44</v>
      </c>
      <c r="W790" s="69">
        <f t="shared" si="62"/>
        <v>16.298499759633366</v>
      </c>
      <c r="X790" s="106">
        <v>37.042044908257651</v>
      </c>
      <c r="Y790" s="72" t="str">
        <f t="shared" si="63"/>
        <v>VR_2027_2x AMOLED_OLED VR headset</v>
      </c>
      <c r="Z790" s="36" t="str">
        <f t="shared" si="64"/>
        <v>VR_2027_2x AMOLED</v>
      </c>
    </row>
    <row r="791" spans="3:26">
      <c r="C791" s="17">
        <v>783</v>
      </c>
      <c r="D791" s="109" t="s">
        <v>26</v>
      </c>
      <c r="E791" s="20" t="s">
        <v>125</v>
      </c>
      <c r="F791" s="20" t="s">
        <v>177</v>
      </c>
      <c r="G791" s="21" t="s">
        <v>97</v>
      </c>
      <c r="H791" s="21" t="s">
        <v>161</v>
      </c>
      <c r="I791" s="19" t="s">
        <v>26</v>
      </c>
      <c r="J791" s="19" t="s">
        <v>36</v>
      </c>
      <c r="K791" s="21" t="s">
        <v>15</v>
      </c>
      <c r="L791" s="33" t="str">
        <f t="shared" si="60"/>
        <v>1x LCD</v>
      </c>
      <c r="M791" s="21" t="s">
        <v>36</v>
      </c>
      <c r="N791" s="21" t="s">
        <v>143</v>
      </c>
      <c r="O791" s="27"/>
      <c r="P791" s="20"/>
      <c r="Q791" s="20"/>
      <c r="R791" s="29">
        <f t="shared" si="61"/>
        <v>0</v>
      </c>
      <c r="S791" s="20" t="s">
        <v>36</v>
      </c>
      <c r="T791" s="18" t="s">
        <v>143</v>
      </c>
      <c r="U791" s="20">
        <v>1</v>
      </c>
      <c r="V791" s="120">
        <v>0.44</v>
      </c>
      <c r="W791" s="69">
        <f t="shared" si="62"/>
        <v>22.460143796159134</v>
      </c>
      <c r="X791" s="106">
        <v>51.04578135490712</v>
      </c>
      <c r="Y791" s="72" t="str">
        <f t="shared" si="63"/>
        <v>VR_2027_1x LCD_Single LCD VR headset</v>
      </c>
      <c r="Z791" s="36" t="str">
        <f t="shared" si="64"/>
        <v>VR_2027_1x LCD</v>
      </c>
    </row>
    <row r="792" spans="3:26">
      <c r="C792" s="17">
        <v>784</v>
      </c>
      <c r="D792" s="109" t="s">
        <v>129</v>
      </c>
      <c r="E792" s="20" t="s">
        <v>125</v>
      </c>
      <c r="F792" s="20" t="s">
        <v>177</v>
      </c>
      <c r="G792" s="21" t="s">
        <v>97</v>
      </c>
      <c r="H792" s="21" t="s">
        <v>123</v>
      </c>
      <c r="I792" s="19" t="s">
        <v>63</v>
      </c>
      <c r="J792" s="19" t="s">
        <v>36</v>
      </c>
      <c r="K792" s="21" t="s">
        <v>120</v>
      </c>
      <c r="L792" s="33" t="str">
        <f t="shared" si="60"/>
        <v>2x MicroLED</v>
      </c>
      <c r="M792" s="21" t="s">
        <v>36</v>
      </c>
      <c r="N792" s="21"/>
      <c r="O792" s="27"/>
      <c r="P792" s="20"/>
      <c r="Q792" s="20"/>
      <c r="R792" s="29">
        <f t="shared" si="61"/>
        <v>0</v>
      </c>
      <c r="S792" s="20" t="s">
        <v>36</v>
      </c>
      <c r="T792" s="18" t="s">
        <v>143</v>
      </c>
      <c r="U792" s="20">
        <v>2</v>
      </c>
      <c r="V792" s="120">
        <v>0.14299999999999999</v>
      </c>
      <c r="W792" s="69">
        <f t="shared" si="62"/>
        <v>8.2809940300805884</v>
      </c>
      <c r="X792" s="106">
        <v>57.909049161402727</v>
      </c>
      <c r="Y792" s="72" t="str">
        <f t="shared" si="63"/>
        <v>AR_2027_2x MicroLED_Binocular MicroLED</v>
      </c>
      <c r="Z792" s="36" t="str">
        <f t="shared" si="64"/>
        <v>AR_2027_2x MicroLED</v>
      </c>
    </row>
    <row r="793" spans="3:26">
      <c r="C793" s="17">
        <v>785</v>
      </c>
      <c r="D793" s="109" t="s">
        <v>129</v>
      </c>
      <c r="E793" s="20" t="s">
        <v>125</v>
      </c>
      <c r="F793" s="20" t="s">
        <v>177</v>
      </c>
      <c r="G793" s="21" t="s">
        <v>97</v>
      </c>
      <c r="H793" s="21" t="s">
        <v>76</v>
      </c>
      <c r="I793" s="19" t="s">
        <v>63</v>
      </c>
      <c r="J793" s="19" t="s">
        <v>36</v>
      </c>
      <c r="K793" s="21" t="s">
        <v>70</v>
      </c>
      <c r="L793" s="33" t="str">
        <f t="shared" si="60"/>
        <v>1x DLP</v>
      </c>
      <c r="M793" s="21" t="s">
        <v>36</v>
      </c>
      <c r="N793" s="21"/>
      <c r="O793" s="27"/>
      <c r="P793" s="20"/>
      <c r="Q793" s="20"/>
      <c r="R793" s="29">
        <f t="shared" si="61"/>
        <v>0</v>
      </c>
      <c r="S793" s="20" t="s">
        <v>36</v>
      </c>
      <c r="T793" s="18" t="s">
        <v>143</v>
      </c>
      <c r="U793" s="20">
        <v>1</v>
      </c>
      <c r="V793" s="120">
        <v>1.1E-4</v>
      </c>
      <c r="W793" s="69">
        <f t="shared" si="62"/>
        <v>8.4246590601269097E-3</v>
      </c>
      <c r="X793" s="106">
        <v>76.587809637517353</v>
      </c>
      <c r="Y793" s="72" t="str">
        <f t="shared" si="63"/>
        <v>AR_2027_1x DLP_DLP glasses</v>
      </c>
      <c r="Z793" s="36" t="str">
        <f t="shared" si="64"/>
        <v>AR_2027_1x DLP</v>
      </c>
    </row>
    <row r="794" spans="3:26">
      <c r="C794" s="17">
        <v>786</v>
      </c>
      <c r="D794" s="109" t="s">
        <v>129</v>
      </c>
      <c r="E794" s="20" t="s">
        <v>125</v>
      </c>
      <c r="F794" s="20" t="s">
        <v>177</v>
      </c>
      <c r="G794" s="21" t="s">
        <v>97</v>
      </c>
      <c r="H794" s="21" t="s">
        <v>75</v>
      </c>
      <c r="I794" s="19" t="s">
        <v>63</v>
      </c>
      <c r="J794" s="19" t="s">
        <v>36</v>
      </c>
      <c r="K794" s="21" t="s">
        <v>67</v>
      </c>
      <c r="L794" s="33" t="str">
        <f t="shared" si="60"/>
        <v>2x LCoS</v>
      </c>
      <c r="M794" s="21" t="s">
        <v>36</v>
      </c>
      <c r="N794" s="21"/>
      <c r="O794" s="27"/>
      <c r="P794" s="20"/>
      <c r="Q794" s="20"/>
      <c r="R794" s="29">
        <f t="shared" si="61"/>
        <v>0</v>
      </c>
      <c r="S794" s="20" t="s">
        <v>36</v>
      </c>
      <c r="T794" s="18" t="s">
        <v>143</v>
      </c>
      <c r="U794" s="20">
        <v>2</v>
      </c>
      <c r="V794" s="120">
        <v>5.5E-2</v>
      </c>
      <c r="W794" s="69">
        <f t="shared" si="62"/>
        <v>2.3345440769026378</v>
      </c>
      <c r="X794" s="106">
        <v>42.446255943684321</v>
      </c>
      <c r="Y794" s="72" t="str">
        <f t="shared" si="63"/>
        <v>AR_2027_2x LCoS_LCoS glasses</v>
      </c>
      <c r="Z794" s="36" t="str">
        <f t="shared" si="64"/>
        <v>AR_2027_2x LCoS</v>
      </c>
    </row>
    <row r="795" spans="3:26">
      <c r="C795" s="17">
        <v>787</v>
      </c>
      <c r="D795" s="109" t="s">
        <v>129</v>
      </c>
      <c r="E795" s="20" t="s">
        <v>125</v>
      </c>
      <c r="F795" s="20" t="s">
        <v>177</v>
      </c>
      <c r="G795" s="21" t="s">
        <v>97</v>
      </c>
      <c r="H795" s="21" t="s">
        <v>121</v>
      </c>
      <c r="I795" s="19" t="s">
        <v>63</v>
      </c>
      <c r="J795" s="19" t="s">
        <v>36</v>
      </c>
      <c r="K795" s="21" t="s">
        <v>120</v>
      </c>
      <c r="L795" s="33" t="str">
        <f t="shared" si="60"/>
        <v>1x MicroLED</v>
      </c>
      <c r="M795" s="21" t="s">
        <v>36</v>
      </c>
      <c r="N795" s="21"/>
      <c r="O795" s="27"/>
      <c r="P795" s="20"/>
      <c r="Q795" s="20"/>
      <c r="R795" s="29">
        <f t="shared" si="61"/>
        <v>0</v>
      </c>
      <c r="S795" s="20" t="s">
        <v>36</v>
      </c>
      <c r="T795" s="18" t="s">
        <v>143</v>
      </c>
      <c r="U795" s="20">
        <v>1</v>
      </c>
      <c r="V795" s="120">
        <v>0.24199999999999999</v>
      </c>
      <c r="W795" s="69">
        <f t="shared" si="62"/>
        <v>14.01398989705946</v>
      </c>
      <c r="X795" s="106">
        <v>57.909049161402727</v>
      </c>
      <c r="Y795" s="72" t="str">
        <f t="shared" si="63"/>
        <v>AR_2027_1x MicroLED_Monocular MicroLED</v>
      </c>
      <c r="Z795" s="36" t="str">
        <f t="shared" si="64"/>
        <v>AR_2027_1x MicroLED</v>
      </c>
    </row>
    <row r="796" spans="3:26">
      <c r="C796" s="17">
        <v>788</v>
      </c>
      <c r="D796" s="109" t="s">
        <v>129</v>
      </c>
      <c r="E796" s="20" t="s">
        <v>125</v>
      </c>
      <c r="F796" s="20" t="s">
        <v>177</v>
      </c>
      <c r="G796" s="21" t="s">
        <v>97</v>
      </c>
      <c r="H796" s="21" t="s">
        <v>79</v>
      </c>
      <c r="I796" s="19" t="s">
        <v>63</v>
      </c>
      <c r="J796" s="19" t="s">
        <v>36</v>
      </c>
      <c r="K796" s="21" t="s">
        <v>51</v>
      </c>
      <c r="L796" s="33" t="str">
        <f t="shared" si="60"/>
        <v>2x SiOLED</v>
      </c>
      <c r="M796" s="21" t="s">
        <v>36</v>
      </c>
      <c r="N796" s="21"/>
      <c r="O796" s="27"/>
      <c r="P796" s="20"/>
      <c r="Q796" s="20"/>
      <c r="R796" s="29">
        <f t="shared" si="61"/>
        <v>0</v>
      </c>
      <c r="S796" s="20" t="s">
        <v>36</v>
      </c>
      <c r="T796" s="18" t="s">
        <v>143</v>
      </c>
      <c r="U796" s="20">
        <v>2</v>
      </c>
      <c r="V796" s="120">
        <v>0.71499999999999997</v>
      </c>
      <c r="W796" s="69">
        <f t="shared" si="62"/>
        <v>36.464999999999996</v>
      </c>
      <c r="X796" s="106">
        <v>51</v>
      </c>
      <c r="Y796" s="72" t="str">
        <f t="shared" si="63"/>
        <v>AR_2027_2x SiOLED_SiOLED glasses</v>
      </c>
      <c r="Z796" s="36" t="str">
        <f t="shared" si="64"/>
        <v>AR_2027_2x SiOLED</v>
      </c>
    </row>
    <row r="797" spans="3:26">
      <c r="C797" s="17">
        <v>789</v>
      </c>
      <c r="D797" s="109" t="s">
        <v>129</v>
      </c>
      <c r="E797" s="20" t="s">
        <v>125</v>
      </c>
      <c r="F797" s="20" t="s">
        <v>177</v>
      </c>
      <c r="G797" s="21" t="s">
        <v>97</v>
      </c>
      <c r="H797" s="21" t="s">
        <v>279</v>
      </c>
      <c r="I797" s="19" t="s">
        <v>63</v>
      </c>
      <c r="J797" s="19" t="s">
        <v>27</v>
      </c>
      <c r="K797" s="21" t="s">
        <v>67</v>
      </c>
      <c r="L797" s="33" t="str">
        <f t="shared" si="60"/>
        <v>1x LCoS</v>
      </c>
      <c r="M797" s="21" t="s">
        <v>36</v>
      </c>
      <c r="N797" s="21"/>
      <c r="O797" s="27"/>
      <c r="P797" s="20"/>
      <c r="Q797" s="20"/>
      <c r="R797" s="29">
        <f t="shared" si="61"/>
        <v>0</v>
      </c>
      <c r="S797" s="20" t="s">
        <v>36</v>
      </c>
      <c r="T797" s="18"/>
      <c r="U797" s="20">
        <v>1</v>
      </c>
      <c r="V797" s="120">
        <v>0.121</v>
      </c>
      <c r="W797" s="69">
        <f t="shared" si="62"/>
        <v>5.1359969691858023</v>
      </c>
      <c r="X797" s="106">
        <v>42.446255943684321</v>
      </c>
      <c r="Y797" s="72" t="str">
        <f t="shared" si="63"/>
        <v>AR_2027_1x LCoS_Monocular LCoS glasses</v>
      </c>
      <c r="Z797" s="36" t="str">
        <f t="shared" si="64"/>
        <v>AR_2027_1x LCoS</v>
      </c>
    </row>
    <row r="798" spans="3:26">
      <c r="C798" s="17">
        <v>790</v>
      </c>
      <c r="D798" s="109" t="s">
        <v>26</v>
      </c>
      <c r="E798" s="20" t="s">
        <v>125</v>
      </c>
      <c r="F798" s="20" t="s">
        <v>179</v>
      </c>
      <c r="G798" s="21" t="s">
        <v>97</v>
      </c>
      <c r="H798" s="21" t="s">
        <v>111</v>
      </c>
      <c r="I798" s="19" t="s">
        <v>26</v>
      </c>
      <c r="J798" s="19" t="s">
        <v>36</v>
      </c>
      <c r="K798" s="21" t="s">
        <v>15</v>
      </c>
      <c r="L798" s="33" t="str">
        <f t="shared" si="60"/>
        <v>2x LCD</v>
      </c>
      <c r="M798" s="21" t="s">
        <v>36</v>
      </c>
      <c r="N798" s="21" t="s">
        <v>143</v>
      </c>
      <c r="O798" s="27"/>
      <c r="P798" s="20"/>
      <c r="Q798" s="20"/>
      <c r="R798" s="29">
        <f t="shared" si="61"/>
        <v>0</v>
      </c>
      <c r="S798" s="20" t="s">
        <v>36</v>
      </c>
      <c r="T798" s="18" t="s">
        <v>143</v>
      </c>
      <c r="U798" s="20">
        <v>2</v>
      </c>
      <c r="V798" s="120">
        <v>1.54</v>
      </c>
      <c r="W798" s="69">
        <f t="shared" si="62"/>
        <v>52.407002191037989</v>
      </c>
      <c r="X798" s="106">
        <v>34.030520903271423</v>
      </c>
      <c r="Y798" s="72" t="str">
        <f t="shared" si="63"/>
        <v>VR_2027_2x LCD_Dual LCD VR headset</v>
      </c>
      <c r="Z798" s="36" t="str">
        <f t="shared" si="64"/>
        <v>VR_2027_2x LCD</v>
      </c>
    </row>
    <row r="799" spans="3:26">
      <c r="C799" s="17">
        <v>791</v>
      </c>
      <c r="D799" s="109" t="s">
        <v>26</v>
      </c>
      <c r="E799" s="20" t="s">
        <v>125</v>
      </c>
      <c r="F799" s="20" t="s">
        <v>179</v>
      </c>
      <c r="G799" s="21" t="s">
        <v>97</v>
      </c>
      <c r="H799" s="21" t="s">
        <v>138</v>
      </c>
      <c r="I799" s="19" t="s">
        <v>26</v>
      </c>
      <c r="J799" s="19" t="s">
        <v>36</v>
      </c>
      <c r="K799" s="21" t="s">
        <v>51</v>
      </c>
      <c r="L799" s="33" t="str">
        <f t="shared" si="60"/>
        <v>2x SiOLED</v>
      </c>
      <c r="M799" s="21" t="s">
        <v>36</v>
      </c>
      <c r="N799" s="21"/>
      <c r="O799" s="27"/>
      <c r="P799" s="20"/>
      <c r="Q799" s="20"/>
      <c r="R799" s="29">
        <f t="shared" si="61"/>
        <v>0</v>
      </c>
      <c r="S799" s="20" t="s">
        <v>36</v>
      </c>
      <c r="T799" s="18"/>
      <c r="U799" s="20">
        <v>2</v>
      </c>
      <c r="V799" s="120">
        <v>1.1000000000000001</v>
      </c>
      <c r="W799" s="69">
        <f t="shared" si="62"/>
        <v>133.61468736000003</v>
      </c>
      <c r="X799" s="106">
        <v>121.46789760000001</v>
      </c>
      <c r="Y799" s="72" t="str">
        <f t="shared" si="63"/>
        <v>VR_2027_2x SiOLED_Dual SiOLED headset</v>
      </c>
      <c r="Z799" s="36" t="str">
        <f t="shared" si="64"/>
        <v>VR_2027_2x SiOLED</v>
      </c>
    </row>
    <row r="800" spans="3:26">
      <c r="C800" s="17">
        <v>792</v>
      </c>
      <c r="D800" s="109" t="s">
        <v>26</v>
      </c>
      <c r="E800" s="20" t="s">
        <v>125</v>
      </c>
      <c r="F800" s="20" t="s">
        <v>179</v>
      </c>
      <c r="G800" s="21" t="s">
        <v>97</v>
      </c>
      <c r="H800" s="21" t="s">
        <v>42</v>
      </c>
      <c r="I800" s="19" t="s">
        <v>26</v>
      </c>
      <c r="J800" s="19" t="s">
        <v>36</v>
      </c>
      <c r="K800" s="21" t="s">
        <v>28</v>
      </c>
      <c r="L800" s="33" t="str">
        <f t="shared" si="60"/>
        <v>2x AMOLED</v>
      </c>
      <c r="M800" s="21" t="s">
        <v>36</v>
      </c>
      <c r="N800" s="21" t="s">
        <v>143</v>
      </c>
      <c r="O800" s="27"/>
      <c r="P800" s="20"/>
      <c r="Q800" s="20"/>
      <c r="R800" s="29">
        <f t="shared" si="61"/>
        <v>0</v>
      </c>
      <c r="S800" s="20" t="s">
        <v>36</v>
      </c>
      <c r="T800" s="18" t="s">
        <v>143</v>
      </c>
      <c r="U800" s="20">
        <v>2</v>
      </c>
      <c r="V800" s="120">
        <v>0.33</v>
      </c>
      <c r="W800" s="69">
        <f t="shared" si="62"/>
        <v>12.223874819725026</v>
      </c>
      <c r="X800" s="106">
        <v>37.042044908257651</v>
      </c>
      <c r="Y800" s="72" t="str">
        <f t="shared" si="63"/>
        <v>VR_2027_2x AMOLED_OLED VR headset</v>
      </c>
      <c r="Z800" s="36" t="str">
        <f t="shared" si="64"/>
        <v>VR_2027_2x AMOLED</v>
      </c>
    </row>
    <row r="801" spans="3:26">
      <c r="C801" s="17">
        <v>793</v>
      </c>
      <c r="D801" s="109" t="s">
        <v>26</v>
      </c>
      <c r="E801" s="20" t="s">
        <v>125</v>
      </c>
      <c r="F801" s="20" t="s">
        <v>179</v>
      </c>
      <c r="G801" s="21" t="s">
        <v>97</v>
      </c>
      <c r="H801" s="21" t="s">
        <v>161</v>
      </c>
      <c r="I801" s="19" t="s">
        <v>26</v>
      </c>
      <c r="J801" s="19" t="s">
        <v>36</v>
      </c>
      <c r="K801" s="21" t="s">
        <v>15</v>
      </c>
      <c r="L801" s="33" t="str">
        <f t="shared" si="60"/>
        <v>1x LCD</v>
      </c>
      <c r="M801" s="21" t="s">
        <v>36</v>
      </c>
      <c r="N801" s="21" t="s">
        <v>143</v>
      </c>
      <c r="O801" s="27"/>
      <c r="P801" s="20"/>
      <c r="Q801" s="20"/>
      <c r="R801" s="29">
        <f t="shared" si="61"/>
        <v>0</v>
      </c>
      <c r="S801" s="20" t="s">
        <v>36</v>
      </c>
      <c r="T801" s="18" t="s">
        <v>143</v>
      </c>
      <c r="U801" s="20">
        <v>1</v>
      </c>
      <c r="V801" s="120">
        <v>0.27500000000000002</v>
      </c>
      <c r="W801" s="69">
        <f t="shared" si="62"/>
        <v>14.03758987259946</v>
      </c>
      <c r="X801" s="106">
        <v>51.04578135490712</v>
      </c>
      <c r="Y801" s="72" t="str">
        <f t="shared" si="63"/>
        <v>VR_2027_1x LCD_Single LCD VR headset</v>
      </c>
      <c r="Z801" s="36" t="str">
        <f t="shared" si="64"/>
        <v>VR_2027_1x LCD</v>
      </c>
    </row>
    <row r="802" spans="3:26">
      <c r="C802" s="17">
        <v>794</v>
      </c>
      <c r="D802" s="109" t="s">
        <v>129</v>
      </c>
      <c r="E802" s="20" t="s">
        <v>125</v>
      </c>
      <c r="F802" s="20" t="s">
        <v>179</v>
      </c>
      <c r="G802" s="21" t="s">
        <v>97</v>
      </c>
      <c r="H802" s="21" t="s">
        <v>123</v>
      </c>
      <c r="I802" s="19" t="s">
        <v>63</v>
      </c>
      <c r="J802" s="19" t="s">
        <v>36</v>
      </c>
      <c r="K802" s="21" t="s">
        <v>120</v>
      </c>
      <c r="L802" s="33" t="str">
        <f t="shared" si="60"/>
        <v>2x MicroLED</v>
      </c>
      <c r="M802" s="21" t="s">
        <v>36</v>
      </c>
      <c r="N802" s="21"/>
      <c r="O802" s="27"/>
      <c r="P802" s="20"/>
      <c r="Q802" s="20"/>
      <c r="R802" s="29">
        <f t="shared" si="61"/>
        <v>0</v>
      </c>
      <c r="S802" s="20" t="s">
        <v>36</v>
      </c>
      <c r="T802" s="18" t="s">
        <v>143</v>
      </c>
      <c r="U802" s="20">
        <v>2</v>
      </c>
      <c r="V802" s="120">
        <v>4.3999999999999997E-2</v>
      </c>
      <c r="W802" s="69">
        <f t="shared" si="62"/>
        <v>2.5479981631017199</v>
      </c>
      <c r="X802" s="106">
        <v>57.909049161402727</v>
      </c>
      <c r="Y802" s="72" t="str">
        <f t="shared" si="63"/>
        <v>AR_2027_2x MicroLED_Binocular MicroLED</v>
      </c>
      <c r="Z802" s="36" t="str">
        <f t="shared" si="64"/>
        <v>AR_2027_2x MicroLED</v>
      </c>
    </row>
    <row r="803" spans="3:26">
      <c r="C803" s="17">
        <v>795</v>
      </c>
      <c r="D803" s="109" t="s">
        <v>129</v>
      </c>
      <c r="E803" s="20" t="s">
        <v>125</v>
      </c>
      <c r="F803" s="20" t="s">
        <v>179</v>
      </c>
      <c r="G803" s="21" t="s">
        <v>97</v>
      </c>
      <c r="H803" s="21" t="s">
        <v>76</v>
      </c>
      <c r="I803" s="19" t="s">
        <v>63</v>
      </c>
      <c r="J803" s="19" t="s">
        <v>36</v>
      </c>
      <c r="K803" s="21" t="s">
        <v>70</v>
      </c>
      <c r="L803" s="33" t="str">
        <f t="shared" si="60"/>
        <v>1x DLP</v>
      </c>
      <c r="M803" s="21" t="s">
        <v>36</v>
      </c>
      <c r="N803" s="21"/>
      <c r="O803" s="27"/>
      <c r="P803" s="20"/>
      <c r="Q803" s="20"/>
      <c r="R803" s="29">
        <f t="shared" si="61"/>
        <v>0</v>
      </c>
      <c r="S803" s="20" t="s">
        <v>36</v>
      </c>
      <c r="T803" s="18" t="s">
        <v>143</v>
      </c>
      <c r="U803" s="20">
        <v>1</v>
      </c>
      <c r="V803" s="120">
        <v>1.1E-4</v>
      </c>
      <c r="W803" s="69">
        <f t="shared" si="62"/>
        <v>8.4246590601269097E-3</v>
      </c>
      <c r="X803" s="106">
        <v>76.587809637517353</v>
      </c>
      <c r="Y803" s="72" t="str">
        <f t="shared" si="63"/>
        <v>AR_2027_1x DLP_DLP glasses</v>
      </c>
      <c r="Z803" s="36" t="str">
        <f t="shared" si="64"/>
        <v>AR_2027_1x DLP</v>
      </c>
    </row>
    <row r="804" spans="3:26">
      <c r="C804" s="17">
        <v>796</v>
      </c>
      <c r="D804" s="109" t="s">
        <v>129</v>
      </c>
      <c r="E804" s="20" t="s">
        <v>125</v>
      </c>
      <c r="F804" s="20" t="s">
        <v>179</v>
      </c>
      <c r="G804" s="21" t="s">
        <v>97</v>
      </c>
      <c r="H804" s="21" t="s">
        <v>75</v>
      </c>
      <c r="I804" s="19" t="s">
        <v>63</v>
      </c>
      <c r="J804" s="19" t="s">
        <v>36</v>
      </c>
      <c r="K804" s="21" t="s">
        <v>67</v>
      </c>
      <c r="L804" s="33" t="str">
        <f t="shared" si="60"/>
        <v>2x LCoS</v>
      </c>
      <c r="M804" s="21" t="s">
        <v>36</v>
      </c>
      <c r="N804" s="21"/>
      <c r="O804" s="27"/>
      <c r="P804" s="20"/>
      <c r="Q804" s="20"/>
      <c r="R804" s="29">
        <f t="shared" si="61"/>
        <v>0</v>
      </c>
      <c r="S804" s="20" t="s">
        <v>36</v>
      </c>
      <c r="T804" s="18" t="s">
        <v>143</v>
      </c>
      <c r="U804" s="20">
        <v>2</v>
      </c>
      <c r="V804" s="120">
        <v>4.3999999999999997E-2</v>
      </c>
      <c r="W804" s="69">
        <f t="shared" si="62"/>
        <v>1.8676352615221099</v>
      </c>
      <c r="X804" s="106">
        <v>42.446255943684321</v>
      </c>
      <c r="Y804" s="72" t="str">
        <f t="shared" si="63"/>
        <v>AR_2027_2x LCoS_LCoS glasses</v>
      </c>
      <c r="Z804" s="36" t="str">
        <f t="shared" si="64"/>
        <v>AR_2027_2x LCoS</v>
      </c>
    </row>
    <row r="805" spans="3:26">
      <c r="C805" s="17">
        <v>797</v>
      </c>
      <c r="D805" s="109" t="s">
        <v>129</v>
      </c>
      <c r="E805" s="20" t="s">
        <v>125</v>
      </c>
      <c r="F805" s="20" t="s">
        <v>179</v>
      </c>
      <c r="G805" s="21" t="s">
        <v>97</v>
      </c>
      <c r="H805" s="21" t="s">
        <v>121</v>
      </c>
      <c r="I805" s="19" t="s">
        <v>63</v>
      </c>
      <c r="J805" s="19" t="s">
        <v>36</v>
      </c>
      <c r="K805" s="21" t="s">
        <v>120</v>
      </c>
      <c r="L805" s="33" t="str">
        <f t="shared" si="60"/>
        <v>1x MicroLED</v>
      </c>
      <c r="M805" s="21" t="s">
        <v>36</v>
      </c>
      <c r="N805" s="21"/>
      <c r="O805" s="27"/>
      <c r="P805" s="20"/>
      <c r="Q805" s="20"/>
      <c r="R805" s="29">
        <f t="shared" si="61"/>
        <v>0</v>
      </c>
      <c r="S805" s="20" t="s">
        <v>36</v>
      </c>
      <c r="T805" s="18" t="s">
        <v>143</v>
      </c>
      <c r="U805" s="20">
        <v>1</v>
      </c>
      <c r="V805" s="120">
        <v>0.13200000000000001</v>
      </c>
      <c r="W805" s="69">
        <f t="shared" si="62"/>
        <v>7.6439944893051601</v>
      </c>
      <c r="X805" s="106">
        <v>57.909049161402727</v>
      </c>
      <c r="Y805" s="72" t="str">
        <f t="shared" si="63"/>
        <v>AR_2027_1x MicroLED_Monocular MicroLED</v>
      </c>
      <c r="Z805" s="36" t="str">
        <f t="shared" si="64"/>
        <v>AR_2027_1x MicroLED</v>
      </c>
    </row>
    <row r="806" spans="3:26">
      <c r="C806" s="17">
        <v>798</v>
      </c>
      <c r="D806" s="109" t="s">
        <v>129</v>
      </c>
      <c r="E806" s="20" t="s">
        <v>125</v>
      </c>
      <c r="F806" s="20" t="s">
        <v>179</v>
      </c>
      <c r="G806" s="21" t="s">
        <v>97</v>
      </c>
      <c r="H806" s="21" t="s">
        <v>79</v>
      </c>
      <c r="I806" s="19" t="s">
        <v>63</v>
      </c>
      <c r="J806" s="19" t="s">
        <v>36</v>
      </c>
      <c r="K806" s="21" t="s">
        <v>51</v>
      </c>
      <c r="L806" s="33" t="str">
        <f t="shared" si="60"/>
        <v>2x SiOLED</v>
      </c>
      <c r="M806" s="21" t="s">
        <v>36</v>
      </c>
      <c r="N806" s="21"/>
      <c r="O806" s="27"/>
      <c r="P806" s="20"/>
      <c r="Q806" s="20"/>
      <c r="R806" s="29">
        <f t="shared" si="61"/>
        <v>0</v>
      </c>
      <c r="S806" s="20" t="s">
        <v>36</v>
      </c>
      <c r="T806" s="18" t="s">
        <v>143</v>
      </c>
      <c r="U806" s="20">
        <v>2</v>
      </c>
      <c r="V806" s="120">
        <v>0.44</v>
      </c>
      <c r="W806" s="69">
        <f t="shared" si="62"/>
        <v>22.44</v>
      </c>
      <c r="X806" s="106">
        <v>51</v>
      </c>
      <c r="Y806" s="72" t="str">
        <f t="shared" si="63"/>
        <v>AR_2027_2x SiOLED_SiOLED glasses</v>
      </c>
      <c r="Z806" s="36" t="str">
        <f t="shared" si="64"/>
        <v>AR_2027_2x SiOLED</v>
      </c>
    </row>
    <row r="807" spans="3:26">
      <c r="C807" s="17">
        <v>799</v>
      </c>
      <c r="D807" s="109" t="s">
        <v>129</v>
      </c>
      <c r="E807" s="20" t="s">
        <v>125</v>
      </c>
      <c r="F807" s="20" t="s">
        <v>179</v>
      </c>
      <c r="G807" s="21" t="s">
        <v>97</v>
      </c>
      <c r="H807" s="21" t="s">
        <v>279</v>
      </c>
      <c r="I807" s="19" t="s">
        <v>63</v>
      </c>
      <c r="J807" s="19" t="s">
        <v>27</v>
      </c>
      <c r="K807" s="21" t="s">
        <v>67</v>
      </c>
      <c r="L807" s="33" t="str">
        <f t="shared" si="60"/>
        <v>1x LCoS</v>
      </c>
      <c r="M807" s="21" t="s">
        <v>36</v>
      </c>
      <c r="N807" s="21"/>
      <c r="O807" s="27"/>
      <c r="P807" s="20"/>
      <c r="Q807" s="20"/>
      <c r="R807" s="29">
        <f t="shared" si="61"/>
        <v>0</v>
      </c>
      <c r="S807" s="20" t="s">
        <v>36</v>
      </c>
      <c r="T807" s="18"/>
      <c r="U807" s="20">
        <v>1</v>
      </c>
      <c r="V807" s="120">
        <v>8.7999999999999995E-2</v>
      </c>
      <c r="W807" s="69">
        <f t="shared" si="62"/>
        <v>3.7352705230442198</v>
      </c>
      <c r="X807" s="106">
        <v>42.446255943684321</v>
      </c>
      <c r="Y807" s="72" t="str">
        <f t="shared" si="63"/>
        <v>AR_2027_1x LCoS_Monocular LCoS glasses</v>
      </c>
      <c r="Z807" s="36" t="str">
        <f t="shared" si="64"/>
        <v>AR_2027_1x LCoS</v>
      </c>
    </row>
    <row r="808" spans="3:26">
      <c r="C808" s="17">
        <v>800</v>
      </c>
      <c r="D808" s="109" t="s">
        <v>26</v>
      </c>
      <c r="E808" s="20" t="s">
        <v>125</v>
      </c>
      <c r="F808" s="20" t="s">
        <v>182</v>
      </c>
      <c r="G808" s="21" t="s">
        <v>97</v>
      </c>
      <c r="H808" s="21" t="s">
        <v>111</v>
      </c>
      <c r="I808" s="19" t="s">
        <v>26</v>
      </c>
      <c r="J808" s="19" t="s">
        <v>36</v>
      </c>
      <c r="K808" s="21" t="s">
        <v>15</v>
      </c>
      <c r="L808" s="33" t="str">
        <f t="shared" si="60"/>
        <v>2x LCD</v>
      </c>
      <c r="M808" s="21" t="s">
        <v>36</v>
      </c>
      <c r="N808" s="21" t="s">
        <v>143</v>
      </c>
      <c r="O808" s="27"/>
      <c r="P808" s="20"/>
      <c r="Q808" s="20"/>
      <c r="R808" s="29">
        <f t="shared" si="61"/>
        <v>0</v>
      </c>
      <c r="S808" s="20" t="s">
        <v>36</v>
      </c>
      <c r="T808" s="18" t="s">
        <v>143</v>
      </c>
      <c r="U808" s="20">
        <v>2</v>
      </c>
      <c r="V808" s="120">
        <v>1.54</v>
      </c>
      <c r="W808" s="69">
        <f t="shared" si="62"/>
        <v>52.407002191037989</v>
      </c>
      <c r="X808" s="106">
        <v>34.030520903271423</v>
      </c>
      <c r="Y808" s="72" t="str">
        <f t="shared" si="63"/>
        <v>VR_2027_2x LCD_Dual LCD VR headset</v>
      </c>
      <c r="Z808" s="36" t="str">
        <f t="shared" si="64"/>
        <v>VR_2027_2x LCD</v>
      </c>
    </row>
    <row r="809" spans="3:26">
      <c r="C809" s="17">
        <v>801</v>
      </c>
      <c r="D809" s="109" t="s">
        <v>26</v>
      </c>
      <c r="E809" s="20" t="s">
        <v>125</v>
      </c>
      <c r="F809" s="20" t="s">
        <v>182</v>
      </c>
      <c r="G809" s="21" t="s">
        <v>97</v>
      </c>
      <c r="H809" s="21" t="s">
        <v>138</v>
      </c>
      <c r="I809" s="19" t="s">
        <v>26</v>
      </c>
      <c r="J809" s="19" t="s">
        <v>36</v>
      </c>
      <c r="K809" s="21" t="s">
        <v>51</v>
      </c>
      <c r="L809" s="33" t="str">
        <f t="shared" si="60"/>
        <v>2x SiOLED</v>
      </c>
      <c r="M809" s="21" t="s">
        <v>36</v>
      </c>
      <c r="N809" s="21"/>
      <c r="O809" s="27"/>
      <c r="P809" s="20"/>
      <c r="Q809" s="20"/>
      <c r="R809" s="29">
        <f t="shared" si="61"/>
        <v>0</v>
      </c>
      <c r="S809" s="20" t="s">
        <v>36</v>
      </c>
      <c r="T809" s="18"/>
      <c r="U809" s="20">
        <v>2</v>
      </c>
      <c r="V809" s="120">
        <v>1.1000000000000001</v>
      </c>
      <c r="W809" s="69">
        <f t="shared" si="62"/>
        <v>133.61468736000003</v>
      </c>
      <c r="X809" s="106">
        <v>121.46789760000001</v>
      </c>
      <c r="Y809" s="72" t="str">
        <f t="shared" si="63"/>
        <v>VR_2027_2x SiOLED_Dual SiOLED headset</v>
      </c>
      <c r="Z809" s="36" t="str">
        <f t="shared" si="64"/>
        <v>VR_2027_2x SiOLED</v>
      </c>
    </row>
    <row r="810" spans="3:26">
      <c r="C810" s="17">
        <v>802</v>
      </c>
      <c r="D810" s="109" t="s">
        <v>26</v>
      </c>
      <c r="E810" s="20" t="s">
        <v>125</v>
      </c>
      <c r="F810" s="20" t="s">
        <v>182</v>
      </c>
      <c r="G810" s="21" t="s">
        <v>97</v>
      </c>
      <c r="H810" s="21" t="s">
        <v>42</v>
      </c>
      <c r="I810" s="19" t="s">
        <v>26</v>
      </c>
      <c r="J810" s="19" t="s">
        <v>36</v>
      </c>
      <c r="K810" s="21" t="s">
        <v>28</v>
      </c>
      <c r="L810" s="33" t="str">
        <f t="shared" si="60"/>
        <v>2x AMOLED</v>
      </c>
      <c r="M810" s="21" t="s">
        <v>36</v>
      </c>
      <c r="N810" s="21" t="s">
        <v>143</v>
      </c>
      <c r="O810" s="27"/>
      <c r="P810" s="20"/>
      <c r="Q810" s="20"/>
      <c r="R810" s="29">
        <f t="shared" si="61"/>
        <v>0</v>
      </c>
      <c r="S810" s="20" t="s">
        <v>36</v>
      </c>
      <c r="T810" s="18" t="s">
        <v>143</v>
      </c>
      <c r="U810" s="20">
        <v>2</v>
      </c>
      <c r="V810" s="120">
        <v>0.33</v>
      </c>
      <c r="W810" s="69">
        <f t="shared" si="62"/>
        <v>12.223874819725026</v>
      </c>
      <c r="X810" s="106">
        <v>37.042044908257651</v>
      </c>
      <c r="Y810" s="72" t="str">
        <f t="shared" si="63"/>
        <v>VR_2027_2x AMOLED_OLED VR headset</v>
      </c>
      <c r="Z810" s="36" t="str">
        <f t="shared" si="64"/>
        <v>VR_2027_2x AMOLED</v>
      </c>
    </row>
    <row r="811" spans="3:26">
      <c r="C811" s="17">
        <v>803</v>
      </c>
      <c r="D811" s="109" t="s">
        <v>26</v>
      </c>
      <c r="E811" s="20" t="s">
        <v>125</v>
      </c>
      <c r="F811" s="20" t="s">
        <v>182</v>
      </c>
      <c r="G811" s="21" t="s">
        <v>97</v>
      </c>
      <c r="H811" s="21" t="s">
        <v>161</v>
      </c>
      <c r="I811" s="19" t="s">
        <v>26</v>
      </c>
      <c r="J811" s="19" t="s">
        <v>36</v>
      </c>
      <c r="K811" s="21" t="s">
        <v>15</v>
      </c>
      <c r="L811" s="33" t="str">
        <f t="shared" si="60"/>
        <v>1x LCD</v>
      </c>
      <c r="M811" s="21" t="s">
        <v>36</v>
      </c>
      <c r="N811" s="21" t="s">
        <v>143</v>
      </c>
      <c r="O811" s="27"/>
      <c r="P811" s="20"/>
      <c r="Q811" s="20"/>
      <c r="R811" s="29">
        <f t="shared" si="61"/>
        <v>0</v>
      </c>
      <c r="S811" s="20" t="s">
        <v>36</v>
      </c>
      <c r="T811" s="18" t="s">
        <v>143</v>
      </c>
      <c r="U811" s="20">
        <v>1</v>
      </c>
      <c r="V811" s="120">
        <v>0.16500000000000001</v>
      </c>
      <c r="W811" s="69">
        <f t="shared" si="62"/>
        <v>8.4225539235596756</v>
      </c>
      <c r="X811" s="106">
        <v>51.04578135490712</v>
      </c>
      <c r="Y811" s="72" t="str">
        <f t="shared" si="63"/>
        <v>VR_2027_1x LCD_Single LCD VR headset</v>
      </c>
      <c r="Z811" s="36" t="str">
        <f t="shared" si="64"/>
        <v>VR_2027_1x LCD</v>
      </c>
    </row>
    <row r="812" spans="3:26">
      <c r="C812" s="17">
        <v>804</v>
      </c>
      <c r="D812" s="109" t="s">
        <v>129</v>
      </c>
      <c r="E812" s="20" t="s">
        <v>125</v>
      </c>
      <c r="F812" s="20" t="s">
        <v>182</v>
      </c>
      <c r="G812" s="21" t="s">
        <v>97</v>
      </c>
      <c r="H812" s="21" t="s">
        <v>123</v>
      </c>
      <c r="I812" s="19" t="s">
        <v>63</v>
      </c>
      <c r="J812" s="19" t="s">
        <v>36</v>
      </c>
      <c r="K812" s="21" t="s">
        <v>120</v>
      </c>
      <c r="L812" s="33" t="str">
        <f t="shared" si="60"/>
        <v>2x MicroLED</v>
      </c>
      <c r="M812" s="21" t="s">
        <v>36</v>
      </c>
      <c r="N812" s="21"/>
      <c r="O812" s="27"/>
      <c r="P812" s="20"/>
      <c r="Q812" s="20"/>
      <c r="R812" s="29">
        <f t="shared" si="61"/>
        <v>0</v>
      </c>
      <c r="S812" s="20" t="s">
        <v>36</v>
      </c>
      <c r="T812" s="18" t="s">
        <v>143</v>
      </c>
      <c r="U812" s="20">
        <v>2</v>
      </c>
      <c r="V812" s="120">
        <v>4.3999999999999997E-2</v>
      </c>
      <c r="W812" s="69">
        <f t="shared" si="62"/>
        <v>2.5479981631017199</v>
      </c>
      <c r="X812" s="106">
        <v>57.909049161402727</v>
      </c>
      <c r="Y812" s="72" t="str">
        <f t="shared" si="63"/>
        <v>AR_2027_2x MicroLED_Binocular MicroLED</v>
      </c>
      <c r="Z812" s="36" t="str">
        <f t="shared" si="64"/>
        <v>AR_2027_2x MicroLED</v>
      </c>
    </row>
    <row r="813" spans="3:26">
      <c r="C813" s="17">
        <v>805</v>
      </c>
      <c r="D813" s="109" t="s">
        <v>129</v>
      </c>
      <c r="E813" s="20" t="s">
        <v>125</v>
      </c>
      <c r="F813" s="20" t="s">
        <v>182</v>
      </c>
      <c r="G813" s="21" t="s">
        <v>97</v>
      </c>
      <c r="H813" s="21" t="s">
        <v>76</v>
      </c>
      <c r="I813" s="19" t="s">
        <v>63</v>
      </c>
      <c r="J813" s="19" t="s">
        <v>36</v>
      </c>
      <c r="K813" s="21" t="s">
        <v>70</v>
      </c>
      <c r="L813" s="33" t="str">
        <f t="shared" si="60"/>
        <v>1x DLP</v>
      </c>
      <c r="M813" s="21" t="s">
        <v>36</v>
      </c>
      <c r="N813" s="21"/>
      <c r="O813" s="27"/>
      <c r="P813" s="20"/>
      <c r="Q813" s="20"/>
      <c r="R813" s="29">
        <f t="shared" si="61"/>
        <v>0</v>
      </c>
      <c r="S813" s="20" t="s">
        <v>36</v>
      </c>
      <c r="T813" s="18" t="s">
        <v>143</v>
      </c>
      <c r="U813" s="20">
        <v>1</v>
      </c>
      <c r="V813" s="120">
        <v>1.1E-4</v>
      </c>
      <c r="W813" s="69">
        <f t="shared" si="62"/>
        <v>8.4246590601269097E-3</v>
      </c>
      <c r="X813" s="106">
        <v>76.587809637517353</v>
      </c>
      <c r="Y813" s="72" t="str">
        <f t="shared" si="63"/>
        <v>AR_2027_1x DLP_DLP glasses</v>
      </c>
      <c r="Z813" s="36" t="str">
        <f t="shared" si="64"/>
        <v>AR_2027_1x DLP</v>
      </c>
    </row>
    <row r="814" spans="3:26">
      <c r="C814" s="17">
        <v>806</v>
      </c>
      <c r="D814" s="109" t="s">
        <v>129</v>
      </c>
      <c r="E814" s="20" t="s">
        <v>125</v>
      </c>
      <c r="F814" s="20" t="s">
        <v>182</v>
      </c>
      <c r="G814" s="21" t="s">
        <v>97</v>
      </c>
      <c r="H814" s="21" t="s">
        <v>75</v>
      </c>
      <c r="I814" s="19" t="s">
        <v>63</v>
      </c>
      <c r="J814" s="19" t="s">
        <v>36</v>
      </c>
      <c r="K814" s="21" t="s">
        <v>67</v>
      </c>
      <c r="L814" s="33" t="str">
        <f t="shared" si="60"/>
        <v>2x LCoS</v>
      </c>
      <c r="M814" s="21" t="s">
        <v>36</v>
      </c>
      <c r="N814" s="21"/>
      <c r="O814" s="27"/>
      <c r="P814" s="20"/>
      <c r="Q814" s="20"/>
      <c r="R814" s="29">
        <f t="shared" si="61"/>
        <v>0</v>
      </c>
      <c r="S814" s="20" t="s">
        <v>36</v>
      </c>
      <c r="T814" s="18" t="s">
        <v>143</v>
      </c>
      <c r="U814" s="20">
        <v>2</v>
      </c>
      <c r="V814" s="120">
        <v>4.3999999999999997E-2</v>
      </c>
      <c r="W814" s="69">
        <f t="shared" si="62"/>
        <v>1.8676352615221099</v>
      </c>
      <c r="X814" s="106">
        <v>42.446255943684321</v>
      </c>
      <c r="Y814" s="72" t="str">
        <f t="shared" si="63"/>
        <v>AR_2027_2x LCoS_LCoS glasses</v>
      </c>
      <c r="Z814" s="36" t="str">
        <f t="shared" si="64"/>
        <v>AR_2027_2x LCoS</v>
      </c>
    </row>
    <row r="815" spans="3:26">
      <c r="C815" s="17">
        <v>807</v>
      </c>
      <c r="D815" s="109" t="s">
        <v>129</v>
      </c>
      <c r="E815" s="20" t="s">
        <v>125</v>
      </c>
      <c r="F815" s="20" t="s">
        <v>182</v>
      </c>
      <c r="G815" s="21" t="s">
        <v>97</v>
      </c>
      <c r="H815" s="21" t="s">
        <v>121</v>
      </c>
      <c r="I815" s="19" t="s">
        <v>63</v>
      </c>
      <c r="J815" s="19" t="s">
        <v>36</v>
      </c>
      <c r="K815" s="21" t="s">
        <v>120</v>
      </c>
      <c r="L815" s="33" t="str">
        <f t="shared" si="60"/>
        <v>1x MicroLED</v>
      </c>
      <c r="M815" s="21" t="s">
        <v>36</v>
      </c>
      <c r="N815" s="21"/>
      <c r="O815" s="27"/>
      <c r="P815" s="20"/>
      <c r="Q815" s="20"/>
      <c r="R815" s="29">
        <f t="shared" si="61"/>
        <v>0</v>
      </c>
      <c r="S815" s="20" t="s">
        <v>36</v>
      </c>
      <c r="T815" s="18" t="s">
        <v>143</v>
      </c>
      <c r="U815" s="20">
        <v>1</v>
      </c>
      <c r="V815" s="120">
        <v>0.13200000000000001</v>
      </c>
      <c r="W815" s="69">
        <f t="shared" si="62"/>
        <v>7.6439944893051601</v>
      </c>
      <c r="X815" s="106">
        <v>57.909049161402727</v>
      </c>
      <c r="Y815" s="72" t="str">
        <f t="shared" si="63"/>
        <v>AR_2027_1x MicroLED_Monocular MicroLED</v>
      </c>
      <c r="Z815" s="36" t="str">
        <f t="shared" si="64"/>
        <v>AR_2027_1x MicroLED</v>
      </c>
    </row>
    <row r="816" spans="3:26">
      <c r="C816" s="17">
        <v>808</v>
      </c>
      <c r="D816" s="109" t="s">
        <v>129</v>
      </c>
      <c r="E816" s="20" t="s">
        <v>125</v>
      </c>
      <c r="F816" s="20" t="s">
        <v>182</v>
      </c>
      <c r="G816" s="21" t="s">
        <v>97</v>
      </c>
      <c r="H816" s="21" t="s">
        <v>79</v>
      </c>
      <c r="I816" s="19" t="s">
        <v>63</v>
      </c>
      <c r="J816" s="19" t="s">
        <v>36</v>
      </c>
      <c r="K816" s="21" t="s">
        <v>51</v>
      </c>
      <c r="L816" s="33" t="str">
        <f t="shared" si="60"/>
        <v>2x SiOLED</v>
      </c>
      <c r="M816" s="21" t="s">
        <v>36</v>
      </c>
      <c r="N816" s="21"/>
      <c r="O816" s="27"/>
      <c r="P816" s="20"/>
      <c r="Q816" s="20"/>
      <c r="R816" s="29">
        <f t="shared" si="61"/>
        <v>0</v>
      </c>
      <c r="S816" s="20" t="s">
        <v>36</v>
      </c>
      <c r="T816" s="18" t="s">
        <v>143</v>
      </c>
      <c r="U816" s="20">
        <v>2</v>
      </c>
      <c r="V816" s="120">
        <v>0.44</v>
      </c>
      <c r="W816" s="69">
        <f t="shared" si="62"/>
        <v>22.44</v>
      </c>
      <c r="X816" s="106">
        <v>51</v>
      </c>
      <c r="Y816" s="72" t="str">
        <f t="shared" si="63"/>
        <v>AR_2027_2x SiOLED_SiOLED glasses</v>
      </c>
      <c r="Z816" s="36" t="str">
        <f t="shared" si="64"/>
        <v>AR_2027_2x SiOLED</v>
      </c>
    </row>
    <row r="817" spans="3:26">
      <c r="C817" s="17">
        <v>809</v>
      </c>
      <c r="D817" s="109" t="s">
        <v>129</v>
      </c>
      <c r="E817" s="20" t="s">
        <v>125</v>
      </c>
      <c r="F817" s="20" t="s">
        <v>182</v>
      </c>
      <c r="G817" s="21" t="s">
        <v>97</v>
      </c>
      <c r="H817" s="21" t="s">
        <v>279</v>
      </c>
      <c r="I817" s="19" t="s">
        <v>63</v>
      </c>
      <c r="J817" s="19" t="s">
        <v>27</v>
      </c>
      <c r="K817" s="21" t="s">
        <v>67</v>
      </c>
      <c r="L817" s="33" t="str">
        <f t="shared" si="60"/>
        <v>1x LCoS</v>
      </c>
      <c r="M817" s="21" t="s">
        <v>36</v>
      </c>
      <c r="N817" s="21"/>
      <c r="O817" s="27"/>
      <c r="P817" s="20"/>
      <c r="Q817" s="20"/>
      <c r="R817" s="29">
        <f t="shared" si="61"/>
        <v>0</v>
      </c>
      <c r="S817" s="20" t="s">
        <v>36</v>
      </c>
      <c r="T817" s="18"/>
      <c r="U817" s="20">
        <v>1</v>
      </c>
      <c r="V817" s="120">
        <v>8.7999999999999995E-2</v>
      </c>
      <c r="W817" s="69">
        <f t="shared" si="62"/>
        <v>3.7352705230442198</v>
      </c>
      <c r="X817" s="106">
        <v>42.446255943684321</v>
      </c>
      <c r="Y817" s="72" t="str">
        <f t="shared" si="63"/>
        <v>AR_2027_1x LCoS_Monocular LCoS glasses</v>
      </c>
      <c r="Z817" s="36" t="str">
        <f t="shared" si="64"/>
        <v>AR_2027_1x LCoS</v>
      </c>
    </row>
    <row r="818" spans="3:26">
      <c r="C818" s="17">
        <v>810</v>
      </c>
      <c r="D818" s="109" t="s">
        <v>26</v>
      </c>
      <c r="E818" s="20" t="s">
        <v>142</v>
      </c>
      <c r="F818" s="20" t="s">
        <v>176</v>
      </c>
      <c r="G818" s="21" t="s">
        <v>97</v>
      </c>
      <c r="H818" s="21" t="s">
        <v>111</v>
      </c>
      <c r="I818" s="19" t="s">
        <v>26</v>
      </c>
      <c r="J818" s="19" t="s">
        <v>36</v>
      </c>
      <c r="K818" s="21" t="s">
        <v>15</v>
      </c>
      <c r="L818" s="33" t="str">
        <f t="shared" si="60"/>
        <v>2x LCD</v>
      </c>
      <c r="M818" s="21" t="s">
        <v>36</v>
      </c>
      <c r="N818" s="21" t="s">
        <v>143</v>
      </c>
      <c r="O818" s="27"/>
      <c r="P818" s="20"/>
      <c r="Q818" s="20"/>
      <c r="R818" s="29">
        <f t="shared" si="61"/>
        <v>0</v>
      </c>
      <c r="S818" s="20" t="s">
        <v>36</v>
      </c>
      <c r="T818" s="18" t="s">
        <v>143</v>
      </c>
      <c r="U818" s="20">
        <v>2</v>
      </c>
      <c r="V818" s="120">
        <v>2.2000000000000002</v>
      </c>
      <c r="W818" s="69">
        <f t="shared" si="62"/>
        <v>73.369803067453191</v>
      </c>
      <c r="X818" s="106">
        <v>33.349910485205996</v>
      </c>
      <c r="Y818" s="72" t="str">
        <f t="shared" si="63"/>
        <v>VR_2028_2x LCD_Dual LCD VR headset</v>
      </c>
      <c r="Z818" s="36" t="str">
        <f t="shared" si="64"/>
        <v>VR_2028_2x LCD</v>
      </c>
    </row>
    <row r="819" spans="3:26">
      <c r="C819" s="17">
        <v>811</v>
      </c>
      <c r="D819" s="109" t="s">
        <v>26</v>
      </c>
      <c r="E819" s="20" t="s">
        <v>142</v>
      </c>
      <c r="F819" s="20" t="s">
        <v>176</v>
      </c>
      <c r="G819" s="21" t="s">
        <v>97</v>
      </c>
      <c r="H819" s="21" t="s">
        <v>138</v>
      </c>
      <c r="I819" s="19" t="s">
        <v>26</v>
      </c>
      <c r="J819" s="19" t="s">
        <v>36</v>
      </c>
      <c r="K819" s="21" t="s">
        <v>51</v>
      </c>
      <c r="L819" s="33" t="str">
        <f t="shared" si="60"/>
        <v>2x SiOLED</v>
      </c>
      <c r="M819" s="21" t="s">
        <v>36</v>
      </c>
      <c r="N819" s="21"/>
      <c r="O819" s="27"/>
      <c r="P819" s="20"/>
      <c r="Q819" s="20"/>
      <c r="R819" s="29">
        <f t="shared" si="61"/>
        <v>0</v>
      </c>
      <c r="S819" s="20" t="s">
        <v>36</v>
      </c>
      <c r="T819" s="18"/>
      <c r="U819" s="20">
        <v>2</v>
      </c>
      <c r="V819" s="120">
        <v>1.1000000000000001</v>
      </c>
      <c r="W819" s="69">
        <f t="shared" si="62"/>
        <v>117.58092487680001</v>
      </c>
      <c r="X819" s="106">
        <v>106.89174988800001</v>
      </c>
      <c r="Y819" s="72" t="str">
        <f t="shared" si="63"/>
        <v>VR_2028_2x SiOLED_Dual SiOLED headset</v>
      </c>
      <c r="Z819" s="36" t="str">
        <f t="shared" si="64"/>
        <v>VR_2028_2x SiOLED</v>
      </c>
    </row>
    <row r="820" spans="3:26">
      <c r="C820" s="17">
        <v>812</v>
      </c>
      <c r="D820" s="109" t="s">
        <v>26</v>
      </c>
      <c r="E820" s="20" t="s">
        <v>142</v>
      </c>
      <c r="F820" s="20" t="s">
        <v>176</v>
      </c>
      <c r="G820" s="21" t="s">
        <v>97</v>
      </c>
      <c r="H820" s="21" t="s">
        <v>42</v>
      </c>
      <c r="I820" s="19" t="s">
        <v>26</v>
      </c>
      <c r="J820" s="19" t="s">
        <v>36</v>
      </c>
      <c r="K820" s="21" t="s">
        <v>28</v>
      </c>
      <c r="L820" s="33" t="str">
        <f t="shared" si="60"/>
        <v>2x AMOLED</v>
      </c>
      <c r="M820" s="21" t="s">
        <v>36</v>
      </c>
      <c r="N820" s="21" t="s">
        <v>143</v>
      </c>
      <c r="O820" s="27"/>
      <c r="P820" s="20"/>
      <c r="Q820" s="20"/>
      <c r="R820" s="29">
        <f t="shared" si="61"/>
        <v>0</v>
      </c>
      <c r="S820" s="20" t="s">
        <v>36</v>
      </c>
      <c r="T820" s="18" t="s">
        <v>143</v>
      </c>
      <c r="U820" s="20">
        <v>2</v>
      </c>
      <c r="V820" s="120">
        <v>0.77</v>
      </c>
      <c r="W820" s="69">
        <f t="shared" si="62"/>
        <v>26.84915370216742</v>
      </c>
      <c r="X820" s="106">
        <v>34.869030782035608</v>
      </c>
      <c r="Y820" s="72" t="str">
        <f t="shared" si="63"/>
        <v>VR_2028_2x AMOLED_OLED VR headset</v>
      </c>
      <c r="Z820" s="36" t="str">
        <f t="shared" si="64"/>
        <v>VR_2028_2x AMOLED</v>
      </c>
    </row>
    <row r="821" spans="3:26">
      <c r="C821" s="17">
        <v>813</v>
      </c>
      <c r="D821" s="109" t="s">
        <v>26</v>
      </c>
      <c r="E821" s="20" t="s">
        <v>142</v>
      </c>
      <c r="F821" s="20" t="s">
        <v>176</v>
      </c>
      <c r="G821" s="21" t="s">
        <v>97</v>
      </c>
      <c r="H821" s="21" t="s">
        <v>161</v>
      </c>
      <c r="I821" s="19" t="s">
        <v>26</v>
      </c>
      <c r="J821" s="19" t="s">
        <v>36</v>
      </c>
      <c r="K821" s="21" t="s">
        <v>15</v>
      </c>
      <c r="L821" s="33" t="str">
        <f t="shared" si="60"/>
        <v>1x LCD</v>
      </c>
      <c r="M821" s="21" t="s">
        <v>36</v>
      </c>
      <c r="N821" s="21" t="s">
        <v>143</v>
      </c>
      <c r="O821" s="27"/>
      <c r="P821" s="20"/>
      <c r="Q821" s="20"/>
      <c r="R821" s="29">
        <f t="shared" si="61"/>
        <v>0</v>
      </c>
      <c r="S821" s="20" t="s">
        <v>36</v>
      </c>
      <c r="T821" s="18" t="s">
        <v>143</v>
      </c>
      <c r="U821" s="20">
        <v>1</v>
      </c>
      <c r="V821" s="120">
        <v>0.27500000000000002</v>
      </c>
      <c r="W821" s="69">
        <f t="shared" si="62"/>
        <v>13.756838075147471</v>
      </c>
      <c r="X821" s="106">
        <v>50.024865727808979</v>
      </c>
      <c r="Y821" s="72" t="str">
        <f t="shared" si="63"/>
        <v>VR_2028_1x LCD_Single LCD VR headset</v>
      </c>
      <c r="Z821" s="36" t="str">
        <f t="shared" si="64"/>
        <v>VR_2028_1x LCD</v>
      </c>
    </row>
    <row r="822" spans="3:26">
      <c r="C822" s="17">
        <v>814</v>
      </c>
      <c r="D822" s="109" t="s">
        <v>129</v>
      </c>
      <c r="E822" s="20" t="s">
        <v>142</v>
      </c>
      <c r="F822" s="20" t="s">
        <v>176</v>
      </c>
      <c r="G822" s="21" t="s">
        <v>97</v>
      </c>
      <c r="H822" s="21" t="s">
        <v>123</v>
      </c>
      <c r="I822" s="19" t="s">
        <v>63</v>
      </c>
      <c r="J822" s="19" t="s">
        <v>36</v>
      </c>
      <c r="K822" s="21" t="s">
        <v>120</v>
      </c>
      <c r="L822" s="33" t="str">
        <f t="shared" si="60"/>
        <v>2x MicroLED</v>
      </c>
      <c r="M822" s="21" t="s">
        <v>36</v>
      </c>
      <c r="N822" s="21"/>
      <c r="O822" s="27"/>
      <c r="P822" s="20"/>
      <c r="Q822" s="20"/>
      <c r="R822" s="29">
        <f t="shared" si="61"/>
        <v>0</v>
      </c>
      <c r="S822" s="20" t="s">
        <v>36</v>
      </c>
      <c r="T822" s="18" t="s">
        <v>143</v>
      </c>
      <c r="U822" s="20">
        <v>2</v>
      </c>
      <c r="V822" s="120">
        <v>0.13200000000000001</v>
      </c>
      <c r="W822" s="69">
        <f t="shared" si="62"/>
        <v>7.1853548199468511</v>
      </c>
      <c r="X822" s="106">
        <v>54.434506211718563</v>
      </c>
      <c r="Y822" s="72" t="str">
        <f t="shared" si="63"/>
        <v>AR_2028_2x MicroLED_Binocular MicroLED</v>
      </c>
      <c r="Z822" s="36" t="str">
        <f t="shared" si="64"/>
        <v>AR_2028_2x MicroLED</v>
      </c>
    </row>
    <row r="823" spans="3:26">
      <c r="C823" s="17">
        <v>815</v>
      </c>
      <c r="D823" s="109" t="s">
        <v>129</v>
      </c>
      <c r="E823" s="20" t="s">
        <v>142</v>
      </c>
      <c r="F823" s="20" t="s">
        <v>176</v>
      </c>
      <c r="G823" s="21" t="s">
        <v>97</v>
      </c>
      <c r="H823" s="21" t="s">
        <v>76</v>
      </c>
      <c r="I823" s="19" t="s">
        <v>63</v>
      </c>
      <c r="J823" s="19" t="s">
        <v>36</v>
      </c>
      <c r="K823" s="21" t="s">
        <v>70</v>
      </c>
      <c r="L823" s="33" t="str">
        <f t="shared" si="60"/>
        <v>1x DLP</v>
      </c>
      <c r="M823" s="21" t="s">
        <v>36</v>
      </c>
      <c r="N823" s="21"/>
      <c r="O823" s="27"/>
      <c r="P823" s="20"/>
      <c r="Q823" s="20"/>
      <c r="R823" s="29">
        <f t="shared" si="61"/>
        <v>0</v>
      </c>
      <c r="S823" s="20" t="s">
        <v>36</v>
      </c>
      <c r="T823" s="18" t="s">
        <v>143</v>
      </c>
      <c r="U823" s="20">
        <v>1</v>
      </c>
      <c r="V823" s="120">
        <v>1.1E-4</v>
      </c>
      <c r="W823" s="69">
        <f t="shared" si="62"/>
        <v>8.340412469525639E-3</v>
      </c>
      <c r="X823" s="106">
        <v>75.821931541142177</v>
      </c>
      <c r="Y823" s="72" t="str">
        <f t="shared" si="63"/>
        <v>AR_2028_1x DLP_DLP glasses</v>
      </c>
      <c r="Z823" s="36" t="str">
        <f t="shared" si="64"/>
        <v>AR_2028_1x DLP</v>
      </c>
    </row>
    <row r="824" spans="3:26">
      <c r="C824" s="17">
        <v>816</v>
      </c>
      <c r="D824" s="109" t="s">
        <v>129</v>
      </c>
      <c r="E824" s="20" t="s">
        <v>142</v>
      </c>
      <c r="F824" s="20" t="s">
        <v>176</v>
      </c>
      <c r="G824" s="21" t="s">
        <v>97</v>
      </c>
      <c r="H824" s="21" t="s">
        <v>75</v>
      </c>
      <c r="I824" s="19" t="s">
        <v>63</v>
      </c>
      <c r="J824" s="19" t="s">
        <v>36</v>
      </c>
      <c r="K824" s="21" t="s">
        <v>67</v>
      </c>
      <c r="L824" s="33" t="str">
        <f t="shared" si="60"/>
        <v>2x LCoS</v>
      </c>
      <c r="M824" s="21" t="s">
        <v>36</v>
      </c>
      <c r="N824" s="21"/>
      <c r="O824" s="27"/>
      <c r="P824" s="20"/>
      <c r="Q824" s="20"/>
      <c r="R824" s="29">
        <f t="shared" si="61"/>
        <v>0</v>
      </c>
      <c r="S824" s="20" t="s">
        <v>36</v>
      </c>
      <c r="T824" s="18" t="s">
        <v>143</v>
      </c>
      <c r="U824" s="20">
        <v>2</v>
      </c>
      <c r="V824" s="120">
        <v>0.13200000000000001</v>
      </c>
      <c r="W824" s="69">
        <f t="shared" si="62"/>
        <v>5.5468767267206678</v>
      </c>
      <c r="X824" s="106">
        <v>42.021793384247481</v>
      </c>
      <c r="Y824" s="72" t="str">
        <f t="shared" si="63"/>
        <v>AR_2028_2x LCoS_LCoS glasses</v>
      </c>
      <c r="Z824" s="36" t="str">
        <f t="shared" si="64"/>
        <v>AR_2028_2x LCoS</v>
      </c>
    </row>
    <row r="825" spans="3:26">
      <c r="C825" s="17">
        <v>817</v>
      </c>
      <c r="D825" s="109" t="s">
        <v>129</v>
      </c>
      <c r="E825" s="20" t="s">
        <v>142</v>
      </c>
      <c r="F825" s="20" t="s">
        <v>176</v>
      </c>
      <c r="G825" s="21" t="s">
        <v>97</v>
      </c>
      <c r="H825" s="21" t="s">
        <v>121</v>
      </c>
      <c r="I825" s="19" t="s">
        <v>63</v>
      </c>
      <c r="J825" s="19" t="s">
        <v>36</v>
      </c>
      <c r="K825" s="21" t="s">
        <v>120</v>
      </c>
      <c r="L825" s="33" t="str">
        <f t="shared" si="60"/>
        <v>1x MicroLED</v>
      </c>
      <c r="M825" s="21" t="s">
        <v>36</v>
      </c>
      <c r="N825" s="21"/>
      <c r="O825" s="27"/>
      <c r="P825" s="20"/>
      <c r="Q825" s="20"/>
      <c r="R825" s="29">
        <f t="shared" si="61"/>
        <v>0</v>
      </c>
      <c r="S825" s="20" t="s">
        <v>36</v>
      </c>
      <c r="T825" s="18" t="s">
        <v>143</v>
      </c>
      <c r="U825" s="20">
        <v>1</v>
      </c>
      <c r="V825" s="120">
        <v>0.33</v>
      </c>
      <c r="W825" s="69">
        <f t="shared" si="62"/>
        <v>17.963387049867126</v>
      </c>
      <c r="X825" s="106">
        <v>54.434506211718563</v>
      </c>
      <c r="Y825" s="72" t="str">
        <f t="shared" si="63"/>
        <v>AR_2028_1x MicroLED_Monocular MicroLED</v>
      </c>
      <c r="Z825" s="36" t="str">
        <f t="shared" si="64"/>
        <v>AR_2028_1x MicroLED</v>
      </c>
    </row>
    <row r="826" spans="3:26">
      <c r="C826" s="17">
        <v>818</v>
      </c>
      <c r="D826" s="109" t="s">
        <v>129</v>
      </c>
      <c r="E826" s="20" t="s">
        <v>142</v>
      </c>
      <c r="F826" s="20" t="s">
        <v>176</v>
      </c>
      <c r="G826" s="21" t="s">
        <v>97</v>
      </c>
      <c r="H826" s="21" t="s">
        <v>79</v>
      </c>
      <c r="I826" s="19" t="s">
        <v>63</v>
      </c>
      <c r="J826" s="19" t="s">
        <v>36</v>
      </c>
      <c r="K826" s="21" t="s">
        <v>51</v>
      </c>
      <c r="L826" s="33" t="str">
        <f t="shared" si="60"/>
        <v>2x SiOLED</v>
      </c>
      <c r="M826" s="21" t="s">
        <v>36</v>
      </c>
      <c r="N826" s="21"/>
      <c r="O826" s="27"/>
      <c r="P826" s="20"/>
      <c r="Q826" s="20"/>
      <c r="R826" s="29">
        <f t="shared" si="61"/>
        <v>0</v>
      </c>
      <c r="S826" s="20" t="s">
        <v>36</v>
      </c>
      <c r="T826" s="18" t="s">
        <v>143</v>
      </c>
      <c r="U826" s="20">
        <v>2</v>
      </c>
      <c r="V826" s="120">
        <v>0.748</v>
      </c>
      <c r="W826" s="69">
        <f t="shared" si="62"/>
        <v>37.4</v>
      </c>
      <c r="X826" s="106">
        <v>50</v>
      </c>
      <c r="Y826" s="72" t="str">
        <f t="shared" si="63"/>
        <v>AR_2028_2x SiOLED_SiOLED glasses</v>
      </c>
      <c r="Z826" s="36" t="str">
        <f t="shared" si="64"/>
        <v>AR_2028_2x SiOLED</v>
      </c>
    </row>
    <row r="827" spans="3:26">
      <c r="C827" s="17">
        <v>819</v>
      </c>
      <c r="D827" s="109" t="s">
        <v>129</v>
      </c>
      <c r="E827" s="20" t="s">
        <v>142</v>
      </c>
      <c r="F827" s="20" t="s">
        <v>176</v>
      </c>
      <c r="G827" s="21" t="s">
        <v>97</v>
      </c>
      <c r="H827" s="21" t="s">
        <v>279</v>
      </c>
      <c r="I827" s="19" t="s">
        <v>63</v>
      </c>
      <c r="J827" s="19" t="s">
        <v>27</v>
      </c>
      <c r="K827" s="21" t="s">
        <v>67</v>
      </c>
      <c r="L827" s="33" t="str">
        <f t="shared" si="60"/>
        <v>1x LCoS</v>
      </c>
      <c r="M827" s="21" t="s">
        <v>36</v>
      </c>
      <c r="N827" s="21"/>
      <c r="O827" s="27"/>
      <c r="P827" s="20"/>
      <c r="Q827" s="20"/>
      <c r="R827" s="29">
        <f t="shared" si="61"/>
        <v>0</v>
      </c>
      <c r="S827" s="20" t="s">
        <v>36</v>
      </c>
      <c r="T827" s="18"/>
      <c r="U827" s="20">
        <v>1</v>
      </c>
      <c r="V827" s="120">
        <v>8.7999999999999995E-2</v>
      </c>
      <c r="W827" s="69">
        <f t="shared" si="62"/>
        <v>3.6979178178137779</v>
      </c>
      <c r="X827" s="106">
        <v>42.021793384247481</v>
      </c>
      <c r="Y827" s="72" t="str">
        <f t="shared" si="63"/>
        <v>AR_2028_1x LCoS_Monocular LCoS glasses</v>
      </c>
      <c r="Z827" s="36" t="str">
        <f t="shared" si="64"/>
        <v>AR_2028_1x LCoS</v>
      </c>
    </row>
    <row r="828" spans="3:26">
      <c r="C828" s="17">
        <v>820</v>
      </c>
      <c r="D828" s="109" t="s">
        <v>26</v>
      </c>
      <c r="E828" s="20" t="s">
        <v>142</v>
      </c>
      <c r="F828" s="20" t="s">
        <v>177</v>
      </c>
      <c r="G828" s="21" t="s">
        <v>97</v>
      </c>
      <c r="H828" s="21" t="s">
        <v>111</v>
      </c>
      <c r="I828" s="19" t="s">
        <v>26</v>
      </c>
      <c r="J828" s="19" t="s">
        <v>36</v>
      </c>
      <c r="K828" s="21" t="s">
        <v>15</v>
      </c>
      <c r="L828" s="33" t="str">
        <f t="shared" si="60"/>
        <v>2x LCD</v>
      </c>
      <c r="M828" s="21" t="s">
        <v>36</v>
      </c>
      <c r="N828" s="21" t="s">
        <v>143</v>
      </c>
      <c r="O828" s="27"/>
      <c r="P828" s="20"/>
      <c r="Q828" s="20"/>
      <c r="R828" s="29">
        <f t="shared" si="61"/>
        <v>0</v>
      </c>
      <c r="S828" s="20" t="s">
        <v>36</v>
      </c>
      <c r="T828" s="18" t="s">
        <v>143</v>
      </c>
      <c r="U828" s="20">
        <v>2</v>
      </c>
      <c r="V828" s="120">
        <v>3.08</v>
      </c>
      <c r="W828" s="69">
        <f t="shared" si="62"/>
        <v>102.71772429443448</v>
      </c>
      <c r="X828" s="106">
        <v>33.349910485205996</v>
      </c>
      <c r="Y828" s="72" t="str">
        <f t="shared" si="63"/>
        <v>VR_2028_2x LCD_Dual LCD VR headset</v>
      </c>
      <c r="Z828" s="36" t="str">
        <f t="shared" si="64"/>
        <v>VR_2028_2x LCD</v>
      </c>
    </row>
    <row r="829" spans="3:26">
      <c r="C829" s="17">
        <v>821</v>
      </c>
      <c r="D829" s="109" t="s">
        <v>26</v>
      </c>
      <c r="E829" s="20" t="s">
        <v>142</v>
      </c>
      <c r="F829" s="20" t="s">
        <v>177</v>
      </c>
      <c r="G829" s="21" t="s">
        <v>97</v>
      </c>
      <c r="H829" s="21" t="s">
        <v>138</v>
      </c>
      <c r="I829" s="19" t="s">
        <v>26</v>
      </c>
      <c r="J829" s="19" t="s">
        <v>36</v>
      </c>
      <c r="K829" s="21" t="s">
        <v>51</v>
      </c>
      <c r="L829" s="33" t="str">
        <f t="shared" si="60"/>
        <v>2x SiOLED</v>
      </c>
      <c r="M829" s="21" t="s">
        <v>36</v>
      </c>
      <c r="N829" s="21"/>
      <c r="O829" s="27"/>
      <c r="P829" s="20"/>
      <c r="Q829" s="20"/>
      <c r="R829" s="29">
        <f t="shared" si="61"/>
        <v>0</v>
      </c>
      <c r="S829" s="20" t="s">
        <v>36</v>
      </c>
      <c r="T829" s="18"/>
      <c r="U829" s="20">
        <v>2</v>
      </c>
      <c r="V829" s="120">
        <v>2.64</v>
      </c>
      <c r="W829" s="69">
        <f t="shared" si="62"/>
        <v>282.19421970432001</v>
      </c>
      <c r="X829" s="106">
        <v>106.89174988800001</v>
      </c>
      <c r="Y829" s="72" t="str">
        <f t="shared" si="63"/>
        <v>VR_2028_2x SiOLED_Dual SiOLED headset</v>
      </c>
      <c r="Z829" s="36" t="str">
        <f t="shared" si="64"/>
        <v>VR_2028_2x SiOLED</v>
      </c>
    </row>
    <row r="830" spans="3:26">
      <c r="C830" s="17">
        <v>822</v>
      </c>
      <c r="D830" s="109" t="s">
        <v>26</v>
      </c>
      <c r="E830" s="20" t="s">
        <v>142</v>
      </c>
      <c r="F830" s="20" t="s">
        <v>177</v>
      </c>
      <c r="G830" s="21" t="s">
        <v>97</v>
      </c>
      <c r="H830" s="21" t="s">
        <v>42</v>
      </c>
      <c r="I830" s="19" t="s">
        <v>26</v>
      </c>
      <c r="J830" s="19" t="s">
        <v>36</v>
      </c>
      <c r="K830" s="21" t="s">
        <v>28</v>
      </c>
      <c r="L830" s="33" t="str">
        <f t="shared" si="60"/>
        <v>2x AMOLED</v>
      </c>
      <c r="M830" s="21" t="s">
        <v>36</v>
      </c>
      <c r="N830" s="21" t="s">
        <v>143</v>
      </c>
      <c r="O830" s="27"/>
      <c r="P830" s="20"/>
      <c r="Q830" s="20"/>
      <c r="R830" s="29">
        <f t="shared" si="61"/>
        <v>0</v>
      </c>
      <c r="S830" s="20" t="s">
        <v>36</v>
      </c>
      <c r="T830" s="18" t="s">
        <v>143</v>
      </c>
      <c r="U830" s="20">
        <v>2</v>
      </c>
      <c r="V830" s="120">
        <v>0.77</v>
      </c>
      <c r="W830" s="69">
        <f t="shared" si="62"/>
        <v>26.84915370216742</v>
      </c>
      <c r="X830" s="106">
        <v>34.869030782035608</v>
      </c>
      <c r="Y830" s="72" t="str">
        <f t="shared" si="63"/>
        <v>VR_2028_2x AMOLED_OLED VR headset</v>
      </c>
      <c r="Z830" s="36" t="str">
        <f t="shared" si="64"/>
        <v>VR_2028_2x AMOLED</v>
      </c>
    </row>
    <row r="831" spans="3:26">
      <c r="C831" s="17">
        <v>823</v>
      </c>
      <c r="D831" s="109" t="s">
        <v>26</v>
      </c>
      <c r="E831" s="20" t="s">
        <v>142</v>
      </c>
      <c r="F831" s="20" t="s">
        <v>177</v>
      </c>
      <c r="G831" s="21" t="s">
        <v>97</v>
      </c>
      <c r="H831" s="21" t="s">
        <v>161</v>
      </c>
      <c r="I831" s="19" t="s">
        <v>26</v>
      </c>
      <c r="J831" s="19" t="s">
        <v>36</v>
      </c>
      <c r="K831" s="21" t="s">
        <v>15</v>
      </c>
      <c r="L831" s="33" t="str">
        <f t="shared" si="60"/>
        <v>1x LCD</v>
      </c>
      <c r="M831" s="21" t="s">
        <v>36</v>
      </c>
      <c r="N831" s="21" t="s">
        <v>143</v>
      </c>
      <c r="O831" s="27"/>
      <c r="P831" s="20"/>
      <c r="Q831" s="20"/>
      <c r="R831" s="29">
        <f t="shared" si="61"/>
        <v>0</v>
      </c>
      <c r="S831" s="20" t="s">
        <v>36</v>
      </c>
      <c r="T831" s="18" t="s">
        <v>143</v>
      </c>
      <c r="U831" s="20">
        <v>1</v>
      </c>
      <c r="V831" s="120">
        <v>0.38500000000000001</v>
      </c>
      <c r="W831" s="69">
        <f t="shared" si="62"/>
        <v>19.259573305206459</v>
      </c>
      <c r="X831" s="106">
        <v>50.024865727808979</v>
      </c>
      <c r="Y831" s="72" t="str">
        <f t="shared" si="63"/>
        <v>VR_2028_1x LCD_Single LCD VR headset</v>
      </c>
      <c r="Z831" s="36" t="str">
        <f t="shared" si="64"/>
        <v>VR_2028_1x LCD</v>
      </c>
    </row>
    <row r="832" spans="3:26">
      <c r="C832" s="17">
        <v>824</v>
      </c>
      <c r="D832" s="109" t="s">
        <v>129</v>
      </c>
      <c r="E832" s="20" t="s">
        <v>142</v>
      </c>
      <c r="F832" s="20" t="s">
        <v>177</v>
      </c>
      <c r="G832" s="21" t="s">
        <v>97</v>
      </c>
      <c r="H832" s="21" t="s">
        <v>123</v>
      </c>
      <c r="I832" s="19" t="s">
        <v>63</v>
      </c>
      <c r="J832" s="19" t="s">
        <v>36</v>
      </c>
      <c r="K832" s="21" t="s">
        <v>120</v>
      </c>
      <c r="L832" s="33" t="str">
        <f t="shared" si="60"/>
        <v>2x MicroLED</v>
      </c>
      <c r="M832" s="21" t="s">
        <v>36</v>
      </c>
      <c r="N832" s="21"/>
      <c r="O832" s="27"/>
      <c r="P832" s="20"/>
      <c r="Q832" s="20"/>
      <c r="R832" s="29">
        <f t="shared" si="61"/>
        <v>0</v>
      </c>
      <c r="S832" s="20" t="s">
        <v>36</v>
      </c>
      <c r="T832" s="18" t="s">
        <v>143</v>
      </c>
      <c r="U832" s="20">
        <v>2</v>
      </c>
      <c r="V832" s="120">
        <v>0.22</v>
      </c>
      <c r="W832" s="69">
        <f t="shared" si="62"/>
        <v>11.975591366578085</v>
      </c>
      <c r="X832" s="106">
        <v>54.434506211718563</v>
      </c>
      <c r="Y832" s="72" t="str">
        <f t="shared" si="63"/>
        <v>AR_2028_2x MicroLED_Binocular MicroLED</v>
      </c>
      <c r="Z832" s="36" t="str">
        <f t="shared" si="64"/>
        <v>AR_2028_2x MicroLED</v>
      </c>
    </row>
    <row r="833" spans="3:26">
      <c r="C833" s="17">
        <v>825</v>
      </c>
      <c r="D833" s="109" t="s">
        <v>129</v>
      </c>
      <c r="E833" s="20" t="s">
        <v>142</v>
      </c>
      <c r="F833" s="20" t="s">
        <v>177</v>
      </c>
      <c r="G833" s="21" t="s">
        <v>97</v>
      </c>
      <c r="H833" s="21" t="s">
        <v>76</v>
      </c>
      <c r="I833" s="19" t="s">
        <v>63</v>
      </c>
      <c r="J833" s="19" t="s">
        <v>36</v>
      </c>
      <c r="K833" s="21" t="s">
        <v>70</v>
      </c>
      <c r="L833" s="33" t="str">
        <f t="shared" si="60"/>
        <v>1x DLP</v>
      </c>
      <c r="M833" s="21" t="s">
        <v>36</v>
      </c>
      <c r="N833" s="21"/>
      <c r="O833" s="27"/>
      <c r="P833" s="20"/>
      <c r="Q833" s="20"/>
      <c r="R833" s="29">
        <f t="shared" si="61"/>
        <v>0</v>
      </c>
      <c r="S833" s="20" t="s">
        <v>36</v>
      </c>
      <c r="T833" s="18" t="s">
        <v>143</v>
      </c>
      <c r="U833" s="20">
        <v>1</v>
      </c>
      <c r="V833" s="120">
        <v>1.1E-4</v>
      </c>
      <c r="W833" s="69">
        <f t="shared" si="62"/>
        <v>8.340412469525639E-3</v>
      </c>
      <c r="X833" s="106">
        <v>75.821931541142177</v>
      </c>
      <c r="Y833" s="72" t="str">
        <f t="shared" si="63"/>
        <v>AR_2028_1x DLP_DLP glasses</v>
      </c>
      <c r="Z833" s="36" t="str">
        <f t="shared" si="64"/>
        <v>AR_2028_1x DLP</v>
      </c>
    </row>
    <row r="834" spans="3:26">
      <c r="C834" s="17">
        <v>826</v>
      </c>
      <c r="D834" s="109" t="s">
        <v>129</v>
      </c>
      <c r="E834" s="20" t="s">
        <v>142</v>
      </c>
      <c r="F834" s="20" t="s">
        <v>177</v>
      </c>
      <c r="G834" s="21" t="s">
        <v>97</v>
      </c>
      <c r="H834" s="21" t="s">
        <v>75</v>
      </c>
      <c r="I834" s="19" t="s">
        <v>63</v>
      </c>
      <c r="J834" s="19" t="s">
        <v>36</v>
      </c>
      <c r="K834" s="21" t="s">
        <v>67</v>
      </c>
      <c r="L834" s="33" t="str">
        <f t="shared" si="60"/>
        <v>2x LCoS</v>
      </c>
      <c r="M834" s="21" t="s">
        <v>36</v>
      </c>
      <c r="N834" s="21"/>
      <c r="O834" s="27"/>
      <c r="P834" s="20"/>
      <c r="Q834" s="20"/>
      <c r="R834" s="29">
        <f t="shared" si="61"/>
        <v>0</v>
      </c>
      <c r="S834" s="20" t="s">
        <v>36</v>
      </c>
      <c r="T834" s="18" t="s">
        <v>143</v>
      </c>
      <c r="U834" s="20">
        <v>2</v>
      </c>
      <c r="V834" s="120">
        <v>0.44</v>
      </c>
      <c r="W834" s="69">
        <f t="shared" si="62"/>
        <v>18.489589089068893</v>
      </c>
      <c r="X834" s="106">
        <v>42.021793384247481</v>
      </c>
      <c r="Y834" s="72" t="str">
        <f t="shared" si="63"/>
        <v>AR_2028_2x LCoS_LCoS glasses</v>
      </c>
      <c r="Z834" s="36" t="str">
        <f t="shared" si="64"/>
        <v>AR_2028_2x LCoS</v>
      </c>
    </row>
    <row r="835" spans="3:26">
      <c r="C835" s="17">
        <v>827</v>
      </c>
      <c r="D835" s="109" t="s">
        <v>129</v>
      </c>
      <c r="E835" s="20" t="s">
        <v>142</v>
      </c>
      <c r="F835" s="20" t="s">
        <v>177</v>
      </c>
      <c r="G835" s="21" t="s">
        <v>97</v>
      </c>
      <c r="H835" s="21" t="s">
        <v>121</v>
      </c>
      <c r="I835" s="19" t="s">
        <v>63</v>
      </c>
      <c r="J835" s="19" t="s">
        <v>36</v>
      </c>
      <c r="K835" s="21" t="s">
        <v>120</v>
      </c>
      <c r="L835" s="33" t="str">
        <f t="shared" si="60"/>
        <v>1x MicroLED</v>
      </c>
      <c r="M835" s="21" t="s">
        <v>36</v>
      </c>
      <c r="N835" s="21"/>
      <c r="O835" s="27"/>
      <c r="P835" s="20"/>
      <c r="Q835" s="20"/>
      <c r="R835" s="29">
        <f t="shared" si="61"/>
        <v>0</v>
      </c>
      <c r="S835" s="20" t="s">
        <v>36</v>
      </c>
      <c r="T835" s="18" t="s">
        <v>143</v>
      </c>
      <c r="U835" s="20">
        <v>1</v>
      </c>
      <c r="V835" s="120">
        <v>0.38500000000000001</v>
      </c>
      <c r="W835" s="69">
        <f t="shared" si="62"/>
        <v>20.957284891511648</v>
      </c>
      <c r="X835" s="106">
        <v>54.434506211718563</v>
      </c>
      <c r="Y835" s="72" t="str">
        <f t="shared" si="63"/>
        <v>AR_2028_1x MicroLED_Monocular MicroLED</v>
      </c>
      <c r="Z835" s="36" t="str">
        <f t="shared" si="64"/>
        <v>AR_2028_1x MicroLED</v>
      </c>
    </row>
    <row r="836" spans="3:26">
      <c r="C836" s="17">
        <v>828</v>
      </c>
      <c r="D836" s="109" t="s">
        <v>129</v>
      </c>
      <c r="E836" s="20" t="s">
        <v>142</v>
      </c>
      <c r="F836" s="20" t="s">
        <v>177</v>
      </c>
      <c r="G836" s="21" t="s">
        <v>97</v>
      </c>
      <c r="H836" s="21" t="s">
        <v>79</v>
      </c>
      <c r="I836" s="19" t="s">
        <v>63</v>
      </c>
      <c r="J836" s="19" t="s">
        <v>36</v>
      </c>
      <c r="K836" s="21" t="s">
        <v>51</v>
      </c>
      <c r="L836" s="33" t="str">
        <f t="shared" si="60"/>
        <v>2x SiOLED</v>
      </c>
      <c r="M836" s="21" t="s">
        <v>36</v>
      </c>
      <c r="N836" s="21"/>
      <c r="O836" s="27"/>
      <c r="P836" s="20"/>
      <c r="Q836" s="20"/>
      <c r="R836" s="29">
        <f t="shared" si="61"/>
        <v>0</v>
      </c>
      <c r="S836" s="20" t="s">
        <v>36</v>
      </c>
      <c r="T836" s="18" t="s">
        <v>143</v>
      </c>
      <c r="U836" s="20">
        <v>2</v>
      </c>
      <c r="V836" s="120">
        <v>1.056</v>
      </c>
      <c r="W836" s="69">
        <f t="shared" si="62"/>
        <v>52.800000000000004</v>
      </c>
      <c r="X836" s="106">
        <v>50</v>
      </c>
      <c r="Y836" s="72" t="str">
        <f t="shared" si="63"/>
        <v>AR_2028_2x SiOLED_SiOLED glasses</v>
      </c>
      <c r="Z836" s="36" t="str">
        <f t="shared" si="64"/>
        <v>AR_2028_2x SiOLED</v>
      </c>
    </row>
    <row r="837" spans="3:26">
      <c r="C837" s="17">
        <v>829</v>
      </c>
      <c r="D837" s="109" t="s">
        <v>129</v>
      </c>
      <c r="E837" s="20" t="s">
        <v>142</v>
      </c>
      <c r="F837" s="20" t="s">
        <v>177</v>
      </c>
      <c r="G837" s="21" t="s">
        <v>97</v>
      </c>
      <c r="H837" s="21" t="s">
        <v>279</v>
      </c>
      <c r="I837" s="19" t="s">
        <v>63</v>
      </c>
      <c r="J837" s="19" t="s">
        <v>27</v>
      </c>
      <c r="K837" s="21" t="s">
        <v>67</v>
      </c>
      <c r="L837" s="33" t="str">
        <f t="shared" si="60"/>
        <v>1x LCoS</v>
      </c>
      <c r="M837" s="21" t="s">
        <v>36</v>
      </c>
      <c r="N837" s="21"/>
      <c r="O837" s="27"/>
      <c r="P837" s="20"/>
      <c r="Q837" s="20"/>
      <c r="R837" s="29">
        <f t="shared" si="61"/>
        <v>0</v>
      </c>
      <c r="S837" s="20" t="s">
        <v>36</v>
      </c>
      <c r="T837" s="18"/>
      <c r="U837" s="20">
        <v>1</v>
      </c>
      <c r="V837" s="120">
        <v>0.16500000000000001</v>
      </c>
      <c r="W837" s="69">
        <f t="shared" si="62"/>
        <v>6.933595908400835</v>
      </c>
      <c r="X837" s="106">
        <v>42.021793384247481</v>
      </c>
      <c r="Y837" s="72" t="str">
        <f t="shared" si="63"/>
        <v>AR_2028_1x LCoS_Monocular LCoS glasses</v>
      </c>
      <c r="Z837" s="36" t="str">
        <f t="shared" si="64"/>
        <v>AR_2028_1x LCoS</v>
      </c>
    </row>
    <row r="838" spans="3:26">
      <c r="C838" s="17">
        <v>830</v>
      </c>
      <c r="D838" s="109" t="s">
        <v>26</v>
      </c>
      <c r="E838" s="20" t="s">
        <v>142</v>
      </c>
      <c r="F838" s="20" t="s">
        <v>179</v>
      </c>
      <c r="G838" s="21" t="s">
        <v>97</v>
      </c>
      <c r="H838" s="21" t="s">
        <v>111</v>
      </c>
      <c r="I838" s="19" t="s">
        <v>26</v>
      </c>
      <c r="J838" s="19" t="s">
        <v>36</v>
      </c>
      <c r="K838" s="21" t="s">
        <v>15</v>
      </c>
      <c r="L838" s="33" t="str">
        <f t="shared" si="60"/>
        <v>2x LCD</v>
      </c>
      <c r="M838" s="21" t="s">
        <v>36</v>
      </c>
      <c r="N838" s="21" t="s">
        <v>143</v>
      </c>
      <c r="O838" s="27"/>
      <c r="P838" s="20"/>
      <c r="Q838" s="20"/>
      <c r="R838" s="29">
        <f t="shared" si="61"/>
        <v>0</v>
      </c>
      <c r="S838" s="20" t="s">
        <v>36</v>
      </c>
      <c r="T838" s="18" t="s">
        <v>143</v>
      </c>
      <c r="U838" s="20">
        <v>2</v>
      </c>
      <c r="V838" s="120">
        <v>1.76</v>
      </c>
      <c r="W838" s="69">
        <f t="shared" si="62"/>
        <v>58.695842453962555</v>
      </c>
      <c r="X838" s="106">
        <v>33.349910485205996</v>
      </c>
      <c r="Y838" s="72" t="str">
        <f t="shared" si="63"/>
        <v>VR_2028_2x LCD_Dual LCD VR headset</v>
      </c>
      <c r="Z838" s="36" t="str">
        <f t="shared" si="64"/>
        <v>VR_2028_2x LCD</v>
      </c>
    </row>
    <row r="839" spans="3:26">
      <c r="C839" s="17">
        <v>831</v>
      </c>
      <c r="D839" s="109" t="s">
        <v>26</v>
      </c>
      <c r="E839" s="20" t="s">
        <v>142</v>
      </c>
      <c r="F839" s="20" t="s">
        <v>179</v>
      </c>
      <c r="G839" s="21" t="s">
        <v>97</v>
      </c>
      <c r="H839" s="21" t="s">
        <v>138</v>
      </c>
      <c r="I839" s="19" t="s">
        <v>26</v>
      </c>
      <c r="J839" s="19" t="s">
        <v>36</v>
      </c>
      <c r="K839" s="21" t="s">
        <v>51</v>
      </c>
      <c r="L839" s="33" t="str">
        <f t="shared" si="60"/>
        <v>2x SiOLED</v>
      </c>
      <c r="M839" s="21" t="s">
        <v>36</v>
      </c>
      <c r="N839" s="21"/>
      <c r="O839" s="27"/>
      <c r="P839" s="20"/>
      <c r="Q839" s="20"/>
      <c r="R839" s="29">
        <f t="shared" si="61"/>
        <v>0</v>
      </c>
      <c r="S839" s="20" t="s">
        <v>36</v>
      </c>
      <c r="T839" s="18"/>
      <c r="U839" s="20">
        <v>2</v>
      </c>
      <c r="V839" s="120">
        <v>1.1000000000000001</v>
      </c>
      <c r="W839" s="69">
        <f t="shared" si="62"/>
        <v>117.58092487680001</v>
      </c>
      <c r="X839" s="106">
        <v>106.89174988800001</v>
      </c>
      <c r="Y839" s="72" t="str">
        <f t="shared" si="63"/>
        <v>VR_2028_2x SiOLED_Dual SiOLED headset</v>
      </c>
      <c r="Z839" s="36" t="str">
        <f t="shared" si="64"/>
        <v>VR_2028_2x SiOLED</v>
      </c>
    </row>
    <row r="840" spans="3:26">
      <c r="C840" s="17">
        <v>832</v>
      </c>
      <c r="D840" s="109" t="s">
        <v>26</v>
      </c>
      <c r="E840" s="20" t="s">
        <v>142</v>
      </c>
      <c r="F840" s="20" t="s">
        <v>179</v>
      </c>
      <c r="G840" s="21" t="s">
        <v>97</v>
      </c>
      <c r="H840" s="21" t="s">
        <v>42</v>
      </c>
      <c r="I840" s="19" t="s">
        <v>26</v>
      </c>
      <c r="J840" s="19" t="s">
        <v>36</v>
      </c>
      <c r="K840" s="21" t="s">
        <v>28</v>
      </c>
      <c r="L840" s="33" t="str">
        <f t="shared" si="60"/>
        <v>2x AMOLED</v>
      </c>
      <c r="M840" s="21" t="s">
        <v>36</v>
      </c>
      <c r="N840" s="21" t="s">
        <v>143</v>
      </c>
      <c r="O840" s="27"/>
      <c r="P840" s="20"/>
      <c r="Q840" s="20"/>
      <c r="R840" s="29">
        <f t="shared" si="61"/>
        <v>0</v>
      </c>
      <c r="S840" s="20" t="s">
        <v>36</v>
      </c>
      <c r="T840" s="18" t="s">
        <v>143</v>
      </c>
      <c r="U840" s="20">
        <v>2</v>
      </c>
      <c r="V840" s="120">
        <v>0.55000000000000004</v>
      </c>
      <c r="W840" s="69">
        <f t="shared" si="62"/>
        <v>19.177966930119585</v>
      </c>
      <c r="X840" s="106">
        <v>34.869030782035608</v>
      </c>
      <c r="Y840" s="72" t="str">
        <f t="shared" si="63"/>
        <v>VR_2028_2x AMOLED_OLED VR headset</v>
      </c>
      <c r="Z840" s="36" t="str">
        <f t="shared" si="64"/>
        <v>VR_2028_2x AMOLED</v>
      </c>
    </row>
    <row r="841" spans="3:26">
      <c r="C841" s="17">
        <v>833</v>
      </c>
      <c r="D841" s="109" t="s">
        <v>26</v>
      </c>
      <c r="E841" s="20" t="s">
        <v>142</v>
      </c>
      <c r="F841" s="20" t="s">
        <v>179</v>
      </c>
      <c r="G841" s="21" t="s">
        <v>97</v>
      </c>
      <c r="H841" s="21" t="s">
        <v>161</v>
      </c>
      <c r="I841" s="19" t="s">
        <v>26</v>
      </c>
      <c r="J841" s="19" t="s">
        <v>36</v>
      </c>
      <c r="K841" s="21" t="s">
        <v>15</v>
      </c>
      <c r="L841" s="33" t="str">
        <f t="shared" ref="L841:L897" si="65">IF(U841=0, "", U841&amp;"x "&amp;K841)</f>
        <v>1x LCD</v>
      </c>
      <c r="M841" s="21" t="s">
        <v>36</v>
      </c>
      <c r="N841" s="21" t="s">
        <v>143</v>
      </c>
      <c r="O841" s="27"/>
      <c r="P841" s="20"/>
      <c r="Q841" s="20"/>
      <c r="R841" s="29">
        <f t="shared" ref="R841:R897" si="66">IF(O841=0, 0, SQRT(Q841^2+P841^2)/O841)</f>
        <v>0</v>
      </c>
      <c r="S841" s="20" t="s">
        <v>36</v>
      </c>
      <c r="T841" s="18" t="s">
        <v>143</v>
      </c>
      <c r="U841" s="20">
        <v>1</v>
      </c>
      <c r="V841" s="120">
        <v>0.16500000000000001</v>
      </c>
      <c r="W841" s="69">
        <f t="shared" ref="W841:W897" si="67">V841*X841</f>
        <v>8.2541028450884824</v>
      </c>
      <c r="X841" s="106">
        <v>50.024865727808979</v>
      </c>
      <c r="Y841" s="72" t="str">
        <f t="shared" ref="Y841:Y897" si="68">D841&amp;"_"&amp;E841&amp;"_"&amp;L841&amp;"_"&amp;H841</f>
        <v>VR_2028_1x LCD_Single LCD VR headset</v>
      </c>
      <c r="Z841" s="36" t="str">
        <f t="shared" ref="Z841:Z897" si="69">D841&amp;"_"&amp;E841&amp;"_"&amp;L841</f>
        <v>VR_2028_1x LCD</v>
      </c>
    </row>
    <row r="842" spans="3:26">
      <c r="C842" s="17">
        <v>834</v>
      </c>
      <c r="D842" s="109" t="s">
        <v>129</v>
      </c>
      <c r="E842" s="20" t="s">
        <v>142</v>
      </c>
      <c r="F842" s="20" t="s">
        <v>179</v>
      </c>
      <c r="G842" s="21" t="s">
        <v>97</v>
      </c>
      <c r="H842" s="21" t="s">
        <v>123</v>
      </c>
      <c r="I842" s="19" t="s">
        <v>63</v>
      </c>
      <c r="J842" s="19" t="s">
        <v>36</v>
      </c>
      <c r="K842" s="21" t="s">
        <v>120</v>
      </c>
      <c r="L842" s="33" t="str">
        <f t="shared" si="65"/>
        <v>2x MicroLED</v>
      </c>
      <c r="M842" s="21" t="s">
        <v>36</v>
      </c>
      <c r="N842" s="21"/>
      <c r="O842" s="27"/>
      <c r="P842" s="20"/>
      <c r="Q842" s="20"/>
      <c r="R842" s="29">
        <f t="shared" si="66"/>
        <v>0</v>
      </c>
      <c r="S842" s="20" t="s">
        <v>36</v>
      </c>
      <c r="T842" s="18" t="s">
        <v>143</v>
      </c>
      <c r="U842" s="20">
        <v>2</v>
      </c>
      <c r="V842" s="120">
        <v>0.17599999999999999</v>
      </c>
      <c r="W842" s="69">
        <f t="shared" si="67"/>
        <v>9.5804730932624658</v>
      </c>
      <c r="X842" s="106">
        <v>54.434506211718563</v>
      </c>
      <c r="Y842" s="72" t="str">
        <f t="shared" si="68"/>
        <v>AR_2028_2x MicroLED_Binocular MicroLED</v>
      </c>
      <c r="Z842" s="36" t="str">
        <f t="shared" si="69"/>
        <v>AR_2028_2x MicroLED</v>
      </c>
    </row>
    <row r="843" spans="3:26">
      <c r="C843" s="17">
        <v>835</v>
      </c>
      <c r="D843" s="109" t="s">
        <v>129</v>
      </c>
      <c r="E843" s="20" t="s">
        <v>142</v>
      </c>
      <c r="F843" s="20" t="s">
        <v>179</v>
      </c>
      <c r="G843" s="21" t="s">
        <v>97</v>
      </c>
      <c r="H843" s="21" t="s">
        <v>76</v>
      </c>
      <c r="I843" s="19" t="s">
        <v>63</v>
      </c>
      <c r="J843" s="19" t="s">
        <v>36</v>
      </c>
      <c r="K843" s="21" t="s">
        <v>70</v>
      </c>
      <c r="L843" s="33" t="str">
        <f t="shared" si="65"/>
        <v>1x DLP</v>
      </c>
      <c r="M843" s="21" t="s">
        <v>36</v>
      </c>
      <c r="N843" s="21"/>
      <c r="O843" s="27"/>
      <c r="P843" s="20"/>
      <c r="Q843" s="20"/>
      <c r="R843" s="29">
        <f t="shared" si="66"/>
        <v>0</v>
      </c>
      <c r="S843" s="20" t="s">
        <v>36</v>
      </c>
      <c r="T843" s="18" t="s">
        <v>143</v>
      </c>
      <c r="U843" s="20">
        <v>1</v>
      </c>
      <c r="V843" s="120">
        <v>1.1E-4</v>
      </c>
      <c r="W843" s="69">
        <f t="shared" si="67"/>
        <v>8.340412469525639E-3</v>
      </c>
      <c r="X843" s="106">
        <v>75.821931541142177</v>
      </c>
      <c r="Y843" s="72" t="str">
        <f t="shared" si="68"/>
        <v>AR_2028_1x DLP_DLP glasses</v>
      </c>
      <c r="Z843" s="36" t="str">
        <f t="shared" si="69"/>
        <v>AR_2028_1x DLP</v>
      </c>
    </row>
    <row r="844" spans="3:26">
      <c r="C844" s="17">
        <v>836</v>
      </c>
      <c r="D844" s="109" t="s">
        <v>129</v>
      </c>
      <c r="E844" s="20" t="s">
        <v>142</v>
      </c>
      <c r="F844" s="20" t="s">
        <v>179</v>
      </c>
      <c r="G844" s="21" t="s">
        <v>97</v>
      </c>
      <c r="H844" s="21" t="s">
        <v>75</v>
      </c>
      <c r="I844" s="19" t="s">
        <v>63</v>
      </c>
      <c r="J844" s="19" t="s">
        <v>36</v>
      </c>
      <c r="K844" s="21" t="s">
        <v>67</v>
      </c>
      <c r="L844" s="33" t="str">
        <f t="shared" si="65"/>
        <v>2x LCoS</v>
      </c>
      <c r="M844" s="21" t="s">
        <v>36</v>
      </c>
      <c r="N844" s="21"/>
      <c r="O844" s="27"/>
      <c r="P844" s="20"/>
      <c r="Q844" s="20"/>
      <c r="R844" s="29">
        <f t="shared" si="66"/>
        <v>0</v>
      </c>
      <c r="S844" s="20" t="s">
        <v>36</v>
      </c>
      <c r="T844" s="18" t="s">
        <v>143</v>
      </c>
      <c r="U844" s="20">
        <v>2</v>
      </c>
      <c r="V844" s="120">
        <v>0.22</v>
      </c>
      <c r="W844" s="69">
        <f t="shared" si="67"/>
        <v>9.2447945445344466</v>
      </c>
      <c r="X844" s="106">
        <v>42.021793384247481</v>
      </c>
      <c r="Y844" s="72" t="str">
        <f t="shared" si="68"/>
        <v>AR_2028_2x LCoS_LCoS glasses</v>
      </c>
      <c r="Z844" s="36" t="str">
        <f t="shared" si="69"/>
        <v>AR_2028_2x LCoS</v>
      </c>
    </row>
    <row r="845" spans="3:26">
      <c r="C845" s="17">
        <v>837</v>
      </c>
      <c r="D845" s="109" t="s">
        <v>129</v>
      </c>
      <c r="E845" s="20" t="s">
        <v>142</v>
      </c>
      <c r="F845" s="20" t="s">
        <v>179</v>
      </c>
      <c r="G845" s="21" t="s">
        <v>97</v>
      </c>
      <c r="H845" s="21" t="s">
        <v>121</v>
      </c>
      <c r="I845" s="19" t="s">
        <v>63</v>
      </c>
      <c r="J845" s="19" t="s">
        <v>36</v>
      </c>
      <c r="K845" s="21" t="s">
        <v>120</v>
      </c>
      <c r="L845" s="33" t="str">
        <f t="shared" si="65"/>
        <v>1x MicroLED</v>
      </c>
      <c r="M845" s="21" t="s">
        <v>36</v>
      </c>
      <c r="N845" s="21"/>
      <c r="O845" s="27"/>
      <c r="P845" s="20"/>
      <c r="Q845" s="20"/>
      <c r="R845" s="29">
        <f t="shared" si="66"/>
        <v>0</v>
      </c>
      <c r="S845" s="20" t="s">
        <v>36</v>
      </c>
      <c r="T845" s="18" t="s">
        <v>143</v>
      </c>
      <c r="U845" s="20">
        <v>1</v>
      </c>
      <c r="V845" s="120">
        <v>0.154</v>
      </c>
      <c r="W845" s="69">
        <f t="shared" si="67"/>
        <v>8.3829139566046589</v>
      </c>
      <c r="X845" s="106">
        <v>54.434506211718563</v>
      </c>
      <c r="Y845" s="72" t="str">
        <f t="shared" si="68"/>
        <v>AR_2028_1x MicroLED_Monocular MicroLED</v>
      </c>
      <c r="Z845" s="36" t="str">
        <f t="shared" si="69"/>
        <v>AR_2028_1x MicroLED</v>
      </c>
    </row>
    <row r="846" spans="3:26">
      <c r="C846" s="17">
        <v>838</v>
      </c>
      <c r="D846" s="109" t="s">
        <v>129</v>
      </c>
      <c r="E846" s="20" t="s">
        <v>142</v>
      </c>
      <c r="F846" s="20" t="s">
        <v>179</v>
      </c>
      <c r="G846" s="21" t="s">
        <v>97</v>
      </c>
      <c r="H846" s="21" t="s">
        <v>79</v>
      </c>
      <c r="I846" s="19" t="s">
        <v>63</v>
      </c>
      <c r="J846" s="19" t="s">
        <v>36</v>
      </c>
      <c r="K846" s="21" t="s">
        <v>51</v>
      </c>
      <c r="L846" s="33" t="str">
        <f t="shared" si="65"/>
        <v>2x SiOLED</v>
      </c>
      <c r="M846" s="21" t="s">
        <v>36</v>
      </c>
      <c r="N846" s="21"/>
      <c r="O846" s="27"/>
      <c r="P846" s="20"/>
      <c r="Q846" s="20"/>
      <c r="R846" s="29">
        <f t="shared" si="66"/>
        <v>0</v>
      </c>
      <c r="S846" s="20" t="s">
        <v>36</v>
      </c>
      <c r="T846" s="18" t="s">
        <v>143</v>
      </c>
      <c r="U846" s="20">
        <v>2</v>
      </c>
      <c r="V846" s="120">
        <v>0.66</v>
      </c>
      <c r="W846" s="69">
        <f t="shared" si="67"/>
        <v>33</v>
      </c>
      <c r="X846" s="106">
        <v>50</v>
      </c>
      <c r="Y846" s="72" t="str">
        <f t="shared" si="68"/>
        <v>AR_2028_2x SiOLED_SiOLED glasses</v>
      </c>
      <c r="Z846" s="36" t="str">
        <f t="shared" si="69"/>
        <v>AR_2028_2x SiOLED</v>
      </c>
    </row>
    <row r="847" spans="3:26">
      <c r="C847" s="17">
        <v>839</v>
      </c>
      <c r="D847" s="109" t="s">
        <v>129</v>
      </c>
      <c r="E847" s="20" t="s">
        <v>142</v>
      </c>
      <c r="F847" s="20" t="s">
        <v>179</v>
      </c>
      <c r="G847" s="21" t="s">
        <v>97</v>
      </c>
      <c r="H847" s="21" t="s">
        <v>279</v>
      </c>
      <c r="I847" s="19" t="s">
        <v>63</v>
      </c>
      <c r="J847" s="19" t="s">
        <v>27</v>
      </c>
      <c r="K847" s="21" t="s">
        <v>67</v>
      </c>
      <c r="L847" s="33" t="str">
        <f t="shared" si="65"/>
        <v>1x LCoS</v>
      </c>
      <c r="M847" s="21" t="s">
        <v>36</v>
      </c>
      <c r="N847" s="21"/>
      <c r="O847" s="27"/>
      <c r="P847" s="20"/>
      <c r="Q847" s="20"/>
      <c r="R847" s="29">
        <f t="shared" si="66"/>
        <v>0</v>
      </c>
      <c r="S847" s="20" t="s">
        <v>36</v>
      </c>
      <c r="T847" s="18"/>
      <c r="U847" s="20">
        <v>1</v>
      </c>
      <c r="V847" s="120">
        <v>0.121</v>
      </c>
      <c r="W847" s="69">
        <f t="shared" si="67"/>
        <v>5.0846369994939451</v>
      </c>
      <c r="X847" s="106">
        <v>42.021793384247481</v>
      </c>
      <c r="Y847" s="72" t="str">
        <f t="shared" si="68"/>
        <v>AR_2028_1x LCoS_Monocular LCoS glasses</v>
      </c>
      <c r="Z847" s="36" t="str">
        <f t="shared" si="69"/>
        <v>AR_2028_1x LCoS</v>
      </c>
    </row>
    <row r="848" spans="3:26">
      <c r="C848" s="17">
        <v>840</v>
      </c>
      <c r="D848" s="109" t="s">
        <v>26</v>
      </c>
      <c r="E848" s="20" t="s">
        <v>142</v>
      </c>
      <c r="F848" s="20" t="s">
        <v>182</v>
      </c>
      <c r="G848" s="21" t="s">
        <v>97</v>
      </c>
      <c r="H848" s="21" t="s">
        <v>111</v>
      </c>
      <c r="I848" s="19" t="s">
        <v>26</v>
      </c>
      <c r="J848" s="19" t="s">
        <v>36</v>
      </c>
      <c r="K848" s="21" t="s">
        <v>15</v>
      </c>
      <c r="L848" s="33" t="str">
        <f t="shared" si="65"/>
        <v>2x LCD</v>
      </c>
      <c r="M848" s="21" t="s">
        <v>36</v>
      </c>
      <c r="N848" s="21" t="s">
        <v>143</v>
      </c>
      <c r="O848" s="27"/>
      <c r="P848" s="20"/>
      <c r="Q848" s="20"/>
      <c r="R848" s="29">
        <f t="shared" si="66"/>
        <v>0</v>
      </c>
      <c r="S848" s="20" t="s">
        <v>36</v>
      </c>
      <c r="T848" s="18" t="s">
        <v>143</v>
      </c>
      <c r="U848" s="20">
        <v>2</v>
      </c>
      <c r="V848" s="120">
        <v>1.76</v>
      </c>
      <c r="W848" s="69">
        <f t="shared" si="67"/>
        <v>58.695842453962555</v>
      </c>
      <c r="X848" s="106">
        <v>33.349910485205996</v>
      </c>
      <c r="Y848" s="72" t="str">
        <f t="shared" si="68"/>
        <v>VR_2028_2x LCD_Dual LCD VR headset</v>
      </c>
      <c r="Z848" s="36" t="str">
        <f t="shared" si="69"/>
        <v>VR_2028_2x LCD</v>
      </c>
    </row>
    <row r="849" spans="3:26">
      <c r="C849" s="17">
        <v>841</v>
      </c>
      <c r="D849" s="109" t="s">
        <v>26</v>
      </c>
      <c r="E849" s="20" t="s">
        <v>142</v>
      </c>
      <c r="F849" s="20" t="s">
        <v>182</v>
      </c>
      <c r="G849" s="21" t="s">
        <v>97</v>
      </c>
      <c r="H849" s="21" t="s">
        <v>138</v>
      </c>
      <c r="I849" s="19" t="s">
        <v>26</v>
      </c>
      <c r="J849" s="19" t="s">
        <v>36</v>
      </c>
      <c r="K849" s="21" t="s">
        <v>51</v>
      </c>
      <c r="L849" s="33" t="str">
        <f t="shared" si="65"/>
        <v>2x SiOLED</v>
      </c>
      <c r="M849" s="21" t="s">
        <v>36</v>
      </c>
      <c r="N849" s="21"/>
      <c r="O849" s="27"/>
      <c r="P849" s="20"/>
      <c r="Q849" s="20"/>
      <c r="R849" s="29">
        <f t="shared" si="66"/>
        <v>0</v>
      </c>
      <c r="S849" s="20" t="s">
        <v>36</v>
      </c>
      <c r="T849" s="18"/>
      <c r="U849" s="20">
        <v>2</v>
      </c>
      <c r="V849" s="120">
        <v>1.1000000000000001</v>
      </c>
      <c r="W849" s="69">
        <f t="shared" si="67"/>
        <v>117.58092487680001</v>
      </c>
      <c r="X849" s="106">
        <v>106.89174988800001</v>
      </c>
      <c r="Y849" s="72" t="str">
        <f t="shared" si="68"/>
        <v>VR_2028_2x SiOLED_Dual SiOLED headset</v>
      </c>
      <c r="Z849" s="36" t="str">
        <f t="shared" si="69"/>
        <v>VR_2028_2x SiOLED</v>
      </c>
    </row>
    <row r="850" spans="3:26">
      <c r="C850" s="17">
        <v>842</v>
      </c>
      <c r="D850" s="109" t="s">
        <v>26</v>
      </c>
      <c r="E850" s="20" t="s">
        <v>142</v>
      </c>
      <c r="F850" s="20" t="s">
        <v>182</v>
      </c>
      <c r="G850" s="21" t="s">
        <v>97</v>
      </c>
      <c r="H850" s="21" t="s">
        <v>42</v>
      </c>
      <c r="I850" s="19" t="s">
        <v>26</v>
      </c>
      <c r="J850" s="19" t="s">
        <v>36</v>
      </c>
      <c r="K850" s="21" t="s">
        <v>28</v>
      </c>
      <c r="L850" s="33" t="str">
        <f t="shared" si="65"/>
        <v>2x AMOLED</v>
      </c>
      <c r="M850" s="21" t="s">
        <v>36</v>
      </c>
      <c r="N850" s="21" t="s">
        <v>143</v>
      </c>
      <c r="O850" s="27"/>
      <c r="P850" s="20"/>
      <c r="Q850" s="20"/>
      <c r="R850" s="29">
        <f t="shared" si="66"/>
        <v>0</v>
      </c>
      <c r="S850" s="20" t="s">
        <v>36</v>
      </c>
      <c r="T850" s="18" t="s">
        <v>143</v>
      </c>
      <c r="U850" s="20">
        <v>2</v>
      </c>
      <c r="V850" s="120">
        <v>0.55000000000000004</v>
      </c>
      <c r="W850" s="69">
        <f t="shared" si="67"/>
        <v>19.177966930119585</v>
      </c>
      <c r="X850" s="106">
        <v>34.869030782035608</v>
      </c>
      <c r="Y850" s="72" t="str">
        <f t="shared" si="68"/>
        <v>VR_2028_2x AMOLED_OLED VR headset</v>
      </c>
      <c r="Z850" s="36" t="str">
        <f t="shared" si="69"/>
        <v>VR_2028_2x AMOLED</v>
      </c>
    </row>
    <row r="851" spans="3:26">
      <c r="C851" s="17">
        <v>843</v>
      </c>
      <c r="D851" s="109" t="s">
        <v>26</v>
      </c>
      <c r="E851" s="20" t="s">
        <v>142</v>
      </c>
      <c r="F851" s="20" t="s">
        <v>182</v>
      </c>
      <c r="G851" s="21" t="s">
        <v>97</v>
      </c>
      <c r="H851" s="21" t="s">
        <v>161</v>
      </c>
      <c r="I851" s="19" t="s">
        <v>26</v>
      </c>
      <c r="J851" s="19" t="s">
        <v>36</v>
      </c>
      <c r="K851" s="21" t="s">
        <v>15</v>
      </c>
      <c r="L851" s="33" t="str">
        <f t="shared" si="65"/>
        <v>1x LCD</v>
      </c>
      <c r="M851" s="21" t="s">
        <v>36</v>
      </c>
      <c r="N851" s="21" t="s">
        <v>143</v>
      </c>
      <c r="O851" s="27"/>
      <c r="P851" s="20"/>
      <c r="Q851" s="20"/>
      <c r="R851" s="29">
        <f t="shared" si="66"/>
        <v>0</v>
      </c>
      <c r="S851" s="20" t="s">
        <v>36</v>
      </c>
      <c r="T851" s="18" t="s">
        <v>143</v>
      </c>
      <c r="U851" s="20">
        <v>1</v>
      </c>
      <c r="V851" s="120">
        <v>0.16500000000000001</v>
      </c>
      <c r="W851" s="69">
        <f t="shared" si="67"/>
        <v>8.2541028450884824</v>
      </c>
      <c r="X851" s="106">
        <v>50.024865727808979</v>
      </c>
      <c r="Y851" s="72" t="str">
        <f t="shared" si="68"/>
        <v>VR_2028_1x LCD_Single LCD VR headset</v>
      </c>
      <c r="Z851" s="36" t="str">
        <f t="shared" si="69"/>
        <v>VR_2028_1x LCD</v>
      </c>
    </row>
    <row r="852" spans="3:26">
      <c r="C852" s="17">
        <v>844</v>
      </c>
      <c r="D852" s="109" t="s">
        <v>129</v>
      </c>
      <c r="E852" s="20" t="s">
        <v>142</v>
      </c>
      <c r="F852" s="20" t="s">
        <v>182</v>
      </c>
      <c r="G852" s="21" t="s">
        <v>97</v>
      </c>
      <c r="H852" s="21" t="s">
        <v>123</v>
      </c>
      <c r="I852" s="19" t="s">
        <v>63</v>
      </c>
      <c r="J852" s="19" t="s">
        <v>36</v>
      </c>
      <c r="K852" s="21" t="s">
        <v>120</v>
      </c>
      <c r="L852" s="33" t="str">
        <f t="shared" si="65"/>
        <v>2x MicroLED</v>
      </c>
      <c r="M852" s="21" t="s">
        <v>36</v>
      </c>
      <c r="N852" s="21"/>
      <c r="O852" s="27"/>
      <c r="P852" s="20"/>
      <c r="Q852" s="20"/>
      <c r="R852" s="29">
        <f t="shared" si="66"/>
        <v>0</v>
      </c>
      <c r="S852" s="20" t="s">
        <v>36</v>
      </c>
      <c r="T852" s="18" t="s">
        <v>143</v>
      </c>
      <c r="U852" s="20">
        <v>2</v>
      </c>
      <c r="V852" s="120">
        <v>0.17599999999999999</v>
      </c>
      <c r="W852" s="69">
        <f t="shared" si="67"/>
        <v>9.5804730932624658</v>
      </c>
      <c r="X852" s="106">
        <v>54.434506211718563</v>
      </c>
      <c r="Y852" s="72" t="str">
        <f t="shared" si="68"/>
        <v>AR_2028_2x MicroLED_Binocular MicroLED</v>
      </c>
      <c r="Z852" s="36" t="str">
        <f t="shared" si="69"/>
        <v>AR_2028_2x MicroLED</v>
      </c>
    </row>
    <row r="853" spans="3:26">
      <c r="C853" s="17">
        <v>845</v>
      </c>
      <c r="D853" s="109" t="s">
        <v>129</v>
      </c>
      <c r="E853" s="20" t="s">
        <v>142</v>
      </c>
      <c r="F853" s="20" t="s">
        <v>182</v>
      </c>
      <c r="G853" s="21" t="s">
        <v>97</v>
      </c>
      <c r="H853" s="21" t="s">
        <v>76</v>
      </c>
      <c r="I853" s="19" t="s">
        <v>63</v>
      </c>
      <c r="J853" s="19" t="s">
        <v>36</v>
      </c>
      <c r="K853" s="21" t="s">
        <v>70</v>
      </c>
      <c r="L853" s="33" t="str">
        <f t="shared" si="65"/>
        <v>1x DLP</v>
      </c>
      <c r="M853" s="21" t="s">
        <v>36</v>
      </c>
      <c r="N853" s="21"/>
      <c r="O853" s="27"/>
      <c r="P853" s="20"/>
      <c r="Q853" s="20"/>
      <c r="R853" s="29">
        <f t="shared" si="66"/>
        <v>0</v>
      </c>
      <c r="S853" s="20" t="s">
        <v>36</v>
      </c>
      <c r="T853" s="18" t="s">
        <v>143</v>
      </c>
      <c r="U853" s="20">
        <v>1</v>
      </c>
      <c r="V853" s="120">
        <v>1.1E-4</v>
      </c>
      <c r="W853" s="69">
        <f t="shared" si="67"/>
        <v>8.340412469525639E-3</v>
      </c>
      <c r="X853" s="106">
        <v>75.821931541142177</v>
      </c>
      <c r="Y853" s="72" t="str">
        <f t="shared" si="68"/>
        <v>AR_2028_1x DLP_DLP glasses</v>
      </c>
      <c r="Z853" s="36" t="str">
        <f t="shared" si="69"/>
        <v>AR_2028_1x DLP</v>
      </c>
    </row>
    <row r="854" spans="3:26">
      <c r="C854" s="17">
        <v>846</v>
      </c>
      <c r="D854" s="109" t="s">
        <v>129</v>
      </c>
      <c r="E854" s="20" t="s">
        <v>142</v>
      </c>
      <c r="F854" s="20" t="s">
        <v>182</v>
      </c>
      <c r="G854" s="21" t="s">
        <v>97</v>
      </c>
      <c r="H854" s="21" t="s">
        <v>75</v>
      </c>
      <c r="I854" s="19" t="s">
        <v>63</v>
      </c>
      <c r="J854" s="19" t="s">
        <v>36</v>
      </c>
      <c r="K854" s="21" t="s">
        <v>67</v>
      </c>
      <c r="L854" s="33" t="str">
        <f t="shared" si="65"/>
        <v>2x LCoS</v>
      </c>
      <c r="M854" s="21" t="s">
        <v>36</v>
      </c>
      <c r="N854" s="21"/>
      <c r="O854" s="27"/>
      <c r="P854" s="20"/>
      <c r="Q854" s="20"/>
      <c r="R854" s="29">
        <f t="shared" si="66"/>
        <v>0</v>
      </c>
      <c r="S854" s="20" t="s">
        <v>36</v>
      </c>
      <c r="T854" s="18" t="s">
        <v>143</v>
      </c>
      <c r="U854" s="20">
        <v>2</v>
      </c>
      <c r="V854" s="120">
        <v>0.26400000000000001</v>
      </c>
      <c r="W854" s="69">
        <f t="shared" si="67"/>
        <v>11.093753453441336</v>
      </c>
      <c r="X854" s="106">
        <v>42.021793384247481</v>
      </c>
      <c r="Y854" s="72" t="str">
        <f t="shared" si="68"/>
        <v>AR_2028_2x LCoS_LCoS glasses</v>
      </c>
      <c r="Z854" s="36" t="str">
        <f t="shared" si="69"/>
        <v>AR_2028_2x LCoS</v>
      </c>
    </row>
    <row r="855" spans="3:26">
      <c r="C855" s="17">
        <v>847</v>
      </c>
      <c r="D855" s="109" t="s">
        <v>129</v>
      </c>
      <c r="E855" s="20" t="s">
        <v>142</v>
      </c>
      <c r="F855" s="20" t="s">
        <v>182</v>
      </c>
      <c r="G855" s="21" t="s">
        <v>97</v>
      </c>
      <c r="H855" s="21" t="s">
        <v>121</v>
      </c>
      <c r="I855" s="19" t="s">
        <v>63</v>
      </c>
      <c r="J855" s="19" t="s">
        <v>36</v>
      </c>
      <c r="K855" s="21" t="s">
        <v>120</v>
      </c>
      <c r="L855" s="33" t="str">
        <f t="shared" si="65"/>
        <v>1x MicroLED</v>
      </c>
      <c r="M855" s="21" t="s">
        <v>36</v>
      </c>
      <c r="N855" s="21"/>
      <c r="O855" s="27"/>
      <c r="P855" s="20"/>
      <c r="Q855" s="20"/>
      <c r="R855" s="29">
        <f t="shared" si="66"/>
        <v>0</v>
      </c>
      <c r="S855" s="20" t="s">
        <v>36</v>
      </c>
      <c r="T855" s="18" t="s">
        <v>143</v>
      </c>
      <c r="U855" s="20">
        <v>1</v>
      </c>
      <c r="V855" s="120">
        <v>0.154</v>
      </c>
      <c r="W855" s="69">
        <f t="shared" si="67"/>
        <v>8.3829139566046589</v>
      </c>
      <c r="X855" s="106">
        <v>54.434506211718563</v>
      </c>
      <c r="Y855" s="72" t="str">
        <f t="shared" si="68"/>
        <v>AR_2028_1x MicroLED_Monocular MicroLED</v>
      </c>
      <c r="Z855" s="36" t="str">
        <f t="shared" si="69"/>
        <v>AR_2028_1x MicroLED</v>
      </c>
    </row>
    <row r="856" spans="3:26">
      <c r="C856" s="17">
        <v>848</v>
      </c>
      <c r="D856" s="109" t="s">
        <v>129</v>
      </c>
      <c r="E856" s="20" t="s">
        <v>142</v>
      </c>
      <c r="F856" s="20" t="s">
        <v>182</v>
      </c>
      <c r="G856" s="21" t="s">
        <v>97</v>
      </c>
      <c r="H856" s="21" t="s">
        <v>79</v>
      </c>
      <c r="I856" s="19" t="s">
        <v>63</v>
      </c>
      <c r="J856" s="19" t="s">
        <v>36</v>
      </c>
      <c r="K856" s="21" t="s">
        <v>51</v>
      </c>
      <c r="L856" s="33" t="str">
        <f t="shared" si="65"/>
        <v>2x SiOLED</v>
      </c>
      <c r="M856" s="21" t="s">
        <v>36</v>
      </c>
      <c r="N856" s="21"/>
      <c r="O856" s="27"/>
      <c r="P856" s="20"/>
      <c r="Q856" s="20"/>
      <c r="R856" s="29">
        <f t="shared" si="66"/>
        <v>0</v>
      </c>
      <c r="S856" s="20" t="s">
        <v>36</v>
      </c>
      <c r="T856" s="18" t="s">
        <v>143</v>
      </c>
      <c r="U856" s="20">
        <v>2</v>
      </c>
      <c r="V856" s="120">
        <v>0.66</v>
      </c>
      <c r="W856" s="69">
        <f t="shared" si="67"/>
        <v>33</v>
      </c>
      <c r="X856" s="106">
        <v>50</v>
      </c>
      <c r="Y856" s="72" t="str">
        <f t="shared" si="68"/>
        <v>AR_2028_2x SiOLED_SiOLED glasses</v>
      </c>
      <c r="Z856" s="36" t="str">
        <f t="shared" si="69"/>
        <v>AR_2028_2x SiOLED</v>
      </c>
    </row>
    <row r="857" spans="3:26">
      <c r="C857" s="17">
        <v>849</v>
      </c>
      <c r="D857" s="109" t="s">
        <v>129</v>
      </c>
      <c r="E857" s="20" t="s">
        <v>142</v>
      </c>
      <c r="F857" s="20" t="s">
        <v>182</v>
      </c>
      <c r="G857" s="21" t="s">
        <v>97</v>
      </c>
      <c r="H857" s="21" t="s">
        <v>279</v>
      </c>
      <c r="I857" s="19" t="s">
        <v>63</v>
      </c>
      <c r="J857" s="19" t="s">
        <v>27</v>
      </c>
      <c r="K857" s="21" t="s">
        <v>67</v>
      </c>
      <c r="L857" s="33" t="str">
        <f t="shared" si="65"/>
        <v>1x LCoS</v>
      </c>
      <c r="M857" s="21" t="s">
        <v>36</v>
      </c>
      <c r="N857" s="21"/>
      <c r="O857" s="27"/>
      <c r="P857" s="20"/>
      <c r="Q857" s="20"/>
      <c r="R857" s="29">
        <f t="shared" si="66"/>
        <v>0</v>
      </c>
      <c r="S857" s="20" t="s">
        <v>36</v>
      </c>
      <c r="T857" s="18"/>
      <c r="U857" s="20">
        <v>1</v>
      </c>
      <c r="V857" s="120">
        <v>0.121</v>
      </c>
      <c r="W857" s="69">
        <f t="shared" si="67"/>
        <v>5.0846369994939451</v>
      </c>
      <c r="X857" s="106">
        <v>42.021793384247481</v>
      </c>
      <c r="Y857" s="72" t="str">
        <f t="shared" si="68"/>
        <v>AR_2028_1x LCoS_Monocular LCoS glasses</v>
      </c>
      <c r="Z857" s="36" t="str">
        <f t="shared" si="69"/>
        <v>AR_2028_1x LCoS</v>
      </c>
    </row>
    <row r="858" spans="3:26">
      <c r="C858" s="17">
        <v>850</v>
      </c>
      <c r="D858" s="109" t="s">
        <v>26</v>
      </c>
      <c r="E858" s="20" t="s">
        <v>185</v>
      </c>
      <c r="F858" s="20" t="s">
        <v>176</v>
      </c>
      <c r="G858" s="21" t="s">
        <v>97</v>
      </c>
      <c r="H858" s="21" t="s">
        <v>111</v>
      </c>
      <c r="I858" s="19" t="s">
        <v>26</v>
      </c>
      <c r="J858" s="19" t="s">
        <v>36</v>
      </c>
      <c r="K858" s="21" t="s">
        <v>15</v>
      </c>
      <c r="L858" s="33" t="str">
        <f t="shared" si="65"/>
        <v>2x LCD</v>
      </c>
      <c r="M858" s="21" t="s">
        <v>36</v>
      </c>
      <c r="N858" s="21" t="s">
        <v>143</v>
      </c>
      <c r="O858" s="27"/>
      <c r="P858" s="20"/>
      <c r="Q858" s="20"/>
      <c r="R858" s="29">
        <f t="shared" si="66"/>
        <v>0</v>
      </c>
      <c r="S858" s="20" t="s">
        <v>36</v>
      </c>
      <c r="T858" s="18" t="s">
        <v>143</v>
      </c>
      <c r="U858" s="20">
        <v>2</v>
      </c>
      <c r="V858" s="120">
        <v>1.76</v>
      </c>
      <c r="W858" s="69">
        <f t="shared" si="67"/>
        <v>56.32</v>
      </c>
      <c r="X858" s="106">
        <v>32</v>
      </c>
      <c r="Y858" s="72" t="str">
        <f t="shared" si="68"/>
        <v>VR_2029_2x LCD_Dual LCD VR headset</v>
      </c>
      <c r="Z858" s="36" t="str">
        <f t="shared" si="69"/>
        <v>VR_2029_2x LCD</v>
      </c>
    </row>
    <row r="859" spans="3:26">
      <c r="C859" s="17">
        <v>851</v>
      </c>
      <c r="D859" s="109" t="s">
        <v>26</v>
      </c>
      <c r="E859" s="20" t="s">
        <v>185</v>
      </c>
      <c r="F859" s="20" t="s">
        <v>176</v>
      </c>
      <c r="G859" s="21" t="s">
        <v>97</v>
      </c>
      <c r="H859" s="21" t="s">
        <v>138</v>
      </c>
      <c r="I859" s="19" t="s">
        <v>26</v>
      </c>
      <c r="J859" s="19" t="s">
        <v>36</v>
      </c>
      <c r="K859" s="21" t="s">
        <v>51</v>
      </c>
      <c r="L859" s="33" t="str">
        <f t="shared" si="65"/>
        <v>2x SiOLED</v>
      </c>
      <c r="M859" s="21" t="s">
        <v>36</v>
      </c>
      <c r="N859" s="21"/>
      <c r="O859" s="27"/>
      <c r="P859" s="20"/>
      <c r="Q859" s="20"/>
      <c r="R859" s="29">
        <f t="shared" si="66"/>
        <v>0</v>
      </c>
      <c r="S859" s="20" t="s">
        <v>36</v>
      </c>
      <c r="T859" s="18"/>
      <c r="U859" s="20">
        <v>2</v>
      </c>
      <c r="V859" s="120">
        <v>1.1000000000000001</v>
      </c>
      <c r="W859" s="69">
        <f t="shared" si="67"/>
        <v>105.82283238912001</v>
      </c>
      <c r="X859" s="106">
        <v>96.202574899200002</v>
      </c>
      <c r="Y859" s="72" t="str">
        <f t="shared" si="68"/>
        <v>VR_2029_2x SiOLED_Dual SiOLED headset</v>
      </c>
      <c r="Z859" s="36" t="str">
        <f t="shared" si="69"/>
        <v>VR_2029_2x SiOLED</v>
      </c>
    </row>
    <row r="860" spans="3:26">
      <c r="C860" s="17">
        <v>852</v>
      </c>
      <c r="D860" s="109" t="s">
        <v>26</v>
      </c>
      <c r="E860" s="20" t="s">
        <v>185</v>
      </c>
      <c r="F860" s="20" t="s">
        <v>176</v>
      </c>
      <c r="G860" s="21" t="s">
        <v>97</v>
      </c>
      <c r="H860" s="21" t="s">
        <v>42</v>
      </c>
      <c r="I860" s="19" t="s">
        <v>26</v>
      </c>
      <c r="J860" s="19" t="s">
        <v>36</v>
      </c>
      <c r="K860" s="21" t="s">
        <v>28</v>
      </c>
      <c r="L860" s="33" t="str">
        <f t="shared" si="65"/>
        <v>2x AMOLED</v>
      </c>
      <c r="M860" s="21" t="s">
        <v>36</v>
      </c>
      <c r="N860" s="21" t="s">
        <v>143</v>
      </c>
      <c r="O860" s="27"/>
      <c r="P860" s="20"/>
      <c r="Q860" s="20"/>
      <c r="R860" s="29">
        <f t="shared" si="66"/>
        <v>0</v>
      </c>
      <c r="S860" s="20" t="s">
        <v>36</v>
      </c>
      <c r="T860" s="18" t="s">
        <v>143</v>
      </c>
      <c r="U860" s="20">
        <v>2</v>
      </c>
      <c r="V860" s="120">
        <v>0.77</v>
      </c>
      <c r="W860" s="69">
        <f t="shared" si="67"/>
        <v>25.274089733198728</v>
      </c>
      <c r="X860" s="106">
        <v>32.82349315999835</v>
      </c>
      <c r="Y860" s="72" t="str">
        <f t="shared" si="68"/>
        <v>VR_2029_2x AMOLED_OLED VR headset</v>
      </c>
      <c r="Z860" s="36" t="str">
        <f t="shared" si="69"/>
        <v>VR_2029_2x AMOLED</v>
      </c>
    </row>
    <row r="861" spans="3:26">
      <c r="C861" s="17">
        <v>853</v>
      </c>
      <c r="D861" s="109" t="s">
        <v>26</v>
      </c>
      <c r="E861" s="20" t="s">
        <v>185</v>
      </c>
      <c r="F861" s="20" t="s">
        <v>176</v>
      </c>
      <c r="G861" s="21" t="s">
        <v>97</v>
      </c>
      <c r="H861" s="21" t="s">
        <v>161</v>
      </c>
      <c r="I861" s="19" t="s">
        <v>26</v>
      </c>
      <c r="J861" s="19" t="s">
        <v>36</v>
      </c>
      <c r="K861" s="21" t="s">
        <v>15</v>
      </c>
      <c r="L861" s="33" t="str">
        <f t="shared" si="65"/>
        <v>1x LCD</v>
      </c>
      <c r="M861" s="21" t="s">
        <v>36</v>
      </c>
      <c r="N861" s="21" t="s">
        <v>143</v>
      </c>
      <c r="O861" s="27"/>
      <c r="P861" s="20"/>
      <c r="Q861" s="20"/>
      <c r="R861" s="29">
        <f t="shared" si="66"/>
        <v>0</v>
      </c>
      <c r="S861" s="20" t="s">
        <v>36</v>
      </c>
      <c r="T861" s="18" t="s">
        <v>143</v>
      </c>
      <c r="U861" s="20">
        <v>1</v>
      </c>
      <c r="V861" s="120">
        <v>0.22</v>
      </c>
      <c r="W861" s="69">
        <f t="shared" si="67"/>
        <v>10.78</v>
      </c>
      <c r="X861" s="106">
        <v>49</v>
      </c>
      <c r="Y861" s="72" t="str">
        <f t="shared" si="68"/>
        <v>VR_2029_1x LCD_Single LCD VR headset</v>
      </c>
      <c r="Z861" s="36" t="str">
        <f t="shared" si="69"/>
        <v>VR_2029_1x LCD</v>
      </c>
    </row>
    <row r="862" spans="3:26">
      <c r="C862" s="17">
        <v>854</v>
      </c>
      <c r="D862" s="109" t="s">
        <v>129</v>
      </c>
      <c r="E862" s="20" t="s">
        <v>185</v>
      </c>
      <c r="F862" s="20" t="s">
        <v>176</v>
      </c>
      <c r="G862" s="21" t="s">
        <v>97</v>
      </c>
      <c r="H862" s="21" t="s">
        <v>123</v>
      </c>
      <c r="I862" s="19" t="s">
        <v>63</v>
      </c>
      <c r="J862" s="19" t="s">
        <v>36</v>
      </c>
      <c r="K862" s="21" t="s">
        <v>120</v>
      </c>
      <c r="L862" s="33" t="str">
        <f t="shared" si="65"/>
        <v>2x MicroLED</v>
      </c>
      <c r="M862" s="21" t="s">
        <v>36</v>
      </c>
      <c r="N862" s="21"/>
      <c r="O862" s="27"/>
      <c r="P862" s="20"/>
      <c r="Q862" s="20"/>
      <c r="R862" s="29">
        <f t="shared" si="66"/>
        <v>0</v>
      </c>
      <c r="S862" s="20" t="s">
        <v>36</v>
      </c>
      <c r="T862" s="18" t="s">
        <v>143</v>
      </c>
      <c r="U862" s="20">
        <v>2</v>
      </c>
      <c r="V862" s="120">
        <v>0.308</v>
      </c>
      <c r="W862" s="69">
        <f t="shared" si="67"/>
        <v>16.015999999999998</v>
      </c>
      <c r="X862" s="106">
        <v>52</v>
      </c>
      <c r="Y862" s="72" t="str">
        <f t="shared" si="68"/>
        <v>AR_2029_2x MicroLED_Binocular MicroLED</v>
      </c>
      <c r="Z862" s="36" t="str">
        <f t="shared" si="69"/>
        <v>AR_2029_2x MicroLED</v>
      </c>
    </row>
    <row r="863" spans="3:26">
      <c r="C863" s="17">
        <v>855</v>
      </c>
      <c r="D863" s="109" t="s">
        <v>129</v>
      </c>
      <c r="E863" s="20" t="s">
        <v>185</v>
      </c>
      <c r="F863" s="20" t="s">
        <v>176</v>
      </c>
      <c r="G863" s="21" t="s">
        <v>97</v>
      </c>
      <c r="H863" s="21" t="s">
        <v>76</v>
      </c>
      <c r="I863" s="19" t="s">
        <v>63</v>
      </c>
      <c r="J863" s="19" t="s">
        <v>36</v>
      </c>
      <c r="K863" s="21" t="s">
        <v>70</v>
      </c>
      <c r="L863" s="33" t="str">
        <f t="shared" si="65"/>
        <v>1x DLP</v>
      </c>
      <c r="M863" s="21" t="s">
        <v>36</v>
      </c>
      <c r="N863" s="21"/>
      <c r="O863" s="27"/>
      <c r="P863" s="20"/>
      <c r="Q863" s="20"/>
      <c r="R863" s="29">
        <f t="shared" si="66"/>
        <v>0</v>
      </c>
      <c r="S863" s="20" t="s">
        <v>36</v>
      </c>
      <c r="T863" s="18" t="s">
        <v>143</v>
      </c>
      <c r="U863" s="20">
        <v>1</v>
      </c>
      <c r="V863" s="120">
        <v>1.1E-4</v>
      </c>
      <c r="W863" s="69">
        <f t="shared" si="67"/>
        <v>8.2500000000000004E-3</v>
      </c>
      <c r="X863" s="106">
        <v>75</v>
      </c>
      <c r="Y863" s="72" t="str">
        <f t="shared" si="68"/>
        <v>AR_2029_1x DLP_DLP glasses</v>
      </c>
      <c r="Z863" s="36" t="str">
        <f t="shared" si="69"/>
        <v>AR_2029_1x DLP</v>
      </c>
    </row>
    <row r="864" spans="3:26">
      <c r="C864" s="17">
        <v>856</v>
      </c>
      <c r="D864" s="109" t="s">
        <v>129</v>
      </c>
      <c r="E864" s="20" t="s">
        <v>185</v>
      </c>
      <c r="F864" s="20" t="s">
        <v>176</v>
      </c>
      <c r="G864" s="21" t="s">
        <v>97</v>
      </c>
      <c r="H864" s="21" t="s">
        <v>75</v>
      </c>
      <c r="I864" s="19" t="s">
        <v>63</v>
      </c>
      <c r="J864" s="19" t="s">
        <v>36</v>
      </c>
      <c r="K864" s="21" t="s">
        <v>67</v>
      </c>
      <c r="L864" s="33" t="str">
        <f t="shared" si="65"/>
        <v>2x LCoS</v>
      </c>
      <c r="M864" s="21" t="s">
        <v>36</v>
      </c>
      <c r="N864" s="21"/>
      <c r="O864" s="27"/>
      <c r="P864" s="20"/>
      <c r="Q864" s="20"/>
      <c r="R864" s="29">
        <f t="shared" si="66"/>
        <v>0</v>
      </c>
      <c r="S864" s="20" t="s">
        <v>36</v>
      </c>
      <c r="T864" s="18" t="s">
        <v>143</v>
      </c>
      <c r="U864" s="20">
        <v>2</v>
      </c>
      <c r="V864" s="120">
        <v>0.26400000000000001</v>
      </c>
      <c r="W864" s="69">
        <f t="shared" si="67"/>
        <v>10.824</v>
      </c>
      <c r="X864" s="106">
        <v>41</v>
      </c>
      <c r="Y864" s="72" t="str">
        <f t="shared" si="68"/>
        <v>AR_2029_2x LCoS_LCoS glasses</v>
      </c>
      <c r="Z864" s="36" t="str">
        <f t="shared" si="69"/>
        <v>AR_2029_2x LCoS</v>
      </c>
    </row>
    <row r="865" spans="3:26">
      <c r="C865" s="17">
        <v>857</v>
      </c>
      <c r="D865" s="109" t="s">
        <v>129</v>
      </c>
      <c r="E865" s="20" t="s">
        <v>185</v>
      </c>
      <c r="F865" s="20" t="s">
        <v>176</v>
      </c>
      <c r="G865" s="21" t="s">
        <v>97</v>
      </c>
      <c r="H865" s="21" t="s">
        <v>121</v>
      </c>
      <c r="I865" s="19" t="s">
        <v>63</v>
      </c>
      <c r="J865" s="19" t="s">
        <v>36</v>
      </c>
      <c r="K865" s="21" t="s">
        <v>120</v>
      </c>
      <c r="L865" s="33" t="str">
        <f t="shared" si="65"/>
        <v>1x MicroLED</v>
      </c>
      <c r="M865" s="21" t="s">
        <v>36</v>
      </c>
      <c r="N865" s="21"/>
      <c r="O865" s="27"/>
      <c r="P865" s="20"/>
      <c r="Q865" s="20"/>
      <c r="R865" s="29">
        <f t="shared" si="66"/>
        <v>0</v>
      </c>
      <c r="S865" s="20" t="s">
        <v>36</v>
      </c>
      <c r="T865" s="18" t="s">
        <v>143</v>
      </c>
      <c r="U865" s="20">
        <v>1</v>
      </c>
      <c r="V865" s="120">
        <v>0.36299999999999999</v>
      </c>
      <c r="W865" s="69">
        <f t="shared" si="67"/>
        <v>18.875999999999998</v>
      </c>
      <c r="X865" s="106">
        <v>52</v>
      </c>
      <c r="Y865" s="72" t="str">
        <f t="shared" si="68"/>
        <v>AR_2029_1x MicroLED_Monocular MicroLED</v>
      </c>
      <c r="Z865" s="36" t="str">
        <f t="shared" si="69"/>
        <v>AR_2029_1x MicroLED</v>
      </c>
    </row>
    <row r="866" spans="3:26">
      <c r="C866" s="17">
        <v>858</v>
      </c>
      <c r="D866" s="109" t="s">
        <v>129</v>
      </c>
      <c r="E866" s="20" t="s">
        <v>185</v>
      </c>
      <c r="F866" s="20" t="s">
        <v>176</v>
      </c>
      <c r="G866" s="21" t="s">
        <v>97</v>
      </c>
      <c r="H866" s="21" t="s">
        <v>79</v>
      </c>
      <c r="I866" s="19" t="s">
        <v>63</v>
      </c>
      <c r="J866" s="19" t="s">
        <v>36</v>
      </c>
      <c r="K866" s="21" t="s">
        <v>51</v>
      </c>
      <c r="L866" s="33" t="str">
        <f t="shared" si="65"/>
        <v>2x SiOLED</v>
      </c>
      <c r="M866" s="21" t="s">
        <v>36</v>
      </c>
      <c r="N866" s="21"/>
      <c r="O866" s="27"/>
      <c r="P866" s="20"/>
      <c r="Q866" s="20"/>
      <c r="R866" s="29">
        <f t="shared" si="66"/>
        <v>0</v>
      </c>
      <c r="S866" s="20" t="s">
        <v>36</v>
      </c>
      <c r="T866" s="18" t="s">
        <v>143</v>
      </c>
      <c r="U866" s="20">
        <v>2</v>
      </c>
      <c r="V866" s="120">
        <v>1.1000000000000001</v>
      </c>
      <c r="W866" s="69">
        <f t="shared" si="67"/>
        <v>53.900000000000006</v>
      </c>
      <c r="X866" s="106">
        <v>49</v>
      </c>
      <c r="Y866" s="72" t="str">
        <f t="shared" si="68"/>
        <v>AR_2029_2x SiOLED_SiOLED glasses</v>
      </c>
      <c r="Z866" s="36" t="str">
        <f t="shared" si="69"/>
        <v>AR_2029_2x SiOLED</v>
      </c>
    </row>
    <row r="867" spans="3:26">
      <c r="C867" s="17">
        <v>859</v>
      </c>
      <c r="D867" s="109" t="s">
        <v>129</v>
      </c>
      <c r="E867" s="20" t="s">
        <v>185</v>
      </c>
      <c r="F867" s="20" t="s">
        <v>176</v>
      </c>
      <c r="G867" s="21" t="s">
        <v>97</v>
      </c>
      <c r="H867" s="21" t="s">
        <v>279</v>
      </c>
      <c r="I867" s="19" t="s">
        <v>63</v>
      </c>
      <c r="J867" s="19" t="s">
        <v>27</v>
      </c>
      <c r="K867" s="21" t="s">
        <v>67</v>
      </c>
      <c r="L867" s="33" t="str">
        <f t="shared" si="65"/>
        <v>1x LCoS</v>
      </c>
      <c r="M867" s="21" t="s">
        <v>36</v>
      </c>
      <c r="N867" s="21"/>
      <c r="O867" s="27"/>
      <c r="P867" s="20"/>
      <c r="Q867" s="20"/>
      <c r="R867" s="29">
        <f t="shared" si="66"/>
        <v>0</v>
      </c>
      <c r="S867" s="20" t="s">
        <v>36</v>
      </c>
      <c r="T867" s="18"/>
      <c r="U867" s="20">
        <v>1</v>
      </c>
      <c r="V867" s="120">
        <v>0.16500000000000001</v>
      </c>
      <c r="W867" s="69">
        <f t="shared" si="67"/>
        <v>6.7650000000000006</v>
      </c>
      <c r="X867" s="106">
        <v>41</v>
      </c>
      <c r="Y867" s="72" t="str">
        <f t="shared" si="68"/>
        <v>AR_2029_1x LCoS_Monocular LCoS glasses</v>
      </c>
      <c r="Z867" s="36" t="str">
        <f t="shared" si="69"/>
        <v>AR_2029_1x LCoS</v>
      </c>
    </row>
    <row r="868" spans="3:26">
      <c r="C868" s="17">
        <v>860</v>
      </c>
      <c r="D868" s="109" t="s">
        <v>26</v>
      </c>
      <c r="E868" s="20" t="s">
        <v>185</v>
      </c>
      <c r="F868" s="20" t="s">
        <v>177</v>
      </c>
      <c r="G868" s="21" t="s">
        <v>97</v>
      </c>
      <c r="H868" s="21" t="s">
        <v>111</v>
      </c>
      <c r="I868" s="19" t="s">
        <v>26</v>
      </c>
      <c r="J868" s="19" t="s">
        <v>36</v>
      </c>
      <c r="K868" s="21" t="s">
        <v>15</v>
      </c>
      <c r="L868" s="33" t="str">
        <f t="shared" si="65"/>
        <v>2x LCD</v>
      </c>
      <c r="M868" s="21" t="s">
        <v>36</v>
      </c>
      <c r="N868" s="21" t="s">
        <v>143</v>
      </c>
      <c r="O868" s="27"/>
      <c r="P868" s="20"/>
      <c r="Q868" s="20"/>
      <c r="R868" s="29">
        <f t="shared" si="66"/>
        <v>0</v>
      </c>
      <c r="S868" s="20" t="s">
        <v>36</v>
      </c>
      <c r="T868" s="18" t="s">
        <v>143</v>
      </c>
      <c r="U868" s="20">
        <v>2</v>
      </c>
      <c r="V868" s="120">
        <v>4.4000000000000004</v>
      </c>
      <c r="W868" s="69">
        <f t="shared" si="67"/>
        <v>140.80000000000001</v>
      </c>
      <c r="X868" s="106">
        <v>32</v>
      </c>
      <c r="Y868" s="72" t="str">
        <f t="shared" si="68"/>
        <v>VR_2029_2x LCD_Dual LCD VR headset</v>
      </c>
      <c r="Z868" s="36" t="str">
        <f t="shared" si="69"/>
        <v>VR_2029_2x LCD</v>
      </c>
    </row>
    <row r="869" spans="3:26">
      <c r="C869" s="17">
        <v>861</v>
      </c>
      <c r="D869" s="109" t="s">
        <v>26</v>
      </c>
      <c r="E869" s="20" t="s">
        <v>185</v>
      </c>
      <c r="F869" s="20" t="s">
        <v>177</v>
      </c>
      <c r="G869" s="21" t="s">
        <v>97</v>
      </c>
      <c r="H869" s="21" t="s">
        <v>138</v>
      </c>
      <c r="I869" s="19" t="s">
        <v>26</v>
      </c>
      <c r="J869" s="19" t="s">
        <v>36</v>
      </c>
      <c r="K869" s="21" t="s">
        <v>51</v>
      </c>
      <c r="L869" s="33" t="str">
        <f t="shared" si="65"/>
        <v>2x SiOLED</v>
      </c>
      <c r="M869" s="21" t="s">
        <v>36</v>
      </c>
      <c r="N869" s="21"/>
      <c r="O869" s="27"/>
      <c r="P869" s="20"/>
      <c r="Q869" s="20"/>
      <c r="R869" s="29">
        <f t="shared" si="66"/>
        <v>0</v>
      </c>
      <c r="S869" s="20" t="s">
        <v>36</v>
      </c>
      <c r="T869" s="18"/>
      <c r="U869" s="20">
        <v>2</v>
      </c>
      <c r="V869" s="120">
        <v>4.84</v>
      </c>
      <c r="W869" s="69">
        <f t="shared" si="67"/>
        <v>465.62046251212797</v>
      </c>
      <c r="X869" s="106">
        <v>96.202574899200002</v>
      </c>
      <c r="Y869" s="72" t="str">
        <f t="shared" si="68"/>
        <v>VR_2029_2x SiOLED_Dual SiOLED headset</v>
      </c>
      <c r="Z869" s="36" t="str">
        <f t="shared" si="69"/>
        <v>VR_2029_2x SiOLED</v>
      </c>
    </row>
    <row r="870" spans="3:26">
      <c r="C870" s="17">
        <v>862</v>
      </c>
      <c r="D870" s="109" t="s">
        <v>26</v>
      </c>
      <c r="E870" s="20" t="s">
        <v>185</v>
      </c>
      <c r="F870" s="20" t="s">
        <v>177</v>
      </c>
      <c r="G870" s="21" t="s">
        <v>97</v>
      </c>
      <c r="H870" s="21" t="s">
        <v>42</v>
      </c>
      <c r="I870" s="19" t="s">
        <v>26</v>
      </c>
      <c r="J870" s="19" t="s">
        <v>36</v>
      </c>
      <c r="K870" s="21" t="s">
        <v>28</v>
      </c>
      <c r="L870" s="33" t="str">
        <f t="shared" si="65"/>
        <v>2x AMOLED</v>
      </c>
      <c r="M870" s="21" t="s">
        <v>36</v>
      </c>
      <c r="N870" s="21" t="s">
        <v>143</v>
      </c>
      <c r="O870" s="27"/>
      <c r="P870" s="20"/>
      <c r="Q870" s="20"/>
      <c r="R870" s="29">
        <f t="shared" si="66"/>
        <v>0</v>
      </c>
      <c r="S870" s="20" t="s">
        <v>36</v>
      </c>
      <c r="T870" s="18" t="s">
        <v>143</v>
      </c>
      <c r="U870" s="20">
        <v>2</v>
      </c>
      <c r="V870" s="120">
        <v>0.77</v>
      </c>
      <c r="W870" s="69">
        <f t="shared" si="67"/>
        <v>25.274089733198728</v>
      </c>
      <c r="X870" s="106">
        <v>32.82349315999835</v>
      </c>
      <c r="Y870" s="72" t="str">
        <f t="shared" si="68"/>
        <v>VR_2029_2x AMOLED_OLED VR headset</v>
      </c>
      <c r="Z870" s="36" t="str">
        <f t="shared" si="69"/>
        <v>VR_2029_2x AMOLED</v>
      </c>
    </row>
    <row r="871" spans="3:26">
      <c r="C871" s="17">
        <v>863</v>
      </c>
      <c r="D871" s="109" t="s">
        <v>26</v>
      </c>
      <c r="E871" s="20" t="s">
        <v>185</v>
      </c>
      <c r="F871" s="20" t="s">
        <v>177</v>
      </c>
      <c r="G871" s="21" t="s">
        <v>97</v>
      </c>
      <c r="H871" s="21" t="s">
        <v>161</v>
      </c>
      <c r="I871" s="19" t="s">
        <v>26</v>
      </c>
      <c r="J871" s="19" t="s">
        <v>36</v>
      </c>
      <c r="K871" s="21" t="s">
        <v>15</v>
      </c>
      <c r="L871" s="33" t="str">
        <f t="shared" si="65"/>
        <v>1x LCD</v>
      </c>
      <c r="M871" s="21" t="s">
        <v>36</v>
      </c>
      <c r="N871" s="21" t="s">
        <v>143</v>
      </c>
      <c r="O871" s="27"/>
      <c r="P871" s="20"/>
      <c r="Q871" s="20"/>
      <c r="R871" s="29">
        <f t="shared" si="66"/>
        <v>0</v>
      </c>
      <c r="S871" s="20" t="s">
        <v>36</v>
      </c>
      <c r="T871" s="18" t="s">
        <v>143</v>
      </c>
      <c r="U871" s="20">
        <v>1</v>
      </c>
      <c r="V871" s="120">
        <v>0.22</v>
      </c>
      <c r="W871" s="69">
        <f t="shared" si="67"/>
        <v>10.78</v>
      </c>
      <c r="X871" s="106">
        <v>49</v>
      </c>
      <c r="Y871" s="72" t="str">
        <f t="shared" si="68"/>
        <v>VR_2029_1x LCD_Single LCD VR headset</v>
      </c>
      <c r="Z871" s="36" t="str">
        <f t="shared" si="69"/>
        <v>VR_2029_1x LCD</v>
      </c>
    </row>
    <row r="872" spans="3:26">
      <c r="C872" s="17">
        <v>864</v>
      </c>
      <c r="D872" s="109" t="s">
        <v>129</v>
      </c>
      <c r="E872" s="20" t="s">
        <v>185</v>
      </c>
      <c r="F872" s="20" t="s">
        <v>177</v>
      </c>
      <c r="G872" s="21" t="s">
        <v>97</v>
      </c>
      <c r="H872" s="21" t="s">
        <v>123</v>
      </c>
      <c r="I872" s="19" t="s">
        <v>63</v>
      </c>
      <c r="J872" s="19" t="s">
        <v>36</v>
      </c>
      <c r="K872" s="21" t="s">
        <v>120</v>
      </c>
      <c r="L872" s="33" t="str">
        <f t="shared" si="65"/>
        <v>2x MicroLED</v>
      </c>
      <c r="M872" s="21" t="s">
        <v>36</v>
      </c>
      <c r="N872" s="21"/>
      <c r="O872" s="27"/>
      <c r="P872" s="20"/>
      <c r="Q872" s="20"/>
      <c r="R872" s="29">
        <f t="shared" si="66"/>
        <v>0</v>
      </c>
      <c r="S872" s="20" t="s">
        <v>36</v>
      </c>
      <c r="T872" s="18" t="s">
        <v>143</v>
      </c>
      <c r="U872" s="20">
        <v>2</v>
      </c>
      <c r="V872" s="120">
        <v>0.374</v>
      </c>
      <c r="W872" s="69">
        <f t="shared" si="67"/>
        <v>19.448</v>
      </c>
      <c r="X872" s="106">
        <v>52</v>
      </c>
      <c r="Y872" s="72" t="str">
        <f t="shared" si="68"/>
        <v>AR_2029_2x MicroLED_Binocular MicroLED</v>
      </c>
      <c r="Z872" s="36" t="str">
        <f t="shared" si="69"/>
        <v>AR_2029_2x MicroLED</v>
      </c>
    </row>
    <row r="873" spans="3:26">
      <c r="C873" s="17">
        <v>865</v>
      </c>
      <c r="D873" s="109" t="s">
        <v>129</v>
      </c>
      <c r="E873" s="20" t="s">
        <v>185</v>
      </c>
      <c r="F873" s="20" t="s">
        <v>177</v>
      </c>
      <c r="G873" s="21" t="s">
        <v>97</v>
      </c>
      <c r="H873" s="21" t="s">
        <v>76</v>
      </c>
      <c r="I873" s="19" t="s">
        <v>63</v>
      </c>
      <c r="J873" s="19" t="s">
        <v>36</v>
      </c>
      <c r="K873" s="21" t="s">
        <v>70</v>
      </c>
      <c r="L873" s="33" t="str">
        <f t="shared" si="65"/>
        <v>1x DLP</v>
      </c>
      <c r="M873" s="21" t="s">
        <v>36</v>
      </c>
      <c r="N873" s="21"/>
      <c r="O873" s="27"/>
      <c r="P873" s="20"/>
      <c r="Q873" s="20"/>
      <c r="R873" s="29">
        <f t="shared" si="66"/>
        <v>0</v>
      </c>
      <c r="S873" s="20" t="s">
        <v>36</v>
      </c>
      <c r="T873" s="18" t="s">
        <v>143</v>
      </c>
      <c r="U873" s="20">
        <v>1</v>
      </c>
      <c r="V873" s="120">
        <v>1.1E-4</v>
      </c>
      <c r="W873" s="69">
        <f t="shared" si="67"/>
        <v>8.2500000000000004E-3</v>
      </c>
      <c r="X873" s="106">
        <v>75</v>
      </c>
      <c r="Y873" s="72" t="str">
        <f t="shared" si="68"/>
        <v>AR_2029_1x DLP_DLP glasses</v>
      </c>
      <c r="Z873" s="36" t="str">
        <f t="shared" si="69"/>
        <v>AR_2029_1x DLP</v>
      </c>
    </row>
    <row r="874" spans="3:26">
      <c r="C874" s="17">
        <v>866</v>
      </c>
      <c r="D874" s="109" t="s">
        <v>129</v>
      </c>
      <c r="E874" s="20" t="s">
        <v>185</v>
      </c>
      <c r="F874" s="20" t="s">
        <v>177</v>
      </c>
      <c r="G874" s="21" t="s">
        <v>97</v>
      </c>
      <c r="H874" s="21" t="s">
        <v>75</v>
      </c>
      <c r="I874" s="19" t="s">
        <v>63</v>
      </c>
      <c r="J874" s="19" t="s">
        <v>36</v>
      </c>
      <c r="K874" s="21" t="s">
        <v>67</v>
      </c>
      <c r="L874" s="33" t="str">
        <f t="shared" si="65"/>
        <v>2x LCoS</v>
      </c>
      <c r="M874" s="21" t="s">
        <v>36</v>
      </c>
      <c r="N874" s="21"/>
      <c r="O874" s="27"/>
      <c r="P874" s="20"/>
      <c r="Q874" s="20"/>
      <c r="R874" s="29">
        <f t="shared" si="66"/>
        <v>0</v>
      </c>
      <c r="S874" s="20" t="s">
        <v>36</v>
      </c>
      <c r="T874" s="18" t="s">
        <v>143</v>
      </c>
      <c r="U874" s="20">
        <v>2</v>
      </c>
      <c r="V874" s="120">
        <v>0.44</v>
      </c>
      <c r="W874" s="69">
        <f t="shared" si="67"/>
        <v>18.04</v>
      </c>
      <c r="X874" s="106">
        <v>41</v>
      </c>
      <c r="Y874" s="72" t="str">
        <f t="shared" si="68"/>
        <v>AR_2029_2x LCoS_LCoS glasses</v>
      </c>
      <c r="Z874" s="36" t="str">
        <f t="shared" si="69"/>
        <v>AR_2029_2x LCoS</v>
      </c>
    </row>
    <row r="875" spans="3:26">
      <c r="C875" s="17">
        <v>867</v>
      </c>
      <c r="D875" s="109" t="s">
        <v>129</v>
      </c>
      <c r="E875" s="20" t="s">
        <v>185</v>
      </c>
      <c r="F875" s="20" t="s">
        <v>177</v>
      </c>
      <c r="G875" s="21" t="s">
        <v>97</v>
      </c>
      <c r="H875" s="21" t="s">
        <v>121</v>
      </c>
      <c r="I875" s="19" t="s">
        <v>63</v>
      </c>
      <c r="J875" s="19" t="s">
        <v>36</v>
      </c>
      <c r="K875" s="21" t="s">
        <v>120</v>
      </c>
      <c r="L875" s="33" t="str">
        <f t="shared" si="65"/>
        <v>1x MicroLED</v>
      </c>
      <c r="M875" s="21" t="s">
        <v>36</v>
      </c>
      <c r="N875" s="21"/>
      <c r="O875" s="27"/>
      <c r="P875" s="20"/>
      <c r="Q875" s="20"/>
      <c r="R875" s="29">
        <f t="shared" si="66"/>
        <v>0</v>
      </c>
      <c r="S875" s="20" t="s">
        <v>36</v>
      </c>
      <c r="T875" s="18" t="s">
        <v>143</v>
      </c>
      <c r="U875" s="20">
        <v>1</v>
      </c>
      <c r="V875" s="120">
        <v>0.44</v>
      </c>
      <c r="W875" s="69">
        <f t="shared" si="67"/>
        <v>22.88</v>
      </c>
      <c r="X875" s="106">
        <v>52</v>
      </c>
      <c r="Y875" s="72" t="str">
        <f t="shared" si="68"/>
        <v>AR_2029_1x MicroLED_Monocular MicroLED</v>
      </c>
      <c r="Z875" s="36" t="str">
        <f t="shared" si="69"/>
        <v>AR_2029_1x MicroLED</v>
      </c>
    </row>
    <row r="876" spans="3:26">
      <c r="C876" s="17">
        <v>868</v>
      </c>
      <c r="D876" s="109" t="s">
        <v>129</v>
      </c>
      <c r="E876" s="20" t="s">
        <v>185</v>
      </c>
      <c r="F876" s="20" t="s">
        <v>177</v>
      </c>
      <c r="G876" s="21" t="s">
        <v>97</v>
      </c>
      <c r="H876" s="21" t="s">
        <v>79</v>
      </c>
      <c r="I876" s="19" t="s">
        <v>63</v>
      </c>
      <c r="J876" s="19" t="s">
        <v>36</v>
      </c>
      <c r="K876" s="21" t="s">
        <v>51</v>
      </c>
      <c r="L876" s="33" t="str">
        <f t="shared" si="65"/>
        <v>2x SiOLED</v>
      </c>
      <c r="M876" s="21" t="s">
        <v>36</v>
      </c>
      <c r="N876" s="21"/>
      <c r="O876" s="27"/>
      <c r="P876" s="20"/>
      <c r="Q876" s="20"/>
      <c r="R876" s="29">
        <f t="shared" si="66"/>
        <v>0</v>
      </c>
      <c r="S876" s="20" t="s">
        <v>36</v>
      </c>
      <c r="T876" s="18" t="s">
        <v>143</v>
      </c>
      <c r="U876" s="20">
        <v>2</v>
      </c>
      <c r="V876" s="120">
        <v>1.5620000000000001</v>
      </c>
      <c r="W876" s="69">
        <f t="shared" si="67"/>
        <v>76.537999999999997</v>
      </c>
      <c r="X876" s="106">
        <v>49</v>
      </c>
      <c r="Y876" s="72" t="str">
        <f t="shared" si="68"/>
        <v>AR_2029_2x SiOLED_SiOLED glasses</v>
      </c>
      <c r="Z876" s="36" t="str">
        <f t="shared" si="69"/>
        <v>AR_2029_2x SiOLED</v>
      </c>
    </row>
    <row r="877" spans="3:26">
      <c r="C877" s="17">
        <v>869</v>
      </c>
      <c r="D877" s="109" t="s">
        <v>129</v>
      </c>
      <c r="E877" s="20" t="s">
        <v>185</v>
      </c>
      <c r="F877" s="20" t="s">
        <v>177</v>
      </c>
      <c r="G877" s="21" t="s">
        <v>97</v>
      </c>
      <c r="H877" s="21" t="s">
        <v>279</v>
      </c>
      <c r="I877" s="19" t="s">
        <v>63</v>
      </c>
      <c r="J877" s="19" t="s">
        <v>27</v>
      </c>
      <c r="K877" s="21" t="s">
        <v>67</v>
      </c>
      <c r="L877" s="33" t="str">
        <f t="shared" si="65"/>
        <v>1x LCoS</v>
      </c>
      <c r="M877" s="21" t="s">
        <v>36</v>
      </c>
      <c r="N877" s="21"/>
      <c r="O877" s="27"/>
      <c r="P877" s="20"/>
      <c r="Q877" s="20"/>
      <c r="R877" s="29">
        <f t="shared" si="66"/>
        <v>0</v>
      </c>
      <c r="S877" s="20" t="s">
        <v>36</v>
      </c>
      <c r="T877" s="18"/>
      <c r="U877" s="20">
        <v>1</v>
      </c>
      <c r="V877" s="120">
        <v>0.33</v>
      </c>
      <c r="W877" s="69">
        <f t="shared" si="67"/>
        <v>13.530000000000001</v>
      </c>
      <c r="X877" s="106">
        <v>41</v>
      </c>
      <c r="Y877" s="72" t="str">
        <f t="shared" si="68"/>
        <v>AR_2029_1x LCoS_Monocular LCoS glasses</v>
      </c>
      <c r="Z877" s="36" t="str">
        <f t="shared" si="69"/>
        <v>AR_2029_1x LCoS</v>
      </c>
    </row>
    <row r="878" spans="3:26">
      <c r="C878" s="17">
        <v>870</v>
      </c>
      <c r="D878" s="109" t="s">
        <v>26</v>
      </c>
      <c r="E878" s="20" t="s">
        <v>185</v>
      </c>
      <c r="F878" s="20" t="s">
        <v>179</v>
      </c>
      <c r="G878" s="21" t="s">
        <v>97</v>
      </c>
      <c r="H878" s="21" t="s">
        <v>111</v>
      </c>
      <c r="I878" s="19" t="s">
        <v>26</v>
      </c>
      <c r="J878" s="19" t="s">
        <v>36</v>
      </c>
      <c r="K878" s="21" t="s">
        <v>15</v>
      </c>
      <c r="L878" s="33" t="str">
        <f t="shared" si="65"/>
        <v>2x LCD</v>
      </c>
      <c r="M878" s="21" t="s">
        <v>36</v>
      </c>
      <c r="N878" s="21" t="s">
        <v>143</v>
      </c>
      <c r="O878" s="27"/>
      <c r="P878" s="20"/>
      <c r="Q878" s="20"/>
      <c r="R878" s="29">
        <f t="shared" si="66"/>
        <v>0</v>
      </c>
      <c r="S878" s="20" t="s">
        <v>36</v>
      </c>
      <c r="T878" s="18" t="s">
        <v>143</v>
      </c>
      <c r="U878" s="20">
        <v>2</v>
      </c>
      <c r="V878" s="120">
        <v>1.76</v>
      </c>
      <c r="W878" s="69">
        <f t="shared" si="67"/>
        <v>56.32</v>
      </c>
      <c r="X878" s="106">
        <v>32</v>
      </c>
      <c r="Y878" s="72" t="str">
        <f t="shared" si="68"/>
        <v>VR_2029_2x LCD_Dual LCD VR headset</v>
      </c>
      <c r="Z878" s="36" t="str">
        <f t="shared" si="69"/>
        <v>VR_2029_2x LCD</v>
      </c>
    </row>
    <row r="879" spans="3:26">
      <c r="C879" s="17">
        <v>871</v>
      </c>
      <c r="D879" s="109" t="s">
        <v>26</v>
      </c>
      <c r="E879" s="20" t="s">
        <v>185</v>
      </c>
      <c r="F879" s="20" t="s">
        <v>179</v>
      </c>
      <c r="G879" s="21" t="s">
        <v>97</v>
      </c>
      <c r="H879" s="21" t="s">
        <v>138</v>
      </c>
      <c r="I879" s="19" t="s">
        <v>26</v>
      </c>
      <c r="J879" s="19" t="s">
        <v>36</v>
      </c>
      <c r="K879" s="21" t="s">
        <v>51</v>
      </c>
      <c r="L879" s="33" t="str">
        <f t="shared" si="65"/>
        <v>2x SiOLED</v>
      </c>
      <c r="M879" s="21" t="s">
        <v>36</v>
      </c>
      <c r="N879" s="21"/>
      <c r="O879" s="27"/>
      <c r="P879" s="20"/>
      <c r="Q879" s="20"/>
      <c r="R879" s="29">
        <f t="shared" si="66"/>
        <v>0</v>
      </c>
      <c r="S879" s="20" t="s">
        <v>36</v>
      </c>
      <c r="T879" s="18"/>
      <c r="U879" s="20">
        <v>2</v>
      </c>
      <c r="V879" s="120">
        <v>1.76</v>
      </c>
      <c r="W879" s="69">
        <f t="shared" si="67"/>
        <v>169.316531822592</v>
      </c>
      <c r="X879" s="106">
        <v>96.202574899200002</v>
      </c>
      <c r="Y879" s="72" t="str">
        <f t="shared" si="68"/>
        <v>VR_2029_2x SiOLED_Dual SiOLED headset</v>
      </c>
      <c r="Z879" s="36" t="str">
        <f t="shared" si="69"/>
        <v>VR_2029_2x SiOLED</v>
      </c>
    </row>
    <row r="880" spans="3:26">
      <c r="C880" s="17">
        <v>872</v>
      </c>
      <c r="D880" s="109" t="s">
        <v>26</v>
      </c>
      <c r="E880" s="20" t="s">
        <v>185</v>
      </c>
      <c r="F880" s="20" t="s">
        <v>179</v>
      </c>
      <c r="G880" s="21" t="s">
        <v>97</v>
      </c>
      <c r="H880" s="21" t="s">
        <v>42</v>
      </c>
      <c r="I880" s="19" t="s">
        <v>26</v>
      </c>
      <c r="J880" s="19" t="s">
        <v>36</v>
      </c>
      <c r="K880" s="21" t="s">
        <v>28</v>
      </c>
      <c r="L880" s="33" t="str">
        <f t="shared" si="65"/>
        <v>2x AMOLED</v>
      </c>
      <c r="M880" s="21" t="s">
        <v>36</v>
      </c>
      <c r="N880" s="21" t="s">
        <v>143</v>
      </c>
      <c r="O880" s="27"/>
      <c r="P880" s="20"/>
      <c r="Q880" s="20"/>
      <c r="R880" s="29">
        <f t="shared" si="66"/>
        <v>0</v>
      </c>
      <c r="S880" s="20" t="s">
        <v>36</v>
      </c>
      <c r="T880" s="18" t="s">
        <v>143</v>
      </c>
      <c r="U880" s="20">
        <v>2</v>
      </c>
      <c r="V880" s="120">
        <v>0.66</v>
      </c>
      <c r="W880" s="69">
        <f t="shared" si="67"/>
        <v>21.663505485598911</v>
      </c>
      <c r="X880" s="106">
        <v>32.82349315999835</v>
      </c>
      <c r="Y880" s="72" t="str">
        <f t="shared" si="68"/>
        <v>VR_2029_2x AMOLED_OLED VR headset</v>
      </c>
      <c r="Z880" s="36" t="str">
        <f t="shared" si="69"/>
        <v>VR_2029_2x AMOLED</v>
      </c>
    </row>
    <row r="881" spans="3:26">
      <c r="C881" s="17">
        <v>873</v>
      </c>
      <c r="D881" s="109" t="s">
        <v>26</v>
      </c>
      <c r="E881" s="20" t="s">
        <v>185</v>
      </c>
      <c r="F881" s="20" t="s">
        <v>179</v>
      </c>
      <c r="G881" s="21" t="s">
        <v>97</v>
      </c>
      <c r="H881" s="21" t="s">
        <v>161</v>
      </c>
      <c r="I881" s="19" t="s">
        <v>26</v>
      </c>
      <c r="J881" s="19" t="s">
        <v>36</v>
      </c>
      <c r="K881" s="21" t="s">
        <v>15</v>
      </c>
      <c r="L881" s="33" t="str">
        <f t="shared" si="65"/>
        <v>1x LCD</v>
      </c>
      <c r="M881" s="21" t="s">
        <v>36</v>
      </c>
      <c r="N881" s="21" t="s">
        <v>143</v>
      </c>
      <c r="O881" s="27"/>
      <c r="P881" s="20"/>
      <c r="Q881" s="20"/>
      <c r="R881" s="29">
        <f t="shared" si="66"/>
        <v>0</v>
      </c>
      <c r="S881" s="20" t="s">
        <v>36</v>
      </c>
      <c r="T881" s="18" t="s">
        <v>143</v>
      </c>
      <c r="U881" s="20">
        <v>1</v>
      </c>
      <c r="V881" s="120">
        <v>0.22</v>
      </c>
      <c r="W881" s="69">
        <f t="shared" si="67"/>
        <v>10.78</v>
      </c>
      <c r="X881" s="106">
        <v>49</v>
      </c>
      <c r="Y881" s="72" t="str">
        <f t="shared" si="68"/>
        <v>VR_2029_1x LCD_Single LCD VR headset</v>
      </c>
      <c r="Z881" s="36" t="str">
        <f t="shared" si="69"/>
        <v>VR_2029_1x LCD</v>
      </c>
    </row>
    <row r="882" spans="3:26">
      <c r="C882" s="17">
        <v>874</v>
      </c>
      <c r="D882" s="109" t="s">
        <v>129</v>
      </c>
      <c r="E882" s="20" t="s">
        <v>185</v>
      </c>
      <c r="F882" s="20" t="s">
        <v>179</v>
      </c>
      <c r="G882" s="21" t="s">
        <v>97</v>
      </c>
      <c r="H882" s="21" t="s">
        <v>123</v>
      </c>
      <c r="I882" s="19" t="s">
        <v>63</v>
      </c>
      <c r="J882" s="19" t="s">
        <v>36</v>
      </c>
      <c r="K882" s="21" t="s">
        <v>120</v>
      </c>
      <c r="L882" s="33" t="str">
        <f t="shared" si="65"/>
        <v>2x MicroLED</v>
      </c>
      <c r="M882" s="21" t="s">
        <v>36</v>
      </c>
      <c r="N882" s="21"/>
      <c r="O882" s="27"/>
      <c r="P882" s="20"/>
      <c r="Q882" s="20"/>
      <c r="R882" s="29">
        <f t="shared" si="66"/>
        <v>0</v>
      </c>
      <c r="S882" s="20" t="s">
        <v>36</v>
      </c>
      <c r="T882" s="18" t="s">
        <v>143</v>
      </c>
      <c r="U882" s="20">
        <v>2</v>
      </c>
      <c r="V882" s="120">
        <v>0.27500000000000002</v>
      </c>
      <c r="W882" s="69">
        <f t="shared" si="67"/>
        <v>14.3</v>
      </c>
      <c r="X882" s="106">
        <v>52</v>
      </c>
      <c r="Y882" s="72" t="str">
        <f t="shared" si="68"/>
        <v>AR_2029_2x MicroLED_Binocular MicroLED</v>
      </c>
      <c r="Z882" s="36" t="str">
        <f t="shared" si="69"/>
        <v>AR_2029_2x MicroLED</v>
      </c>
    </row>
    <row r="883" spans="3:26">
      <c r="C883" s="17">
        <v>875</v>
      </c>
      <c r="D883" s="109" t="s">
        <v>129</v>
      </c>
      <c r="E883" s="20" t="s">
        <v>185</v>
      </c>
      <c r="F883" s="20" t="s">
        <v>179</v>
      </c>
      <c r="G883" s="21" t="s">
        <v>97</v>
      </c>
      <c r="H883" s="21" t="s">
        <v>76</v>
      </c>
      <c r="I883" s="19" t="s">
        <v>63</v>
      </c>
      <c r="J883" s="19" t="s">
        <v>36</v>
      </c>
      <c r="K883" s="21" t="s">
        <v>70</v>
      </c>
      <c r="L883" s="33" t="str">
        <f t="shared" si="65"/>
        <v>1x DLP</v>
      </c>
      <c r="M883" s="21" t="s">
        <v>36</v>
      </c>
      <c r="N883" s="21"/>
      <c r="O883" s="27"/>
      <c r="P883" s="20"/>
      <c r="Q883" s="20"/>
      <c r="R883" s="29">
        <f t="shared" si="66"/>
        <v>0</v>
      </c>
      <c r="S883" s="20" t="s">
        <v>36</v>
      </c>
      <c r="T883" s="18" t="s">
        <v>143</v>
      </c>
      <c r="U883" s="20">
        <v>1</v>
      </c>
      <c r="V883" s="120">
        <v>1.1E-4</v>
      </c>
      <c r="W883" s="69">
        <f t="shared" si="67"/>
        <v>8.2500000000000004E-3</v>
      </c>
      <c r="X883" s="106">
        <v>75</v>
      </c>
      <c r="Y883" s="72" t="str">
        <f t="shared" si="68"/>
        <v>AR_2029_1x DLP_DLP glasses</v>
      </c>
      <c r="Z883" s="36" t="str">
        <f t="shared" si="69"/>
        <v>AR_2029_1x DLP</v>
      </c>
    </row>
    <row r="884" spans="3:26">
      <c r="C884" s="17">
        <v>876</v>
      </c>
      <c r="D884" s="109" t="s">
        <v>129</v>
      </c>
      <c r="E884" s="20" t="s">
        <v>185</v>
      </c>
      <c r="F884" s="20" t="s">
        <v>179</v>
      </c>
      <c r="G884" s="21" t="s">
        <v>97</v>
      </c>
      <c r="H884" s="21" t="s">
        <v>75</v>
      </c>
      <c r="I884" s="19" t="s">
        <v>63</v>
      </c>
      <c r="J884" s="19" t="s">
        <v>36</v>
      </c>
      <c r="K884" s="21" t="s">
        <v>67</v>
      </c>
      <c r="L884" s="33" t="str">
        <f t="shared" si="65"/>
        <v>2x LCoS</v>
      </c>
      <c r="M884" s="21" t="s">
        <v>36</v>
      </c>
      <c r="N884" s="21"/>
      <c r="O884" s="27"/>
      <c r="P884" s="20"/>
      <c r="Q884" s="20"/>
      <c r="R884" s="29">
        <f t="shared" si="66"/>
        <v>0</v>
      </c>
      <c r="S884" s="20" t="s">
        <v>36</v>
      </c>
      <c r="T884" s="18" t="s">
        <v>143</v>
      </c>
      <c r="U884" s="20">
        <v>2</v>
      </c>
      <c r="V884" s="120">
        <v>0.26400000000000001</v>
      </c>
      <c r="W884" s="69">
        <f t="shared" si="67"/>
        <v>10.824</v>
      </c>
      <c r="X884" s="106">
        <v>41</v>
      </c>
      <c r="Y884" s="72" t="str">
        <f t="shared" si="68"/>
        <v>AR_2029_2x LCoS_LCoS glasses</v>
      </c>
      <c r="Z884" s="36" t="str">
        <f t="shared" si="69"/>
        <v>AR_2029_2x LCoS</v>
      </c>
    </row>
    <row r="885" spans="3:26">
      <c r="C885" s="17">
        <v>877</v>
      </c>
      <c r="D885" s="109" t="s">
        <v>129</v>
      </c>
      <c r="E885" s="20" t="s">
        <v>185</v>
      </c>
      <c r="F885" s="20" t="s">
        <v>179</v>
      </c>
      <c r="G885" s="21" t="s">
        <v>97</v>
      </c>
      <c r="H885" s="21" t="s">
        <v>121</v>
      </c>
      <c r="I885" s="19" t="s">
        <v>63</v>
      </c>
      <c r="J885" s="19" t="s">
        <v>36</v>
      </c>
      <c r="K885" s="21" t="s">
        <v>120</v>
      </c>
      <c r="L885" s="33" t="str">
        <f t="shared" si="65"/>
        <v>1x MicroLED</v>
      </c>
      <c r="M885" s="21" t="s">
        <v>36</v>
      </c>
      <c r="N885" s="21"/>
      <c r="O885" s="27"/>
      <c r="P885" s="20"/>
      <c r="Q885" s="20"/>
      <c r="R885" s="29">
        <f t="shared" si="66"/>
        <v>0</v>
      </c>
      <c r="S885" s="20" t="s">
        <v>36</v>
      </c>
      <c r="T885" s="18" t="s">
        <v>143</v>
      </c>
      <c r="U885" s="20">
        <v>1</v>
      </c>
      <c r="V885" s="120">
        <v>0.27500000000000002</v>
      </c>
      <c r="W885" s="69">
        <f t="shared" si="67"/>
        <v>14.3</v>
      </c>
      <c r="X885" s="106">
        <v>52</v>
      </c>
      <c r="Y885" s="72" t="str">
        <f t="shared" si="68"/>
        <v>AR_2029_1x MicroLED_Monocular MicroLED</v>
      </c>
      <c r="Z885" s="36" t="str">
        <f t="shared" si="69"/>
        <v>AR_2029_1x MicroLED</v>
      </c>
    </row>
    <row r="886" spans="3:26">
      <c r="C886" s="17">
        <v>878</v>
      </c>
      <c r="D886" s="109" t="s">
        <v>129</v>
      </c>
      <c r="E886" s="20" t="s">
        <v>185</v>
      </c>
      <c r="F886" s="20" t="s">
        <v>179</v>
      </c>
      <c r="G886" s="21" t="s">
        <v>97</v>
      </c>
      <c r="H886" s="21" t="s">
        <v>79</v>
      </c>
      <c r="I886" s="19" t="s">
        <v>63</v>
      </c>
      <c r="J886" s="19" t="s">
        <v>36</v>
      </c>
      <c r="K886" s="21" t="s">
        <v>51</v>
      </c>
      <c r="L886" s="33" t="str">
        <f t="shared" si="65"/>
        <v>2x SiOLED</v>
      </c>
      <c r="M886" s="21" t="s">
        <v>36</v>
      </c>
      <c r="N886" s="21"/>
      <c r="O886" s="27"/>
      <c r="P886" s="20"/>
      <c r="Q886" s="20"/>
      <c r="R886" s="29">
        <f t="shared" si="66"/>
        <v>0</v>
      </c>
      <c r="S886" s="20" t="s">
        <v>36</v>
      </c>
      <c r="T886" s="18" t="s">
        <v>143</v>
      </c>
      <c r="U886" s="20">
        <v>2</v>
      </c>
      <c r="V886" s="120">
        <v>0.88</v>
      </c>
      <c r="W886" s="69">
        <f t="shared" si="67"/>
        <v>43.12</v>
      </c>
      <c r="X886" s="106">
        <v>49</v>
      </c>
      <c r="Y886" s="72" t="str">
        <f t="shared" si="68"/>
        <v>AR_2029_2x SiOLED_SiOLED glasses</v>
      </c>
      <c r="Z886" s="36" t="str">
        <f t="shared" si="69"/>
        <v>AR_2029_2x SiOLED</v>
      </c>
    </row>
    <row r="887" spans="3:26">
      <c r="C887" s="17">
        <v>879</v>
      </c>
      <c r="D887" s="109" t="s">
        <v>129</v>
      </c>
      <c r="E887" s="20" t="s">
        <v>185</v>
      </c>
      <c r="F887" s="20" t="s">
        <v>179</v>
      </c>
      <c r="G887" s="21" t="s">
        <v>97</v>
      </c>
      <c r="H887" s="21" t="s">
        <v>279</v>
      </c>
      <c r="I887" s="19" t="s">
        <v>63</v>
      </c>
      <c r="J887" s="19" t="s">
        <v>27</v>
      </c>
      <c r="K887" s="21" t="s">
        <v>67</v>
      </c>
      <c r="L887" s="33" t="str">
        <f t="shared" si="65"/>
        <v>1x LCoS</v>
      </c>
      <c r="M887" s="21" t="s">
        <v>36</v>
      </c>
      <c r="N887" s="21"/>
      <c r="O887" s="27"/>
      <c r="P887" s="20"/>
      <c r="Q887" s="20"/>
      <c r="R887" s="29">
        <f t="shared" si="66"/>
        <v>0</v>
      </c>
      <c r="S887" s="20" t="s">
        <v>36</v>
      </c>
      <c r="T887" s="18"/>
      <c r="U887" s="20">
        <v>1</v>
      </c>
      <c r="V887" s="120">
        <v>0.16500000000000001</v>
      </c>
      <c r="W887" s="69">
        <f t="shared" si="67"/>
        <v>6.7650000000000006</v>
      </c>
      <c r="X887" s="106">
        <v>41</v>
      </c>
      <c r="Y887" s="72" t="str">
        <f t="shared" si="68"/>
        <v>AR_2029_1x LCoS_Monocular LCoS glasses</v>
      </c>
      <c r="Z887" s="36" t="str">
        <f t="shared" si="69"/>
        <v>AR_2029_1x LCoS</v>
      </c>
    </row>
    <row r="888" spans="3:26">
      <c r="C888" s="17">
        <v>880</v>
      </c>
      <c r="D888" s="109" t="s">
        <v>26</v>
      </c>
      <c r="E888" s="20" t="s">
        <v>185</v>
      </c>
      <c r="F888" s="20" t="s">
        <v>182</v>
      </c>
      <c r="G888" s="21" t="s">
        <v>97</v>
      </c>
      <c r="H888" s="21" t="s">
        <v>111</v>
      </c>
      <c r="I888" s="19" t="s">
        <v>26</v>
      </c>
      <c r="J888" s="19" t="s">
        <v>36</v>
      </c>
      <c r="K888" s="21" t="s">
        <v>15</v>
      </c>
      <c r="L888" s="33" t="str">
        <f t="shared" si="65"/>
        <v>2x LCD</v>
      </c>
      <c r="M888" s="21" t="s">
        <v>36</v>
      </c>
      <c r="N888" s="21" t="s">
        <v>143</v>
      </c>
      <c r="O888" s="27"/>
      <c r="P888" s="20"/>
      <c r="Q888" s="20"/>
      <c r="R888" s="29">
        <f t="shared" si="66"/>
        <v>0</v>
      </c>
      <c r="S888" s="20" t="s">
        <v>36</v>
      </c>
      <c r="T888" s="18" t="s">
        <v>143</v>
      </c>
      <c r="U888" s="20">
        <v>2</v>
      </c>
      <c r="V888" s="120">
        <v>1.76</v>
      </c>
      <c r="W888" s="69">
        <f t="shared" si="67"/>
        <v>56.32</v>
      </c>
      <c r="X888" s="106">
        <v>32</v>
      </c>
      <c r="Y888" s="72" t="str">
        <f t="shared" si="68"/>
        <v>VR_2029_2x LCD_Dual LCD VR headset</v>
      </c>
      <c r="Z888" s="36" t="str">
        <f t="shared" si="69"/>
        <v>VR_2029_2x LCD</v>
      </c>
    </row>
    <row r="889" spans="3:26">
      <c r="C889" s="17">
        <v>881</v>
      </c>
      <c r="D889" s="109" t="s">
        <v>26</v>
      </c>
      <c r="E889" s="20" t="s">
        <v>185</v>
      </c>
      <c r="F889" s="20" t="s">
        <v>182</v>
      </c>
      <c r="G889" s="21" t="s">
        <v>97</v>
      </c>
      <c r="H889" s="21" t="s">
        <v>138</v>
      </c>
      <c r="I889" s="19" t="s">
        <v>26</v>
      </c>
      <c r="J889" s="19" t="s">
        <v>36</v>
      </c>
      <c r="K889" s="21" t="s">
        <v>51</v>
      </c>
      <c r="L889" s="33" t="str">
        <f t="shared" si="65"/>
        <v>2x SiOLED</v>
      </c>
      <c r="M889" s="21" t="s">
        <v>36</v>
      </c>
      <c r="N889" s="21"/>
      <c r="O889" s="27"/>
      <c r="P889" s="20"/>
      <c r="Q889" s="20"/>
      <c r="R889" s="29">
        <f t="shared" si="66"/>
        <v>0</v>
      </c>
      <c r="S889" s="20" t="s">
        <v>36</v>
      </c>
      <c r="T889" s="18"/>
      <c r="U889" s="20">
        <v>2</v>
      </c>
      <c r="V889" s="120">
        <v>1.76</v>
      </c>
      <c r="W889" s="69">
        <f t="shared" si="67"/>
        <v>169.316531822592</v>
      </c>
      <c r="X889" s="106">
        <v>96.202574899200002</v>
      </c>
      <c r="Y889" s="72" t="str">
        <f t="shared" si="68"/>
        <v>VR_2029_2x SiOLED_Dual SiOLED headset</v>
      </c>
      <c r="Z889" s="36" t="str">
        <f t="shared" si="69"/>
        <v>VR_2029_2x SiOLED</v>
      </c>
    </row>
    <row r="890" spans="3:26">
      <c r="C890" s="17">
        <v>882</v>
      </c>
      <c r="D890" s="109" t="s">
        <v>26</v>
      </c>
      <c r="E890" s="20" t="s">
        <v>185</v>
      </c>
      <c r="F890" s="20" t="s">
        <v>182</v>
      </c>
      <c r="G890" s="21" t="s">
        <v>97</v>
      </c>
      <c r="H890" s="21" t="s">
        <v>42</v>
      </c>
      <c r="I890" s="19" t="s">
        <v>26</v>
      </c>
      <c r="J890" s="19" t="s">
        <v>36</v>
      </c>
      <c r="K890" s="21" t="s">
        <v>28</v>
      </c>
      <c r="L890" s="33" t="str">
        <f t="shared" si="65"/>
        <v>2x AMOLED</v>
      </c>
      <c r="M890" s="21" t="s">
        <v>36</v>
      </c>
      <c r="N890" s="21" t="s">
        <v>143</v>
      </c>
      <c r="O890" s="27"/>
      <c r="P890" s="20"/>
      <c r="Q890" s="20"/>
      <c r="R890" s="29">
        <f t="shared" si="66"/>
        <v>0</v>
      </c>
      <c r="S890" s="20" t="s">
        <v>36</v>
      </c>
      <c r="T890" s="18" t="s">
        <v>143</v>
      </c>
      <c r="U890" s="20">
        <v>2</v>
      </c>
      <c r="V890" s="120">
        <v>0.66</v>
      </c>
      <c r="W890" s="69">
        <f t="shared" si="67"/>
        <v>21.663505485598911</v>
      </c>
      <c r="X890" s="106">
        <v>32.82349315999835</v>
      </c>
      <c r="Y890" s="72" t="str">
        <f t="shared" si="68"/>
        <v>VR_2029_2x AMOLED_OLED VR headset</v>
      </c>
      <c r="Z890" s="36" t="str">
        <f t="shared" si="69"/>
        <v>VR_2029_2x AMOLED</v>
      </c>
    </row>
    <row r="891" spans="3:26">
      <c r="C891" s="17">
        <v>883</v>
      </c>
      <c r="D891" s="109" t="s">
        <v>26</v>
      </c>
      <c r="E891" s="20" t="s">
        <v>185</v>
      </c>
      <c r="F891" s="20" t="s">
        <v>182</v>
      </c>
      <c r="G891" s="21" t="s">
        <v>97</v>
      </c>
      <c r="H891" s="21" t="s">
        <v>161</v>
      </c>
      <c r="I891" s="19" t="s">
        <v>26</v>
      </c>
      <c r="J891" s="19" t="s">
        <v>36</v>
      </c>
      <c r="K891" s="21" t="s">
        <v>15</v>
      </c>
      <c r="L891" s="33" t="str">
        <f t="shared" si="65"/>
        <v>1x LCD</v>
      </c>
      <c r="M891" s="21" t="s">
        <v>36</v>
      </c>
      <c r="N891" s="21" t="s">
        <v>143</v>
      </c>
      <c r="O891" s="27"/>
      <c r="P891" s="20"/>
      <c r="Q891" s="20"/>
      <c r="R891" s="29">
        <f t="shared" si="66"/>
        <v>0</v>
      </c>
      <c r="S891" s="20" t="s">
        <v>36</v>
      </c>
      <c r="T891" s="18" t="s">
        <v>143</v>
      </c>
      <c r="U891" s="20">
        <v>1</v>
      </c>
      <c r="V891" s="120">
        <v>0.22</v>
      </c>
      <c r="W891" s="69">
        <f t="shared" si="67"/>
        <v>10.78</v>
      </c>
      <c r="X891" s="106">
        <v>49</v>
      </c>
      <c r="Y891" s="72" t="str">
        <f t="shared" si="68"/>
        <v>VR_2029_1x LCD_Single LCD VR headset</v>
      </c>
      <c r="Z891" s="36" t="str">
        <f t="shared" si="69"/>
        <v>VR_2029_1x LCD</v>
      </c>
    </row>
    <row r="892" spans="3:26">
      <c r="C892" s="17">
        <v>884</v>
      </c>
      <c r="D892" s="109" t="s">
        <v>129</v>
      </c>
      <c r="E892" s="20" t="s">
        <v>185</v>
      </c>
      <c r="F892" s="20" t="s">
        <v>182</v>
      </c>
      <c r="G892" s="21" t="s">
        <v>97</v>
      </c>
      <c r="H892" s="21" t="s">
        <v>123</v>
      </c>
      <c r="I892" s="19" t="s">
        <v>63</v>
      </c>
      <c r="J892" s="19" t="s">
        <v>36</v>
      </c>
      <c r="K892" s="21" t="s">
        <v>120</v>
      </c>
      <c r="L892" s="33" t="str">
        <f t="shared" si="65"/>
        <v>2x MicroLED</v>
      </c>
      <c r="M892" s="21" t="s">
        <v>36</v>
      </c>
      <c r="N892" s="21"/>
      <c r="O892" s="27"/>
      <c r="P892" s="20"/>
      <c r="Q892" s="20"/>
      <c r="R892" s="29">
        <f t="shared" si="66"/>
        <v>0</v>
      </c>
      <c r="S892" s="20" t="s">
        <v>36</v>
      </c>
      <c r="T892" s="18" t="s">
        <v>143</v>
      </c>
      <c r="U892" s="20">
        <v>2</v>
      </c>
      <c r="V892" s="120">
        <v>0.27500000000000002</v>
      </c>
      <c r="W892" s="69">
        <f t="shared" si="67"/>
        <v>14.3</v>
      </c>
      <c r="X892" s="106">
        <v>52</v>
      </c>
      <c r="Y892" s="72" t="str">
        <f t="shared" si="68"/>
        <v>AR_2029_2x MicroLED_Binocular MicroLED</v>
      </c>
      <c r="Z892" s="36" t="str">
        <f t="shared" si="69"/>
        <v>AR_2029_2x MicroLED</v>
      </c>
    </row>
    <row r="893" spans="3:26">
      <c r="C893" s="17">
        <v>885</v>
      </c>
      <c r="D893" s="109" t="s">
        <v>129</v>
      </c>
      <c r="E893" s="20" t="s">
        <v>185</v>
      </c>
      <c r="F893" s="20" t="s">
        <v>182</v>
      </c>
      <c r="G893" s="21" t="s">
        <v>97</v>
      </c>
      <c r="H893" s="21" t="s">
        <v>76</v>
      </c>
      <c r="I893" s="19" t="s">
        <v>63</v>
      </c>
      <c r="J893" s="19" t="s">
        <v>36</v>
      </c>
      <c r="K893" s="21" t="s">
        <v>70</v>
      </c>
      <c r="L893" s="33" t="str">
        <f t="shared" si="65"/>
        <v>1x DLP</v>
      </c>
      <c r="M893" s="21" t="s">
        <v>36</v>
      </c>
      <c r="N893" s="21"/>
      <c r="O893" s="27"/>
      <c r="P893" s="20"/>
      <c r="Q893" s="20"/>
      <c r="R893" s="29">
        <f t="shared" si="66"/>
        <v>0</v>
      </c>
      <c r="S893" s="20" t="s">
        <v>36</v>
      </c>
      <c r="T893" s="18" t="s">
        <v>143</v>
      </c>
      <c r="U893" s="20">
        <v>1</v>
      </c>
      <c r="V893" s="120">
        <v>1.1E-4</v>
      </c>
      <c r="W893" s="69">
        <f t="shared" si="67"/>
        <v>8.2500000000000004E-3</v>
      </c>
      <c r="X893" s="106">
        <v>75</v>
      </c>
      <c r="Y893" s="72" t="str">
        <f t="shared" si="68"/>
        <v>AR_2029_1x DLP_DLP glasses</v>
      </c>
      <c r="Z893" s="36" t="str">
        <f t="shared" si="69"/>
        <v>AR_2029_1x DLP</v>
      </c>
    </row>
    <row r="894" spans="3:26">
      <c r="C894" s="17">
        <v>886</v>
      </c>
      <c r="D894" s="109" t="s">
        <v>129</v>
      </c>
      <c r="E894" s="20" t="s">
        <v>185</v>
      </c>
      <c r="F894" s="20" t="s">
        <v>182</v>
      </c>
      <c r="G894" s="21" t="s">
        <v>97</v>
      </c>
      <c r="H894" s="21" t="s">
        <v>75</v>
      </c>
      <c r="I894" s="19" t="s">
        <v>63</v>
      </c>
      <c r="J894" s="19" t="s">
        <v>36</v>
      </c>
      <c r="K894" s="21" t="s">
        <v>67</v>
      </c>
      <c r="L894" s="33" t="str">
        <f t="shared" si="65"/>
        <v>2x LCoS</v>
      </c>
      <c r="M894" s="21" t="s">
        <v>36</v>
      </c>
      <c r="N894" s="21"/>
      <c r="O894" s="27"/>
      <c r="P894" s="20"/>
      <c r="Q894" s="20"/>
      <c r="R894" s="29">
        <f t="shared" si="66"/>
        <v>0</v>
      </c>
      <c r="S894" s="20" t="s">
        <v>36</v>
      </c>
      <c r="T894" s="18" t="s">
        <v>143</v>
      </c>
      <c r="U894" s="20">
        <v>2</v>
      </c>
      <c r="V894" s="120">
        <v>0.26400000000000001</v>
      </c>
      <c r="W894" s="69">
        <f t="shared" si="67"/>
        <v>10.824</v>
      </c>
      <c r="X894" s="106">
        <v>41</v>
      </c>
      <c r="Y894" s="72" t="str">
        <f t="shared" si="68"/>
        <v>AR_2029_2x LCoS_LCoS glasses</v>
      </c>
      <c r="Z894" s="36" t="str">
        <f t="shared" si="69"/>
        <v>AR_2029_2x LCoS</v>
      </c>
    </row>
    <row r="895" spans="3:26">
      <c r="C895" s="17">
        <v>887</v>
      </c>
      <c r="D895" s="109" t="s">
        <v>129</v>
      </c>
      <c r="E895" s="20" t="s">
        <v>185</v>
      </c>
      <c r="F895" s="20" t="s">
        <v>182</v>
      </c>
      <c r="G895" s="21" t="s">
        <v>97</v>
      </c>
      <c r="H895" s="21" t="s">
        <v>121</v>
      </c>
      <c r="I895" s="19" t="s">
        <v>63</v>
      </c>
      <c r="J895" s="19" t="s">
        <v>36</v>
      </c>
      <c r="K895" s="21" t="s">
        <v>120</v>
      </c>
      <c r="L895" s="33" t="str">
        <f t="shared" si="65"/>
        <v>1x MicroLED</v>
      </c>
      <c r="M895" s="21" t="s">
        <v>36</v>
      </c>
      <c r="N895" s="21"/>
      <c r="O895" s="27"/>
      <c r="P895" s="20"/>
      <c r="Q895" s="20"/>
      <c r="R895" s="29">
        <f t="shared" si="66"/>
        <v>0</v>
      </c>
      <c r="S895" s="20" t="s">
        <v>36</v>
      </c>
      <c r="T895" s="18" t="s">
        <v>143</v>
      </c>
      <c r="U895" s="20">
        <v>1</v>
      </c>
      <c r="V895" s="120">
        <v>0.27500000000000002</v>
      </c>
      <c r="W895" s="69">
        <f t="shared" si="67"/>
        <v>14.3</v>
      </c>
      <c r="X895" s="106">
        <v>52</v>
      </c>
      <c r="Y895" s="72" t="str">
        <f t="shared" si="68"/>
        <v>AR_2029_1x MicroLED_Monocular MicroLED</v>
      </c>
      <c r="Z895" s="36" t="str">
        <f t="shared" si="69"/>
        <v>AR_2029_1x MicroLED</v>
      </c>
    </row>
    <row r="896" spans="3:26">
      <c r="C896" s="17">
        <v>888</v>
      </c>
      <c r="D896" s="109" t="s">
        <v>129</v>
      </c>
      <c r="E896" s="20" t="s">
        <v>185</v>
      </c>
      <c r="F896" s="20" t="s">
        <v>182</v>
      </c>
      <c r="G896" s="21" t="s">
        <v>97</v>
      </c>
      <c r="H896" s="21" t="s">
        <v>79</v>
      </c>
      <c r="I896" s="19" t="s">
        <v>63</v>
      </c>
      <c r="J896" s="19" t="s">
        <v>36</v>
      </c>
      <c r="K896" s="21" t="s">
        <v>51</v>
      </c>
      <c r="L896" s="33" t="str">
        <f t="shared" si="65"/>
        <v>2x SiOLED</v>
      </c>
      <c r="M896" s="21" t="s">
        <v>36</v>
      </c>
      <c r="N896" s="21"/>
      <c r="O896" s="27"/>
      <c r="P896" s="20"/>
      <c r="Q896" s="20"/>
      <c r="R896" s="29">
        <f t="shared" si="66"/>
        <v>0</v>
      </c>
      <c r="S896" s="20" t="s">
        <v>36</v>
      </c>
      <c r="T896" s="18" t="s">
        <v>143</v>
      </c>
      <c r="U896" s="20">
        <v>2</v>
      </c>
      <c r="V896" s="120">
        <v>0.88</v>
      </c>
      <c r="W896" s="69">
        <f t="shared" si="67"/>
        <v>43.12</v>
      </c>
      <c r="X896" s="106">
        <v>49</v>
      </c>
      <c r="Y896" s="72" t="str">
        <f t="shared" si="68"/>
        <v>AR_2029_2x SiOLED_SiOLED glasses</v>
      </c>
      <c r="Z896" s="36" t="str">
        <f t="shared" si="69"/>
        <v>AR_2029_2x SiOLED</v>
      </c>
    </row>
    <row r="897" spans="3:26" ht="14.4" thickBot="1">
      <c r="C897" s="108">
        <v>889</v>
      </c>
      <c r="D897" s="110" t="s">
        <v>129</v>
      </c>
      <c r="E897" s="24" t="s">
        <v>185</v>
      </c>
      <c r="F897" s="24" t="s">
        <v>182</v>
      </c>
      <c r="G897" s="22" t="s">
        <v>97</v>
      </c>
      <c r="H897" s="22" t="s">
        <v>279</v>
      </c>
      <c r="I897" s="23" t="s">
        <v>63</v>
      </c>
      <c r="J897" s="23" t="s">
        <v>27</v>
      </c>
      <c r="K897" s="22" t="s">
        <v>67</v>
      </c>
      <c r="L897" s="34" t="str">
        <f t="shared" si="65"/>
        <v>1x LCoS</v>
      </c>
      <c r="M897" s="22" t="s">
        <v>36</v>
      </c>
      <c r="N897" s="22"/>
      <c r="O897" s="28"/>
      <c r="P897" s="24"/>
      <c r="Q897" s="24"/>
      <c r="R897" s="30">
        <f t="shared" si="66"/>
        <v>0</v>
      </c>
      <c r="S897" s="24" t="s">
        <v>36</v>
      </c>
      <c r="T897" s="25"/>
      <c r="U897" s="24">
        <v>1</v>
      </c>
      <c r="V897" s="121">
        <v>0.22</v>
      </c>
      <c r="W897" s="70">
        <f t="shared" si="67"/>
        <v>9.02</v>
      </c>
      <c r="X897" s="107">
        <v>41</v>
      </c>
      <c r="Y897" s="73" t="str">
        <f t="shared" si="68"/>
        <v>AR_2029_1x LCoS_Monocular LCoS glasses</v>
      </c>
      <c r="Z897" s="37" t="str">
        <f t="shared" si="69"/>
        <v>AR_2029_1x LCoS</v>
      </c>
    </row>
    <row r="904" spans="3:26">
      <c r="Y904"/>
    </row>
    <row r="905" spans="3:26">
      <c r="Y905"/>
    </row>
    <row r="906" spans="3:26">
      <c r="Y906"/>
    </row>
    <row r="907" spans="3:26">
      <c r="Y907"/>
    </row>
    <row r="908" spans="3:26">
      <c r="Y908"/>
    </row>
    <row r="909" spans="3:26">
      <c r="Y909"/>
    </row>
    <row r="910" spans="3:26">
      <c r="Y910"/>
    </row>
    <row r="911" spans="3:26">
      <c r="Y911"/>
    </row>
    <row r="912" spans="3:26">
      <c r="Y912"/>
    </row>
    <row r="913" spans="25:25">
      <c r="Y913"/>
    </row>
    <row r="914" spans="25:25">
      <c r="Y914"/>
    </row>
    <row r="915" spans="25:25">
      <c r="Y915"/>
    </row>
    <row r="916" spans="25:25">
      <c r="Y916"/>
    </row>
    <row r="917" spans="25:25">
      <c r="Y917"/>
    </row>
    <row r="918" spans="25:25">
      <c r="Y918"/>
    </row>
    <row r="919" spans="25:25">
      <c r="Y919"/>
    </row>
    <row r="920" spans="25:25">
      <c r="Y920"/>
    </row>
    <row r="921" spans="25:25">
      <c r="Y921"/>
    </row>
    <row r="922" spans="25:25">
      <c r="Y922"/>
    </row>
    <row r="923" spans="25:25">
      <c r="Y923"/>
    </row>
    <row r="924" spans="25:25">
      <c r="Y924"/>
    </row>
    <row r="925" spans="25:25">
      <c r="Y925"/>
    </row>
    <row r="926" spans="25:25">
      <c r="Y926"/>
    </row>
    <row r="927" spans="25:25">
      <c r="Y927"/>
    </row>
    <row r="928" spans="25:25">
      <c r="Y928"/>
    </row>
    <row r="929" spans="25:25">
      <c r="Y929"/>
    </row>
    <row r="930" spans="25:25">
      <c r="Y930"/>
    </row>
    <row r="931" spans="25:25">
      <c r="Y931"/>
    </row>
    <row r="932" spans="25:25">
      <c r="Y932"/>
    </row>
    <row r="933" spans="25:25">
      <c r="Y933"/>
    </row>
    <row r="934" spans="25:25">
      <c r="Y934"/>
    </row>
    <row r="935" spans="25:25">
      <c r="Y935"/>
    </row>
    <row r="936" spans="25:25">
      <c r="Y936"/>
    </row>
    <row r="937" spans="25:25">
      <c r="Y937"/>
    </row>
    <row r="938" spans="25:25">
      <c r="Y938"/>
    </row>
    <row r="939" spans="25:25">
      <c r="Y939"/>
    </row>
    <row r="940" spans="25:25">
      <c r="Y940"/>
    </row>
    <row r="941" spans="25:25">
      <c r="Y941"/>
    </row>
    <row r="942" spans="25:25">
      <c r="Y942"/>
    </row>
    <row r="943" spans="25:25">
      <c r="Y943"/>
    </row>
    <row r="944" spans="25:25">
      <c r="Y944"/>
    </row>
    <row r="945" spans="25:25">
      <c r="Y945"/>
    </row>
    <row r="946" spans="25:25">
      <c r="Y946"/>
    </row>
    <row r="947" spans="25:25">
      <c r="Y947"/>
    </row>
    <row r="948" spans="25:25">
      <c r="Y948"/>
    </row>
    <row r="949" spans="25:25">
      <c r="Y949"/>
    </row>
    <row r="950" spans="25:25">
      <c r="Y950"/>
    </row>
    <row r="951" spans="25:25">
      <c r="Y951"/>
    </row>
    <row r="952" spans="25:25">
      <c r="Y952"/>
    </row>
    <row r="953" spans="25:25">
      <c r="Y953"/>
    </row>
    <row r="954" spans="25:25">
      <c r="Y954"/>
    </row>
    <row r="955" spans="25:25">
      <c r="Y955"/>
    </row>
    <row r="956" spans="25:25">
      <c r="Y956"/>
    </row>
    <row r="957" spans="25:25">
      <c r="Y957"/>
    </row>
    <row r="958" spans="25:25">
      <c r="Y958"/>
    </row>
    <row r="959" spans="25:25">
      <c r="Y959"/>
    </row>
    <row r="960" spans="25:25">
      <c r="Y960"/>
    </row>
    <row r="961" spans="25:25">
      <c r="Y961"/>
    </row>
    <row r="962" spans="25:25">
      <c r="Y962"/>
    </row>
    <row r="963" spans="25:25">
      <c r="Y963"/>
    </row>
    <row r="964" spans="25:25">
      <c r="Y964"/>
    </row>
    <row r="965" spans="25:25">
      <c r="Y965"/>
    </row>
    <row r="966" spans="25:25">
      <c r="Y966"/>
    </row>
    <row r="967" spans="25:25">
      <c r="Y967"/>
    </row>
    <row r="968" spans="25:25">
      <c r="Y968"/>
    </row>
    <row r="969" spans="25:25">
      <c r="Y969"/>
    </row>
    <row r="970" spans="25:25">
      <c r="Y970"/>
    </row>
    <row r="971" spans="25:25">
      <c r="Y971"/>
    </row>
    <row r="972" spans="25:25">
      <c r="Y972"/>
    </row>
    <row r="973" spans="25:25">
      <c r="Y973"/>
    </row>
    <row r="974" spans="25:25">
      <c r="Y974"/>
    </row>
    <row r="975" spans="25:25">
      <c r="Y975"/>
    </row>
    <row r="976" spans="25:25">
      <c r="Y976"/>
    </row>
    <row r="977" spans="25:25">
      <c r="Y977"/>
    </row>
    <row r="978" spans="25:25">
      <c r="Y978"/>
    </row>
    <row r="979" spans="25:25">
      <c r="Y979"/>
    </row>
    <row r="980" spans="25:25">
      <c r="Y980"/>
    </row>
    <row r="981" spans="25:25">
      <c r="Y981"/>
    </row>
    <row r="982" spans="25:25">
      <c r="Y982"/>
    </row>
    <row r="983" spans="25:25">
      <c r="Y983"/>
    </row>
    <row r="984" spans="25:25">
      <c r="Y984"/>
    </row>
    <row r="985" spans="25:25">
      <c r="Y985"/>
    </row>
    <row r="986" spans="25:25">
      <c r="Y986"/>
    </row>
    <row r="987" spans="25:25">
      <c r="Y987"/>
    </row>
    <row r="988" spans="25:25">
      <c r="Y988"/>
    </row>
    <row r="989" spans="25:25">
      <c r="Y989"/>
    </row>
    <row r="990" spans="25:25">
      <c r="Y990"/>
    </row>
    <row r="991" spans="25:25">
      <c r="Y991"/>
    </row>
    <row r="992" spans="25:25">
      <c r="Y992"/>
    </row>
    <row r="993" spans="25:25">
      <c r="Y993"/>
    </row>
    <row r="994" spans="25:25">
      <c r="Y994"/>
    </row>
    <row r="995" spans="25:25">
      <c r="Y995"/>
    </row>
    <row r="996" spans="25:25">
      <c r="Y996"/>
    </row>
    <row r="997" spans="25:25">
      <c r="Y997"/>
    </row>
    <row r="998" spans="25:25">
      <c r="Y998"/>
    </row>
    <row r="999" spans="25:25">
      <c r="Y999"/>
    </row>
    <row r="1000" spans="25:25">
      <c r="Y1000"/>
    </row>
    <row r="1001" spans="25:25">
      <c r="Y1001"/>
    </row>
    <row r="1002" spans="25:25">
      <c r="Y1002"/>
    </row>
    <row r="1003" spans="25:25">
      <c r="Y1003"/>
    </row>
    <row r="1004" spans="25:25">
      <c r="Y1004"/>
    </row>
    <row r="1005" spans="25:25">
      <c r="Y1005"/>
    </row>
    <row r="1006" spans="25:25">
      <c r="Y1006"/>
    </row>
    <row r="1007" spans="25:25">
      <c r="Y1007"/>
    </row>
    <row r="1008" spans="25:25">
      <c r="Y1008"/>
    </row>
    <row r="1009" spans="25:25">
      <c r="Y1009"/>
    </row>
    <row r="1010" spans="25:25">
      <c r="Y1010"/>
    </row>
    <row r="1011" spans="25:25">
      <c r="Y1011"/>
    </row>
    <row r="1012" spans="25:25">
      <c r="Y1012"/>
    </row>
    <row r="1013" spans="25:25">
      <c r="Y1013"/>
    </row>
  </sheetData>
  <sortState xmlns:xlrd2="http://schemas.microsoft.com/office/spreadsheetml/2017/richdata2" ref="D9:Z897">
    <sortCondition descending="1" ref="D9:D897"/>
    <sortCondition ref="E9:E897"/>
    <sortCondition ref="F9:F897"/>
  </sortState>
  <phoneticPr fontId="4"/>
  <conditionalFormatting sqref="E9:F897">
    <cfRule type="expression" dxfId="15" priority="5">
      <formula>ISNUMBER(E9)</formula>
    </cfRule>
  </conditionalFormatting>
  <conditionalFormatting sqref="E9:F897">
    <cfRule type="expression" dxfId="14" priority="1">
      <formula>ISNUMBER(E9)</formula>
    </cfRule>
  </conditionalFormatting>
  <pageMargins left="0.7" right="0.7" top="0.75" bottom="0.75" header="0.3" footer="0.3"/>
  <pageSetup paperSize="9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DBA5E-AFD6-4A09-AC5E-5DBFDC9DA597}">
  <sheetPr codeName="Sheet2">
    <tabColor rgb="FF92D050"/>
  </sheetPr>
  <dimension ref="A1:L10"/>
  <sheetViews>
    <sheetView showGridLines="0" showZeros="0" zoomScale="90" zoomScaleNormal="90" workbookViewId="0">
      <selection activeCell="A3" sqref="A3"/>
    </sheetView>
  </sheetViews>
  <sheetFormatPr defaultRowHeight="13.8"/>
  <cols>
    <col min="1" max="1" width="27.59765625" customWidth="1"/>
    <col min="2" max="12" width="9.59765625" customWidth="1"/>
  </cols>
  <sheetData>
    <row r="1" spans="1:12">
      <c r="A1" s="31" t="s">
        <v>127</v>
      </c>
      <c r="B1" t="s">
        <v>26</v>
      </c>
    </row>
    <row r="3" spans="1:12">
      <c r="A3" s="31" t="s">
        <v>59</v>
      </c>
      <c r="B3" s="31" t="s">
        <v>21</v>
      </c>
    </row>
    <row r="4" spans="1:12">
      <c r="A4" s="31" t="s">
        <v>98</v>
      </c>
      <c r="B4" s="13" t="s">
        <v>8</v>
      </c>
      <c r="C4" s="13" t="s">
        <v>9</v>
      </c>
      <c r="D4" s="13" t="s">
        <v>10</v>
      </c>
      <c r="E4" s="13" t="s">
        <v>11</v>
      </c>
      <c r="F4" s="13" t="s">
        <v>12</v>
      </c>
      <c r="G4" s="13" t="s">
        <v>13</v>
      </c>
      <c r="H4" s="13" t="s">
        <v>14</v>
      </c>
      <c r="I4" s="13" t="s">
        <v>86</v>
      </c>
      <c r="J4" s="13" t="s">
        <v>125</v>
      </c>
      <c r="K4" s="13" t="s">
        <v>142</v>
      </c>
      <c r="L4" s="13" t="s">
        <v>185</v>
      </c>
    </row>
    <row r="5" spans="1:12">
      <c r="A5" t="s">
        <v>46</v>
      </c>
      <c r="B5" s="124">
        <v>1</v>
      </c>
      <c r="C5" s="124">
        <v>0.4</v>
      </c>
      <c r="D5" s="124">
        <v>0.2</v>
      </c>
      <c r="E5" s="124"/>
      <c r="F5" s="124"/>
      <c r="G5" s="124"/>
      <c r="H5" s="124"/>
      <c r="I5" s="124"/>
      <c r="J5" s="124"/>
      <c r="K5" s="124"/>
      <c r="L5" s="124"/>
    </row>
    <row r="6" spans="1:12">
      <c r="A6" t="s">
        <v>48</v>
      </c>
      <c r="B6" s="124">
        <v>3.3553439999999997</v>
      </c>
      <c r="C6" s="124">
        <v>7.0843319999999999</v>
      </c>
      <c r="D6" s="124">
        <v>9.4984999999999999</v>
      </c>
      <c r="E6" s="124">
        <v>6.6660000000000013</v>
      </c>
      <c r="F6" s="124">
        <v>1.8620030000000001</v>
      </c>
      <c r="G6" s="124">
        <v>2.8341850000000006</v>
      </c>
      <c r="H6" s="124">
        <v>2.6769999999999996</v>
      </c>
      <c r="I6" s="124">
        <v>1.6500000000000001</v>
      </c>
      <c r="J6" s="124">
        <v>1.1550000000000002</v>
      </c>
      <c r="K6" s="124">
        <v>0.9900000000000001</v>
      </c>
      <c r="L6" s="124">
        <v>0.88</v>
      </c>
    </row>
    <row r="7" spans="1:12">
      <c r="A7" t="s">
        <v>47</v>
      </c>
      <c r="B7" s="124">
        <v>3</v>
      </c>
      <c r="C7" s="124">
        <v>1.3299999999999998</v>
      </c>
      <c r="D7" s="124"/>
      <c r="E7" s="124">
        <v>3.2</v>
      </c>
      <c r="F7" s="124">
        <v>1.7000000000000002</v>
      </c>
      <c r="G7" s="124"/>
      <c r="H7" s="124"/>
      <c r="I7" s="124">
        <v>8.7999999999999995E-2</v>
      </c>
      <c r="J7" s="124">
        <v>1.2100000000000002</v>
      </c>
      <c r="K7" s="124">
        <v>2.64</v>
      </c>
      <c r="L7" s="124">
        <v>2.86</v>
      </c>
    </row>
    <row r="8" spans="1:12">
      <c r="A8" t="s">
        <v>49</v>
      </c>
      <c r="B8" s="124">
        <v>0.65450000000000008</v>
      </c>
      <c r="C8" s="124">
        <v>0.60500000000000009</v>
      </c>
      <c r="D8" s="124">
        <v>0.26400000000000001</v>
      </c>
      <c r="E8" s="124">
        <v>0.71059999999999979</v>
      </c>
      <c r="F8" s="124">
        <v>6.9785100000000018</v>
      </c>
      <c r="G8" s="124">
        <v>3.8025900000000012</v>
      </c>
      <c r="H8" s="124">
        <v>3.1244999999999994</v>
      </c>
      <c r="I8" s="124">
        <v>6.3360000000000003</v>
      </c>
      <c r="J8" s="124">
        <v>9.9</v>
      </c>
      <c r="K8" s="124">
        <v>8.8000000000000007</v>
      </c>
      <c r="L8" s="124">
        <v>9.68</v>
      </c>
    </row>
    <row r="9" spans="1:12">
      <c r="A9" t="s">
        <v>50</v>
      </c>
      <c r="B9" s="124"/>
      <c r="C9" s="124"/>
      <c r="D9" s="124"/>
      <c r="E9" s="124">
        <v>4.4000000000000003E-3</v>
      </c>
      <c r="F9" s="124">
        <v>0.436033</v>
      </c>
      <c r="G9" s="124">
        <v>0.83635599999999999</v>
      </c>
      <c r="H9" s="124">
        <v>0.28050000000000003</v>
      </c>
      <c r="I9" s="124">
        <v>1.0780000000000001</v>
      </c>
      <c r="J9" s="124">
        <v>5.1479999999999997</v>
      </c>
      <c r="K9" s="124">
        <v>5.9399999999999995</v>
      </c>
      <c r="L9" s="124">
        <v>9.4599999999999991</v>
      </c>
    </row>
    <row r="10" spans="1:12">
      <c r="A10" t="s">
        <v>60</v>
      </c>
      <c r="B10" s="124">
        <v>8.0098439999999993</v>
      </c>
      <c r="C10" s="124">
        <v>9.4193320000000007</v>
      </c>
      <c r="D10" s="124">
        <v>9.9624999999999986</v>
      </c>
      <c r="E10" s="124">
        <v>10.581000000000001</v>
      </c>
      <c r="F10" s="124">
        <v>10.976546000000003</v>
      </c>
      <c r="G10" s="124">
        <v>7.4731310000000022</v>
      </c>
      <c r="H10" s="124">
        <v>6.081999999999999</v>
      </c>
      <c r="I10" s="124">
        <v>9.1519999999999992</v>
      </c>
      <c r="J10" s="124">
        <v>17.413</v>
      </c>
      <c r="K10" s="124">
        <v>18.37</v>
      </c>
      <c r="L10" s="124">
        <v>22.88</v>
      </c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8473C-F363-49FB-8D4F-9EC7D5F20F58}">
  <sheetPr codeName="Sheet8">
    <tabColor rgb="FF92D050"/>
  </sheetPr>
  <dimension ref="A1:L10"/>
  <sheetViews>
    <sheetView showGridLines="0" showZeros="0" zoomScale="90" zoomScaleNormal="90" workbookViewId="0">
      <selection activeCell="A3" sqref="A3"/>
    </sheetView>
  </sheetViews>
  <sheetFormatPr defaultRowHeight="13.8"/>
  <cols>
    <col min="1" max="1" width="27.59765625" customWidth="1"/>
    <col min="2" max="12" width="9.59765625" customWidth="1"/>
  </cols>
  <sheetData>
    <row r="1" spans="1:12">
      <c r="A1" s="31" t="s">
        <v>127</v>
      </c>
      <c r="B1" t="s">
        <v>26</v>
      </c>
    </row>
    <row r="3" spans="1:12">
      <c r="A3" s="31" t="s">
        <v>91</v>
      </c>
      <c r="B3" s="31" t="s">
        <v>21</v>
      </c>
    </row>
    <row r="4" spans="1:12">
      <c r="A4" s="31" t="s">
        <v>98</v>
      </c>
      <c r="B4" s="13" t="s">
        <v>8</v>
      </c>
      <c r="C4" s="13" t="s">
        <v>9</v>
      </c>
      <c r="D4" s="13" t="s">
        <v>10</v>
      </c>
      <c r="E4" s="13" t="s">
        <v>11</v>
      </c>
      <c r="F4" s="13" t="s">
        <v>12</v>
      </c>
      <c r="G4" s="13" t="s">
        <v>13</v>
      </c>
      <c r="H4" s="13" t="s">
        <v>14</v>
      </c>
      <c r="I4" s="13" t="s">
        <v>86</v>
      </c>
      <c r="J4" s="13" t="s">
        <v>125</v>
      </c>
      <c r="K4" s="13" t="s">
        <v>142</v>
      </c>
      <c r="L4" s="13" t="s">
        <v>185</v>
      </c>
    </row>
    <row r="5" spans="1:12">
      <c r="A5" t="s">
        <v>46</v>
      </c>
      <c r="B5" s="83">
        <v>34.303393151999998</v>
      </c>
      <c r="C5" s="83">
        <v>12.63114624057302</v>
      </c>
      <c r="D5" s="83">
        <v>5.942954048463708</v>
      </c>
      <c r="E5" s="83"/>
      <c r="F5" s="83"/>
      <c r="G5" s="83"/>
      <c r="H5" s="83"/>
      <c r="I5" s="83"/>
      <c r="J5" s="83"/>
      <c r="K5" s="83"/>
      <c r="L5" s="83"/>
    </row>
    <row r="6" spans="1:12">
      <c r="A6" t="s">
        <v>48</v>
      </c>
      <c r="B6" s="83">
        <v>201.32064</v>
      </c>
      <c r="C6" s="83">
        <v>416.5587215999999</v>
      </c>
      <c r="D6" s="83">
        <v>547.34156399999995</v>
      </c>
      <c r="E6" s="83">
        <v>376.43915231999989</v>
      </c>
      <c r="F6" s="83">
        <v>103.04713686146877</v>
      </c>
      <c r="G6" s="83">
        <v>153.09167159559647</v>
      </c>
      <c r="H6" s="83">
        <v>144.48500000000001</v>
      </c>
      <c r="I6" s="83">
        <v>85.944427791425255</v>
      </c>
      <c r="J6" s="83">
        <v>58.957877464917736</v>
      </c>
      <c r="K6" s="83">
        <v>49.524617070530894</v>
      </c>
      <c r="L6" s="83">
        <v>43.12</v>
      </c>
    </row>
    <row r="7" spans="1:12">
      <c r="A7" t="s">
        <v>47</v>
      </c>
      <c r="B7" s="83">
        <v>72.378938015999992</v>
      </c>
      <c r="C7" s="83">
        <v>29.757221914983425</v>
      </c>
      <c r="D7" s="83"/>
      <c r="E7" s="83">
        <v>156.024</v>
      </c>
      <c r="F7" s="83">
        <v>80.001319999999993</v>
      </c>
      <c r="G7" s="83"/>
      <c r="H7" s="83"/>
      <c r="I7" s="83">
        <v>3.4628422212676191</v>
      </c>
      <c r="J7" s="83">
        <v>44.820874338991757</v>
      </c>
      <c r="K7" s="83">
        <v>92.054241264574017</v>
      </c>
      <c r="L7" s="83">
        <v>93.875190437595279</v>
      </c>
    </row>
    <row r="8" spans="1:12">
      <c r="A8" t="s">
        <v>49</v>
      </c>
      <c r="B8" s="83">
        <v>26.18</v>
      </c>
      <c r="C8" s="83">
        <v>23.716000000000001</v>
      </c>
      <c r="D8" s="83">
        <v>10.141824</v>
      </c>
      <c r="E8" s="83">
        <v>26.752441407999999</v>
      </c>
      <c r="F8" s="83">
        <v>257.65754145964803</v>
      </c>
      <c r="G8" s="83">
        <v>137.6659793618266</v>
      </c>
      <c r="H8" s="83">
        <v>110.76149652229634</v>
      </c>
      <c r="I8" s="83">
        <v>220.01773514604872</v>
      </c>
      <c r="J8" s="83">
        <v>336.90215694238708</v>
      </c>
      <c r="K8" s="83">
        <v>293.47921226981276</v>
      </c>
      <c r="L8" s="83">
        <v>309.76</v>
      </c>
    </row>
    <row r="9" spans="1:12">
      <c r="A9" t="s">
        <v>50</v>
      </c>
      <c r="B9" s="83"/>
      <c r="C9" s="83"/>
      <c r="D9" s="83"/>
      <c r="E9" s="83">
        <v>0.88208999999999993</v>
      </c>
      <c r="F9" s="83">
        <v>107.58332454000001</v>
      </c>
      <c r="G9" s="83">
        <v>176.78113192960001</v>
      </c>
      <c r="H9" s="83">
        <v>38.369999999999997</v>
      </c>
      <c r="I9" s="83">
        <v>140.14000000000001</v>
      </c>
      <c r="J9" s="83">
        <v>625.31673684480006</v>
      </c>
      <c r="K9" s="83">
        <v>634.93699433472011</v>
      </c>
      <c r="L9" s="83">
        <v>910.07635854643195</v>
      </c>
    </row>
    <row r="10" spans="1:12">
      <c r="A10" t="s">
        <v>60</v>
      </c>
      <c r="B10" s="83">
        <v>334.18297116799999</v>
      </c>
      <c r="C10" s="83">
        <v>482.66308975555631</v>
      </c>
      <c r="D10" s="83">
        <v>563.42634204846365</v>
      </c>
      <c r="E10" s="83">
        <v>560.09768372799977</v>
      </c>
      <c r="F10" s="83">
        <v>548.28932286111683</v>
      </c>
      <c r="G10" s="83">
        <v>467.53878288702305</v>
      </c>
      <c r="H10" s="83">
        <v>293.61649652229636</v>
      </c>
      <c r="I10" s="83">
        <v>449.56500515874166</v>
      </c>
      <c r="J10" s="83">
        <v>1065.9976455910967</v>
      </c>
      <c r="K10" s="83">
        <v>1069.9950649396378</v>
      </c>
      <c r="L10" s="83">
        <v>1356.8315489840272</v>
      </c>
    </row>
  </sheetData>
  <phoneticPr fontId="4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609C9-C76B-49DA-8645-C5C43BDD6500}">
  <sheetPr codeName="Sheet34">
    <tabColor theme="1" tint="0.34998626667073579"/>
  </sheetPr>
  <dimension ref="A1"/>
  <sheetViews>
    <sheetView showGridLines="0" showRowColHeaders="0" zoomScale="80" zoomScaleNormal="80" workbookViewId="0">
      <selection activeCell="C79" sqref="C79"/>
    </sheetView>
  </sheetViews>
  <sheetFormatPr defaultColWidth="9" defaultRowHeight="14.4"/>
  <cols>
    <col min="1" max="16384" width="9" style="32"/>
  </cols>
  <sheetData/>
  <sheetProtection algorithmName="SHA-512" hashValue="QExDNNELVr92d+cy1QCRYIQ42Iyj4TNzZWN2r2uIN5YFAO8Gic4j4r6o1PuMz4wxzyqMTGlJljAD7MLClQCR2w==" saltValue="EnSGMBjSxVF2Bh8IpQwSug==" spinCount="100000" sheet="1" objects="1" scenarios="1" selectLockedCells="1" selectUnlockedCells="1"/>
  <phoneticPr fontId="4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C474A-DA08-45BF-9FAD-68F05FB4EC5C}">
  <sheetPr codeName="Sheet6">
    <tabColor rgb="FFCCFFFF"/>
  </sheetPr>
  <dimension ref="C4:L582"/>
  <sheetViews>
    <sheetView showGridLines="0" showZeros="0" zoomScale="80" zoomScaleNormal="80" workbookViewId="0">
      <selection activeCell="D4" sqref="D4"/>
    </sheetView>
  </sheetViews>
  <sheetFormatPr defaultRowHeight="13.8"/>
  <cols>
    <col min="1" max="2" width="4.59765625" customWidth="1"/>
    <col min="3" max="3" width="0" style="13" hidden="1" customWidth="1"/>
    <col min="4" max="4" width="22.19921875" customWidth="1"/>
    <col min="5" max="12" width="10.59765625" customWidth="1"/>
  </cols>
  <sheetData>
    <row r="4" spans="3:12">
      <c r="D4" s="58" t="s">
        <v>99</v>
      </c>
    </row>
    <row r="8" spans="3:12" ht="14.4" thickBot="1"/>
    <row r="9" spans="3:12" ht="15" thickBot="1">
      <c r="C9" s="57" t="str">
        <f>IF(SUM(E61:L61)=0, "H", "")</f>
        <v>H</v>
      </c>
      <c r="D9" s="52" t="str">
        <f>Parameter!G8</f>
        <v>1x AMOLED</v>
      </c>
    </row>
    <row r="10" spans="3:12" ht="16.2" thickBot="1">
      <c r="C10" s="57" t="str">
        <f>IF(SUM(E61:L61)=0, "H", "")</f>
        <v>H</v>
      </c>
      <c r="D10" s="40" t="s">
        <v>85</v>
      </c>
      <c r="E10" s="41" t="str">
        <f t="shared" ref="E10:F10" si="0">TEXT(F10-1, "####")</f>
        <v>2022</v>
      </c>
      <c r="F10" s="42" t="str">
        <f t="shared" si="0"/>
        <v>2023</v>
      </c>
      <c r="G10" s="42" t="str">
        <f>TEXT(H10-1, "####")</f>
        <v>2024</v>
      </c>
      <c r="H10" s="42">
        <f>CurrentYear+1</f>
        <v>2025</v>
      </c>
      <c r="I10" s="42" t="str">
        <f t="shared" ref="I10:L10" si="1">TEXT(H10+1, "####")</f>
        <v>2026</v>
      </c>
      <c r="J10" s="42" t="str">
        <f t="shared" si="1"/>
        <v>2027</v>
      </c>
      <c r="K10" s="42" t="str">
        <f t="shared" si="1"/>
        <v>2028</v>
      </c>
      <c r="L10" s="43" t="str">
        <f t="shared" si="1"/>
        <v>2029</v>
      </c>
    </row>
    <row r="11" spans="3:12" ht="15.6" hidden="1">
      <c r="C11" s="39" t="str">
        <f>IF(SUM(E11:L11)=0, "H", "")</f>
        <v>H</v>
      </c>
      <c r="D11" s="44" t="str">
        <f>Parameter!C$8</f>
        <v>5K VR</v>
      </c>
      <c r="E11" s="125">
        <f t="shared" ref="E11:L20" si="2">SUMIF(ARVR_Y_PC_PR, "VR_"&amp;E$10&amp;"_"&amp;$D$9&amp;"_"&amp;$D11, PanelQ)</f>
        <v>0</v>
      </c>
      <c r="F11" s="126">
        <f t="shared" si="2"/>
        <v>0</v>
      </c>
      <c r="G11" s="126">
        <f t="shared" si="2"/>
        <v>0</v>
      </c>
      <c r="H11" s="126">
        <f t="shared" si="2"/>
        <v>0</v>
      </c>
      <c r="I11" s="126">
        <f t="shared" si="2"/>
        <v>0</v>
      </c>
      <c r="J11" s="126">
        <f t="shared" si="2"/>
        <v>0</v>
      </c>
      <c r="K11" s="126">
        <f t="shared" si="2"/>
        <v>0</v>
      </c>
      <c r="L11" s="127">
        <f t="shared" si="2"/>
        <v>0</v>
      </c>
    </row>
    <row r="12" spans="3:12" ht="15.6" hidden="1">
      <c r="C12" s="39" t="str">
        <f t="shared" ref="C12:C81" si="3">IF(SUM(E12:L12)=0, "H", "")</f>
        <v>H</v>
      </c>
      <c r="D12" s="44" t="str">
        <f>Parameter!C$9</f>
        <v>Aero</v>
      </c>
      <c r="E12" s="125">
        <f t="shared" si="2"/>
        <v>0</v>
      </c>
      <c r="F12" s="126">
        <f t="shared" si="2"/>
        <v>0</v>
      </c>
      <c r="G12" s="126">
        <f t="shared" si="2"/>
        <v>0</v>
      </c>
      <c r="H12" s="126">
        <f t="shared" si="2"/>
        <v>0</v>
      </c>
      <c r="I12" s="126">
        <f t="shared" si="2"/>
        <v>0</v>
      </c>
      <c r="J12" s="126">
        <f t="shared" si="2"/>
        <v>0</v>
      </c>
      <c r="K12" s="126">
        <f t="shared" si="2"/>
        <v>0</v>
      </c>
      <c r="L12" s="127">
        <f t="shared" si="2"/>
        <v>0</v>
      </c>
    </row>
    <row r="13" spans="3:12" ht="15.6" hidden="1">
      <c r="C13" s="39" t="str">
        <f t="shared" si="3"/>
        <v>H</v>
      </c>
      <c r="D13" s="45" t="str">
        <f>Parameter!C$10</f>
        <v>Beyond</v>
      </c>
      <c r="E13" s="125">
        <f t="shared" si="2"/>
        <v>0</v>
      </c>
      <c r="F13" s="126">
        <f t="shared" si="2"/>
        <v>0</v>
      </c>
      <c r="G13" s="126">
        <f t="shared" si="2"/>
        <v>0</v>
      </c>
      <c r="H13" s="126">
        <f t="shared" si="2"/>
        <v>0</v>
      </c>
      <c r="I13" s="126">
        <f t="shared" si="2"/>
        <v>0</v>
      </c>
      <c r="J13" s="126">
        <f t="shared" si="2"/>
        <v>0</v>
      </c>
      <c r="K13" s="126">
        <f t="shared" si="2"/>
        <v>0</v>
      </c>
      <c r="L13" s="127">
        <f t="shared" si="2"/>
        <v>0</v>
      </c>
    </row>
    <row r="14" spans="3:12" ht="15.6" hidden="1">
      <c r="C14" s="39" t="str">
        <f t="shared" si="3"/>
        <v>H</v>
      </c>
      <c r="D14" s="45" t="str">
        <f>Parameter!C$11</f>
        <v>Bionic models</v>
      </c>
      <c r="E14" s="125">
        <f t="shared" si="2"/>
        <v>0</v>
      </c>
      <c r="F14" s="126">
        <f t="shared" si="2"/>
        <v>0</v>
      </c>
      <c r="G14" s="126">
        <f t="shared" si="2"/>
        <v>0</v>
      </c>
      <c r="H14" s="126">
        <f t="shared" si="2"/>
        <v>0</v>
      </c>
      <c r="I14" s="126">
        <f t="shared" si="2"/>
        <v>0</v>
      </c>
      <c r="J14" s="126">
        <f t="shared" si="2"/>
        <v>0</v>
      </c>
      <c r="K14" s="126">
        <f t="shared" si="2"/>
        <v>0</v>
      </c>
      <c r="L14" s="127">
        <f t="shared" si="2"/>
        <v>0</v>
      </c>
    </row>
    <row r="15" spans="3:12" ht="15.6" hidden="1">
      <c r="C15" s="39" t="str">
        <f t="shared" si="3"/>
        <v>H</v>
      </c>
      <c r="D15" s="45" t="str">
        <f>Parameter!C$12</f>
        <v>Dual LCD VR headset</v>
      </c>
      <c r="E15" s="125">
        <f t="shared" si="2"/>
        <v>0</v>
      </c>
      <c r="F15" s="126">
        <f t="shared" si="2"/>
        <v>0</v>
      </c>
      <c r="G15" s="126">
        <f t="shared" si="2"/>
        <v>0</v>
      </c>
      <c r="H15" s="126">
        <f t="shared" si="2"/>
        <v>0</v>
      </c>
      <c r="I15" s="126">
        <f t="shared" si="2"/>
        <v>0</v>
      </c>
      <c r="J15" s="126">
        <f t="shared" si="2"/>
        <v>0</v>
      </c>
      <c r="K15" s="126">
        <f t="shared" si="2"/>
        <v>0</v>
      </c>
      <c r="L15" s="127">
        <f t="shared" si="2"/>
        <v>0</v>
      </c>
    </row>
    <row r="16" spans="3:12" ht="15.6" hidden="1">
      <c r="C16" s="39" t="str">
        <f t="shared" si="3"/>
        <v>H</v>
      </c>
      <c r="D16" s="45" t="str">
        <f>Parameter!C$13</f>
        <v>Dual SiOLED headset</v>
      </c>
      <c r="E16" s="125">
        <f t="shared" si="2"/>
        <v>0</v>
      </c>
      <c r="F16" s="126">
        <f t="shared" si="2"/>
        <v>0</v>
      </c>
      <c r="G16" s="126">
        <f t="shared" si="2"/>
        <v>0</v>
      </c>
      <c r="H16" s="126">
        <f t="shared" si="2"/>
        <v>0</v>
      </c>
      <c r="I16" s="126">
        <f t="shared" si="2"/>
        <v>0</v>
      </c>
      <c r="J16" s="126">
        <f t="shared" si="2"/>
        <v>0</v>
      </c>
      <c r="K16" s="126">
        <f t="shared" si="2"/>
        <v>0</v>
      </c>
      <c r="L16" s="127">
        <f t="shared" si="2"/>
        <v>0</v>
      </c>
    </row>
    <row r="17" spans="3:12" ht="15.6" hidden="1">
      <c r="C17" s="39" t="str">
        <f t="shared" si="3"/>
        <v>H</v>
      </c>
      <c r="D17" s="45" t="str">
        <f>Parameter!C$14</f>
        <v>Index</v>
      </c>
      <c r="E17" s="125">
        <f t="shared" si="2"/>
        <v>0</v>
      </c>
      <c r="F17" s="126">
        <f t="shared" si="2"/>
        <v>0</v>
      </c>
      <c r="G17" s="126">
        <f t="shared" si="2"/>
        <v>0</v>
      </c>
      <c r="H17" s="126">
        <f t="shared" si="2"/>
        <v>0</v>
      </c>
      <c r="I17" s="126">
        <f t="shared" si="2"/>
        <v>0</v>
      </c>
      <c r="J17" s="126">
        <f t="shared" si="2"/>
        <v>0</v>
      </c>
      <c r="K17" s="126">
        <f t="shared" si="2"/>
        <v>0</v>
      </c>
      <c r="L17" s="127">
        <f t="shared" si="2"/>
        <v>0</v>
      </c>
    </row>
    <row r="18" spans="3:12" ht="15.6" hidden="1">
      <c r="C18" s="39" t="str">
        <f t="shared" si="3"/>
        <v>H</v>
      </c>
      <c r="D18" s="45" t="str">
        <f>Parameter!C$15</f>
        <v>MeganeX</v>
      </c>
      <c r="E18" s="125">
        <f t="shared" si="2"/>
        <v>0</v>
      </c>
      <c r="F18" s="126">
        <f t="shared" si="2"/>
        <v>0</v>
      </c>
      <c r="G18" s="126">
        <f t="shared" si="2"/>
        <v>0</v>
      </c>
      <c r="H18" s="126">
        <f t="shared" si="2"/>
        <v>0</v>
      </c>
      <c r="I18" s="126">
        <f t="shared" si="2"/>
        <v>0</v>
      </c>
      <c r="J18" s="126">
        <f t="shared" si="2"/>
        <v>0</v>
      </c>
      <c r="K18" s="126">
        <f t="shared" si="2"/>
        <v>0</v>
      </c>
      <c r="L18" s="127">
        <f t="shared" si="2"/>
        <v>0</v>
      </c>
    </row>
    <row r="19" spans="3:12" ht="15.6" hidden="1">
      <c r="C19" s="39" t="str">
        <f t="shared" si="3"/>
        <v>H</v>
      </c>
      <c r="D19" s="45" t="str">
        <f>Parameter!C$16</f>
        <v>MeganeX Superlight 8K</v>
      </c>
      <c r="E19" s="125">
        <f t="shared" si="2"/>
        <v>0</v>
      </c>
      <c r="F19" s="126">
        <f t="shared" si="2"/>
        <v>0</v>
      </c>
      <c r="G19" s="126">
        <f t="shared" si="2"/>
        <v>0</v>
      </c>
      <c r="H19" s="126">
        <f t="shared" si="2"/>
        <v>0</v>
      </c>
      <c r="I19" s="126">
        <f t="shared" si="2"/>
        <v>0</v>
      </c>
      <c r="J19" s="126">
        <f t="shared" si="2"/>
        <v>0</v>
      </c>
      <c r="K19" s="126">
        <f t="shared" si="2"/>
        <v>0</v>
      </c>
      <c r="L19" s="127">
        <f t="shared" si="2"/>
        <v>0</v>
      </c>
    </row>
    <row r="20" spans="3:12" ht="15.6" hidden="1">
      <c r="C20" s="39" t="str">
        <f t="shared" si="3"/>
        <v>H</v>
      </c>
      <c r="D20" s="45" t="str">
        <f>Parameter!C$17</f>
        <v>Neo 3 / G3</v>
      </c>
      <c r="E20" s="125">
        <f t="shared" si="2"/>
        <v>0</v>
      </c>
      <c r="F20" s="126">
        <f t="shared" si="2"/>
        <v>0</v>
      </c>
      <c r="G20" s="126">
        <f t="shared" si="2"/>
        <v>0</v>
      </c>
      <c r="H20" s="126">
        <f t="shared" si="2"/>
        <v>0</v>
      </c>
      <c r="I20" s="126">
        <f t="shared" si="2"/>
        <v>0</v>
      </c>
      <c r="J20" s="126">
        <f t="shared" si="2"/>
        <v>0</v>
      </c>
      <c r="K20" s="126">
        <f t="shared" si="2"/>
        <v>0</v>
      </c>
      <c r="L20" s="127">
        <f t="shared" si="2"/>
        <v>0</v>
      </c>
    </row>
    <row r="21" spans="3:12" ht="15.6" hidden="1">
      <c r="C21" s="39" t="str">
        <f t="shared" si="3"/>
        <v>H</v>
      </c>
      <c r="D21" s="45" t="str">
        <f>Parameter!C$18</f>
        <v>OLED VR headset</v>
      </c>
      <c r="E21" s="125">
        <f t="shared" ref="E21:L30" si="4">SUMIF(ARVR_Y_PC_PR, "VR_"&amp;E$10&amp;"_"&amp;$D$9&amp;"_"&amp;$D21, PanelQ)</f>
        <v>0</v>
      </c>
      <c r="F21" s="126">
        <f t="shared" si="4"/>
        <v>0</v>
      </c>
      <c r="G21" s="126">
        <f t="shared" si="4"/>
        <v>0</v>
      </c>
      <c r="H21" s="126">
        <f t="shared" si="4"/>
        <v>0</v>
      </c>
      <c r="I21" s="126">
        <f t="shared" si="4"/>
        <v>0</v>
      </c>
      <c r="J21" s="126">
        <f t="shared" si="4"/>
        <v>0</v>
      </c>
      <c r="K21" s="126">
        <f t="shared" si="4"/>
        <v>0</v>
      </c>
      <c r="L21" s="127">
        <f t="shared" si="4"/>
        <v>0</v>
      </c>
    </row>
    <row r="22" spans="3:12" ht="15.6" hidden="1">
      <c r="C22" s="39" t="str">
        <f t="shared" si="3"/>
        <v>H</v>
      </c>
      <c r="D22" s="45" t="str">
        <f>Parameter!C$19</f>
        <v>P1 family</v>
      </c>
      <c r="E22" s="125">
        <f t="shared" si="4"/>
        <v>0</v>
      </c>
      <c r="F22" s="126">
        <f t="shared" si="4"/>
        <v>0</v>
      </c>
      <c r="G22" s="126">
        <f t="shared" si="4"/>
        <v>0</v>
      </c>
      <c r="H22" s="126">
        <f t="shared" si="4"/>
        <v>0</v>
      </c>
      <c r="I22" s="126">
        <f t="shared" si="4"/>
        <v>0</v>
      </c>
      <c r="J22" s="126">
        <f t="shared" si="4"/>
        <v>0</v>
      </c>
      <c r="K22" s="126">
        <f t="shared" si="4"/>
        <v>0</v>
      </c>
      <c r="L22" s="127">
        <f t="shared" si="4"/>
        <v>0</v>
      </c>
    </row>
    <row r="23" spans="3:12" ht="15.6" hidden="1">
      <c r="C23" s="39" t="str">
        <f t="shared" si="3"/>
        <v>H</v>
      </c>
      <c r="D23" s="45" t="str">
        <f>Parameter!C$20</f>
        <v>Pico 4</v>
      </c>
      <c r="E23" s="125">
        <f t="shared" si="4"/>
        <v>0</v>
      </c>
      <c r="F23" s="126">
        <f t="shared" si="4"/>
        <v>0</v>
      </c>
      <c r="G23" s="126">
        <f t="shared" si="4"/>
        <v>0</v>
      </c>
      <c r="H23" s="126">
        <f t="shared" si="4"/>
        <v>0</v>
      </c>
      <c r="I23" s="126">
        <f t="shared" si="4"/>
        <v>0</v>
      </c>
      <c r="J23" s="126">
        <f t="shared" si="4"/>
        <v>0</v>
      </c>
      <c r="K23" s="126">
        <f t="shared" si="4"/>
        <v>0</v>
      </c>
      <c r="L23" s="127">
        <f t="shared" si="4"/>
        <v>0</v>
      </c>
    </row>
    <row r="24" spans="3:12" ht="15.6" hidden="1">
      <c r="C24" s="39" t="str">
        <f t="shared" si="3"/>
        <v>H</v>
      </c>
      <c r="D24" s="45" t="str">
        <f>Parameter!C$21</f>
        <v>Pimax VR</v>
      </c>
      <c r="E24" s="125">
        <f t="shared" si="4"/>
        <v>0</v>
      </c>
      <c r="F24" s="126">
        <f t="shared" si="4"/>
        <v>0</v>
      </c>
      <c r="G24" s="126">
        <f t="shared" si="4"/>
        <v>0</v>
      </c>
      <c r="H24" s="126">
        <f t="shared" si="4"/>
        <v>0</v>
      </c>
      <c r="I24" s="126">
        <f t="shared" si="4"/>
        <v>0</v>
      </c>
      <c r="J24" s="126">
        <f t="shared" si="4"/>
        <v>0</v>
      </c>
      <c r="K24" s="126">
        <f t="shared" si="4"/>
        <v>0</v>
      </c>
      <c r="L24" s="127">
        <f t="shared" si="4"/>
        <v>0</v>
      </c>
    </row>
    <row r="25" spans="3:12" ht="15.6" hidden="1">
      <c r="C25" s="39" t="str">
        <f t="shared" si="3"/>
        <v>H</v>
      </c>
      <c r="D25" s="45" t="str">
        <f>Parameter!C$22</f>
        <v>PlayStation VR</v>
      </c>
      <c r="E25" s="125">
        <f t="shared" si="4"/>
        <v>0</v>
      </c>
      <c r="F25" s="126">
        <f t="shared" si="4"/>
        <v>0</v>
      </c>
      <c r="G25" s="126">
        <f t="shared" si="4"/>
        <v>0</v>
      </c>
      <c r="H25" s="126">
        <f t="shared" si="4"/>
        <v>0</v>
      </c>
      <c r="I25" s="126">
        <f t="shared" si="4"/>
        <v>0</v>
      </c>
      <c r="J25" s="126">
        <f t="shared" si="4"/>
        <v>0</v>
      </c>
      <c r="K25" s="126">
        <f t="shared" si="4"/>
        <v>0</v>
      </c>
      <c r="L25" s="127">
        <f t="shared" si="4"/>
        <v>0</v>
      </c>
    </row>
    <row r="26" spans="3:12" ht="15.6" hidden="1">
      <c r="C26" s="39" t="str">
        <f t="shared" si="3"/>
        <v>H</v>
      </c>
      <c r="D26" s="45" t="str">
        <f>Parameter!C$23</f>
        <v>PlayStation VR2</v>
      </c>
      <c r="E26" s="125">
        <f t="shared" si="4"/>
        <v>0</v>
      </c>
      <c r="F26" s="126">
        <f t="shared" si="4"/>
        <v>0</v>
      </c>
      <c r="G26" s="126">
        <f t="shared" si="4"/>
        <v>0</v>
      </c>
      <c r="H26" s="126">
        <f t="shared" si="4"/>
        <v>0</v>
      </c>
      <c r="I26" s="126">
        <f t="shared" si="4"/>
        <v>0</v>
      </c>
      <c r="J26" s="126">
        <f t="shared" si="4"/>
        <v>0</v>
      </c>
      <c r="K26" s="126">
        <f t="shared" si="4"/>
        <v>0</v>
      </c>
      <c r="L26" s="127">
        <f t="shared" si="4"/>
        <v>0</v>
      </c>
    </row>
    <row r="27" spans="3:12" ht="15.6" hidden="1">
      <c r="C27" s="39" t="str">
        <f t="shared" si="3"/>
        <v>H</v>
      </c>
      <c r="D27" s="45" t="str">
        <f>Parameter!C$24</f>
        <v>Project Moohan</v>
      </c>
      <c r="E27" s="125">
        <f t="shared" si="4"/>
        <v>0</v>
      </c>
      <c r="F27" s="126">
        <f t="shared" si="4"/>
        <v>0</v>
      </c>
      <c r="G27" s="126">
        <f t="shared" si="4"/>
        <v>0</v>
      </c>
      <c r="H27" s="126">
        <f t="shared" si="4"/>
        <v>0</v>
      </c>
      <c r="I27" s="126">
        <f t="shared" si="4"/>
        <v>0</v>
      </c>
      <c r="J27" s="126">
        <f t="shared" si="4"/>
        <v>0</v>
      </c>
      <c r="K27" s="126">
        <f t="shared" si="4"/>
        <v>0</v>
      </c>
      <c r="L27" s="127">
        <f t="shared" si="4"/>
        <v>0</v>
      </c>
    </row>
    <row r="28" spans="3:12" ht="15.6" hidden="1">
      <c r="C28" s="39" t="str">
        <f t="shared" si="3"/>
        <v>H</v>
      </c>
      <c r="D28" s="45" t="str">
        <f>Parameter!C$25</f>
        <v>Quest</v>
      </c>
      <c r="E28" s="125">
        <f t="shared" si="4"/>
        <v>0</v>
      </c>
      <c r="F28" s="126">
        <f t="shared" si="4"/>
        <v>0</v>
      </c>
      <c r="G28" s="126">
        <f t="shared" si="4"/>
        <v>0</v>
      </c>
      <c r="H28" s="126">
        <f t="shared" si="4"/>
        <v>0</v>
      </c>
      <c r="I28" s="126">
        <f t="shared" si="4"/>
        <v>0</v>
      </c>
      <c r="J28" s="126">
        <f t="shared" si="4"/>
        <v>0</v>
      </c>
      <c r="K28" s="126">
        <f t="shared" si="4"/>
        <v>0</v>
      </c>
      <c r="L28" s="127">
        <f t="shared" si="4"/>
        <v>0</v>
      </c>
    </row>
    <row r="29" spans="3:12" ht="15.6" hidden="1">
      <c r="C29" s="39" t="str">
        <f t="shared" si="3"/>
        <v>H</v>
      </c>
      <c r="D29" s="45" t="str">
        <f>Parameter!C$26</f>
        <v>Quest 2</v>
      </c>
      <c r="E29" s="125">
        <f t="shared" si="4"/>
        <v>0</v>
      </c>
      <c r="F29" s="126">
        <f t="shared" si="4"/>
        <v>0</v>
      </c>
      <c r="G29" s="126">
        <f t="shared" si="4"/>
        <v>0</v>
      </c>
      <c r="H29" s="126">
        <f t="shared" si="4"/>
        <v>0</v>
      </c>
      <c r="I29" s="126">
        <f t="shared" si="4"/>
        <v>0</v>
      </c>
      <c r="J29" s="126">
        <f t="shared" si="4"/>
        <v>0</v>
      </c>
      <c r="K29" s="126">
        <f t="shared" si="4"/>
        <v>0</v>
      </c>
      <c r="L29" s="127">
        <f t="shared" si="4"/>
        <v>0</v>
      </c>
    </row>
    <row r="30" spans="3:12" ht="15.6" hidden="1">
      <c r="C30" s="39" t="str">
        <f t="shared" si="3"/>
        <v>H</v>
      </c>
      <c r="D30" s="45" t="str">
        <f>Parameter!C$27</f>
        <v>Quest 3</v>
      </c>
      <c r="E30" s="125">
        <f t="shared" si="4"/>
        <v>0</v>
      </c>
      <c r="F30" s="126">
        <f t="shared" si="4"/>
        <v>0</v>
      </c>
      <c r="G30" s="126">
        <f t="shared" si="4"/>
        <v>0</v>
      </c>
      <c r="H30" s="126">
        <f t="shared" si="4"/>
        <v>0</v>
      </c>
      <c r="I30" s="126">
        <f t="shared" si="4"/>
        <v>0</v>
      </c>
      <c r="J30" s="126">
        <f t="shared" si="4"/>
        <v>0</v>
      </c>
      <c r="K30" s="126">
        <f t="shared" si="4"/>
        <v>0</v>
      </c>
      <c r="L30" s="127">
        <f t="shared" si="4"/>
        <v>0</v>
      </c>
    </row>
    <row r="31" spans="3:12" ht="15.6" hidden="1">
      <c r="C31" s="39" t="str">
        <f t="shared" si="3"/>
        <v>H</v>
      </c>
      <c r="D31" s="45" t="str">
        <f>Parameter!C$28</f>
        <v>Quest 3S</v>
      </c>
      <c r="E31" s="125">
        <f t="shared" ref="E31:L40" si="5">SUMIF(ARVR_Y_PC_PR, "VR_"&amp;E$10&amp;"_"&amp;$D$9&amp;"_"&amp;$D31, PanelQ)</f>
        <v>0</v>
      </c>
      <c r="F31" s="126">
        <f t="shared" si="5"/>
        <v>0</v>
      </c>
      <c r="G31" s="126">
        <f t="shared" si="5"/>
        <v>0</v>
      </c>
      <c r="H31" s="126">
        <f t="shared" si="5"/>
        <v>0</v>
      </c>
      <c r="I31" s="126">
        <f t="shared" si="5"/>
        <v>0</v>
      </c>
      <c r="J31" s="126">
        <f t="shared" si="5"/>
        <v>0</v>
      </c>
      <c r="K31" s="126">
        <f t="shared" si="5"/>
        <v>0</v>
      </c>
      <c r="L31" s="127">
        <f t="shared" si="5"/>
        <v>0</v>
      </c>
    </row>
    <row r="32" spans="3:12" ht="15.6" hidden="1">
      <c r="C32" s="39" t="str">
        <f t="shared" si="3"/>
        <v>H</v>
      </c>
      <c r="D32" s="45" t="str">
        <f>Parameter!C$29</f>
        <v>Quest Pro</v>
      </c>
      <c r="E32" s="125">
        <f t="shared" si="5"/>
        <v>0</v>
      </c>
      <c r="F32" s="126">
        <f t="shared" si="5"/>
        <v>0</v>
      </c>
      <c r="G32" s="126">
        <f t="shared" si="5"/>
        <v>0</v>
      </c>
      <c r="H32" s="126">
        <f t="shared" si="5"/>
        <v>0</v>
      </c>
      <c r="I32" s="126">
        <f t="shared" si="5"/>
        <v>0</v>
      </c>
      <c r="J32" s="126">
        <f t="shared" si="5"/>
        <v>0</v>
      </c>
      <c r="K32" s="126">
        <f t="shared" si="5"/>
        <v>0</v>
      </c>
      <c r="L32" s="127">
        <f t="shared" si="5"/>
        <v>0</v>
      </c>
    </row>
    <row r="33" spans="3:12" ht="15.6" hidden="1">
      <c r="C33" s="39" t="str">
        <f t="shared" si="3"/>
        <v>H</v>
      </c>
      <c r="D33" s="45" t="str">
        <f>Parameter!C$30</f>
        <v>R1</v>
      </c>
      <c r="E33" s="125">
        <f t="shared" si="5"/>
        <v>0</v>
      </c>
      <c r="F33" s="126">
        <f t="shared" si="5"/>
        <v>0</v>
      </c>
      <c r="G33" s="126">
        <f t="shared" si="5"/>
        <v>0</v>
      </c>
      <c r="H33" s="126">
        <f t="shared" si="5"/>
        <v>0</v>
      </c>
      <c r="I33" s="126">
        <f t="shared" si="5"/>
        <v>0</v>
      </c>
      <c r="J33" s="126">
        <f t="shared" si="5"/>
        <v>0</v>
      </c>
      <c r="K33" s="126">
        <f t="shared" si="5"/>
        <v>0</v>
      </c>
      <c r="L33" s="127">
        <f t="shared" si="5"/>
        <v>0</v>
      </c>
    </row>
    <row r="34" spans="3:12" ht="15.6" hidden="1">
      <c r="C34" s="39" t="str">
        <f t="shared" si="3"/>
        <v>H</v>
      </c>
      <c r="D34" s="45" t="str">
        <f>Parameter!C$31</f>
        <v>Reverb</v>
      </c>
      <c r="E34" s="125">
        <f t="shared" si="5"/>
        <v>0</v>
      </c>
      <c r="F34" s="126">
        <f t="shared" si="5"/>
        <v>0</v>
      </c>
      <c r="G34" s="126">
        <f t="shared" si="5"/>
        <v>0</v>
      </c>
      <c r="H34" s="126">
        <f t="shared" si="5"/>
        <v>0</v>
      </c>
      <c r="I34" s="126">
        <f t="shared" si="5"/>
        <v>0</v>
      </c>
      <c r="J34" s="126">
        <f t="shared" si="5"/>
        <v>0</v>
      </c>
      <c r="K34" s="126">
        <f t="shared" si="5"/>
        <v>0</v>
      </c>
      <c r="L34" s="127">
        <f t="shared" si="5"/>
        <v>0</v>
      </c>
    </row>
    <row r="35" spans="3:12" ht="15.6" hidden="1">
      <c r="C35" s="39" t="str">
        <f t="shared" si="3"/>
        <v>H</v>
      </c>
      <c r="D35" s="45" t="str">
        <f>Parameter!C$32</f>
        <v>Reverb G2</v>
      </c>
      <c r="E35" s="125">
        <f t="shared" si="5"/>
        <v>0</v>
      </c>
      <c r="F35" s="126">
        <f t="shared" si="5"/>
        <v>0</v>
      </c>
      <c r="G35" s="126">
        <f t="shared" si="5"/>
        <v>0</v>
      </c>
      <c r="H35" s="126">
        <f t="shared" si="5"/>
        <v>0</v>
      </c>
      <c r="I35" s="126">
        <f t="shared" si="5"/>
        <v>0</v>
      </c>
      <c r="J35" s="126">
        <f t="shared" si="5"/>
        <v>0</v>
      </c>
      <c r="K35" s="126">
        <f t="shared" si="5"/>
        <v>0</v>
      </c>
      <c r="L35" s="127">
        <f t="shared" si="5"/>
        <v>0</v>
      </c>
    </row>
    <row r="36" spans="3:12" ht="15.6" hidden="1">
      <c r="C36" s="39" t="str">
        <f t="shared" si="3"/>
        <v>H</v>
      </c>
      <c r="D36" s="45" t="str">
        <f>Parameter!C$33</f>
        <v>Rift S</v>
      </c>
      <c r="E36" s="125">
        <f t="shared" si="5"/>
        <v>0</v>
      </c>
      <c r="F36" s="126">
        <f t="shared" si="5"/>
        <v>0</v>
      </c>
      <c r="G36" s="126">
        <f t="shared" si="5"/>
        <v>0</v>
      </c>
      <c r="H36" s="126">
        <f t="shared" si="5"/>
        <v>0</v>
      </c>
      <c r="I36" s="126">
        <f t="shared" si="5"/>
        <v>0</v>
      </c>
      <c r="J36" s="126">
        <f t="shared" si="5"/>
        <v>0</v>
      </c>
      <c r="K36" s="126">
        <f t="shared" si="5"/>
        <v>0</v>
      </c>
      <c r="L36" s="127">
        <f t="shared" si="5"/>
        <v>0</v>
      </c>
    </row>
    <row r="37" spans="3:12" ht="15.6" hidden="1">
      <c r="C37" s="39" t="str">
        <f t="shared" si="3"/>
        <v>H</v>
      </c>
      <c r="D37" s="45" t="str">
        <f>Parameter!C$34</f>
        <v>Single LCD VR headset</v>
      </c>
      <c r="E37" s="125">
        <f t="shared" si="5"/>
        <v>0</v>
      </c>
      <c r="F37" s="126">
        <f t="shared" si="5"/>
        <v>0</v>
      </c>
      <c r="G37" s="126">
        <f t="shared" si="5"/>
        <v>0</v>
      </c>
      <c r="H37" s="126">
        <f t="shared" si="5"/>
        <v>0</v>
      </c>
      <c r="I37" s="126">
        <f t="shared" si="5"/>
        <v>0</v>
      </c>
      <c r="J37" s="126">
        <f t="shared" si="5"/>
        <v>0</v>
      </c>
      <c r="K37" s="126">
        <f t="shared" si="5"/>
        <v>0</v>
      </c>
      <c r="L37" s="127">
        <f t="shared" si="5"/>
        <v>0</v>
      </c>
    </row>
    <row r="38" spans="3:12" ht="15.6" hidden="1">
      <c r="C38" s="39" t="str">
        <f t="shared" si="3"/>
        <v>H</v>
      </c>
      <c r="D38" s="45" t="str">
        <f>Parameter!C$35</f>
        <v>ThinkReality VRX</v>
      </c>
      <c r="E38" s="125">
        <f t="shared" si="5"/>
        <v>0</v>
      </c>
      <c r="F38" s="126">
        <f t="shared" si="5"/>
        <v>0</v>
      </c>
      <c r="G38" s="126">
        <f t="shared" si="5"/>
        <v>0</v>
      </c>
      <c r="H38" s="126">
        <f t="shared" si="5"/>
        <v>0</v>
      </c>
      <c r="I38" s="126">
        <f t="shared" si="5"/>
        <v>0</v>
      </c>
      <c r="J38" s="126">
        <f t="shared" si="5"/>
        <v>0</v>
      </c>
      <c r="K38" s="126">
        <f t="shared" si="5"/>
        <v>0</v>
      </c>
      <c r="L38" s="127">
        <f t="shared" si="5"/>
        <v>0</v>
      </c>
    </row>
    <row r="39" spans="3:12" ht="15.6" hidden="1">
      <c r="C39" s="39" t="str">
        <f t="shared" si="3"/>
        <v>H</v>
      </c>
      <c r="D39" s="45" t="str">
        <f>Parameter!C$36</f>
        <v>Vision Pro</v>
      </c>
      <c r="E39" s="125">
        <f t="shared" si="5"/>
        <v>0</v>
      </c>
      <c r="F39" s="126">
        <f t="shared" si="5"/>
        <v>0</v>
      </c>
      <c r="G39" s="126">
        <f t="shared" si="5"/>
        <v>0</v>
      </c>
      <c r="H39" s="126">
        <f t="shared" si="5"/>
        <v>0</v>
      </c>
      <c r="I39" s="126">
        <f t="shared" si="5"/>
        <v>0</v>
      </c>
      <c r="J39" s="126">
        <f t="shared" si="5"/>
        <v>0</v>
      </c>
      <c r="K39" s="126">
        <f t="shared" si="5"/>
        <v>0</v>
      </c>
      <c r="L39" s="127">
        <f t="shared" si="5"/>
        <v>0</v>
      </c>
    </row>
    <row r="40" spans="3:12" ht="15.6" hidden="1">
      <c r="C40" s="39" t="str">
        <f t="shared" si="3"/>
        <v>H</v>
      </c>
      <c r="D40" s="45" t="str">
        <f>Parameter!C$37</f>
        <v>Vive LCD headsets</v>
      </c>
      <c r="E40" s="125">
        <f t="shared" si="5"/>
        <v>0</v>
      </c>
      <c r="F40" s="126">
        <f t="shared" si="5"/>
        <v>0</v>
      </c>
      <c r="G40" s="126">
        <f t="shared" si="5"/>
        <v>0</v>
      </c>
      <c r="H40" s="126">
        <f t="shared" si="5"/>
        <v>0</v>
      </c>
      <c r="I40" s="126">
        <f t="shared" si="5"/>
        <v>0</v>
      </c>
      <c r="J40" s="126">
        <f t="shared" si="5"/>
        <v>0</v>
      </c>
      <c r="K40" s="126">
        <f t="shared" si="5"/>
        <v>0</v>
      </c>
      <c r="L40" s="127">
        <f t="shared" si="5"/>
        <v>0</v>
      </c>
    </row>
    <row r="41" spans="3:12" ht="15.6" hidden="1">
      <c r="C41" s="39" t="str">
        <f t="shared" si="3"/>
        <v>H</v>
      </c>
      <c r="D41" s="45" t="str">
        <f>Parameter!C$38</f>
        <v>VR1</v>
      </c>
      <c r="E41" s="125">
        <f t="shared" ref="E41:L50" si="6">SUMIF(ARVR_Y_PC_PR, "VR_"&amp;E$10&amp;"_"&amp;$D$9&amp;"_"&amp;$D41, PanelQ)</f>
        <v>0</v>
      </c>
      <c r="F41" s="126">
        <f t="shared" si="6"/>
        <v>0</v>
      </c>
      <c r="G41" s="126">
        <f t="shared" si="6"/>
        <v>0</v>
      </c>
      <c r="H41" s="126">
        <f t="shared" si="6"/>
        <v>0</v>
      </c>
      <c r="I41" s="126">
        <f t="shared" si="6"/>
        <v>0</v>
      </c>
      <c r="J41" s="126">
        <f t="shared" si="6"/>
        <v>0</v>
      </c>
      <c r="K41" s="126">
        <f t="shared" si="6"/>
        <v>0</v>
      </c>
      <c r="L41" s="127">
        <f t="shared" si="6"/>
        <v>0</v>
      </c>
    </row>
    <row r="42" spans="3:12" ht="15.6" hidden="1">
      <c r="C42" s="39" t="str">
        <f t="shared" si="3"/>
        <v>H</v>
      </c>
      <c r="D42" s="45" t="str">
        <f>Parameter!C$39</f>
        <v>XR-4</v>
      </c>
      <c r="E42" s="125">
        <f t="shared" si="6"/>
        <v>0</v>
      </c>
      <c r="F42" s="126">
        <f t="shared" si="6"/>
        <v>0</v>
      </c>
      <c r="G42" s="126">
        <f t="shared" si="6"/>
        <v>0</v>
      </c>
      <c r="H42" s="126">
        <f t="shared" si="6"/>
        <v>0</v>
      </c>
      <c r="I42" s="126">
        <f t="shared" si="6"/>
        <v>0</v>
      </c>
      <c r="J42" s="126">
        <f t="shared" si="6"/>
        <v>0</v>
      </c>
      <c r="K42" s="126">
        <f t="shared" si="6"/>
        <v>0</v>
      </c>
      <c r="L42" s="127">
        <f t="shared" si="6"/>
        <v>0</v>
      </c>
    </row>
    <row r="43" spans="3:12" ht="15.6" hidden="1">
      <c r="C43" s="39" t="str">
        <f t="shared" si="3"/>
        <v>H</v>
      </c>
      <c r="D43" s="45">
        <f>Parameter!C$40</f>
        <v>0</v>
      </c>
      <c r="E43" s="125">
        <f t="shared" si="6"/>
        <v>0</v>
      </c>
      <c r="F43" s="126">
        <f t="shared" si="6"/>
        <v>0</v>
      </c>
      <c r="G43" s="126">
        <f t="shared" si="6"/>
        <v>0</v>
      </c>
      <c r="H43" s="126">
        <f t="shared" si="6"/>
        <v>0</v>
      </c>
      <c r="I43" s="126">
        <f t="shared" si="6"/>
        <v>0</v>
      </c>
      <c r="J43" s="126">
        <f t="shared" si="6"/>
        <v>0</v>
      </c>
      <c r="K43" s="126">
        <f t="shared" si="6"/>
        <v>0</v>
      </c>
      <c r="L43" s="127">
        <f t="shared" si="6"/>
        <v>0</v>
      </c>
    </row>
    <row r="44" spans="3:12" ht="15.6" hidden="1">
      <c r="C44" s="39" t="str">
        <f t="shared" si="3"/>
        <v>H</v>
      </c>
      <c r="D44" s="45">
        <f>Parameter!C$41</f>
        <v>0</v>
      </c>
      <c r="E44" s="125">
        <f t="shared" si="6"/>
        <v>0</v>
      </c>
      <c r="F44" s="126">
        <f t="shared" si="6"/>
        <v>0</v>
      </c>
      <c r="G44" s="126">
        <f t="shared" si="6"/>
        <v>0</v>
      </c>
      <c r="H44" s="126">
        <f t="shared" si="6"/>
        <v>0</v>
      </c>
      <c r="I44" s="126">
        <f t="shared" si="6"/>
        <v>0</v>
      </c>
      <c r="J44" s="126">
        <f t="shared" si="6"/>
        <v>0</v>
      </c>
      <c r="K44" s="126">
        <f t="shared" si="6"/>
        <v>0</v>
      </c>
      <c r="L44" s="127">
        <f t="shared" si="6"/>
        <v>0</v>
      </c>
    </row>
    <row r="45" spans="3:12" ht="15.6" hidden="1">
      <c r="C45" s="39" t="str">
        <f t="shared" si="3"/>
        <v>H</v>
      </c>
      <c r="D45" s="45">
        <f>Parameter!C$42</f>
        <v>0</v>
      </c>
      <c r="E45" s="125">
        <f t="shared" si="6"/>
        <v>0</v>
      </c>
      <c r="F45" s="126">
        <f t="shared" si="6"/>
        <v>0</v>
      </c>
      <c r="G45" s="126">
        <f t="shared" si="6"/>
        <v>0</v>
      </c>
      <c r="H45" s="126">
        <f t="shared" si="6"/>
        <v>0</v>
      </c>
      <c r="I45" s="126">
        <f t="shared" si="6"/>
        <v>0</v>
      </c>
      <c r="J45" s="126">
        <f t="shared" si="6"/>
        <v>0</v>
      </c>
      <c r="K45" s="126">
        <f t="shared" si="6"/>
        <v>0</v>
      </c>
      <c r="L45" s="127">
        <f t="shared" si="6"/>
        <v>0</v>
      </c>
    </row>
    <row r="46" spans="3:12" ht="15.6" hidden="1">
      <c r="C46" s="39" t="str">
        <f t="shared" si="3"/>
        <v>H</v>
      </c>
      <c r="D46" s="45">
        <f>Parameter!C$43</f>
        <v>0</v>
      </c>
      <c r="E46" s="125">
        <f t="shared" si="6"/>
        <v>0</v>
      </c>
      <c r="F46" s="126">
        <f t="shared" si="6"/>
        <v>0</v>
      </c>
      <c r="G46" s="126">
        <f t="shared" si="6"/>
        <v>0</v>
      </c>
      <c r="H46" s="126">
        <f t="shared" si="6"/>
        <v>0</v>
      </c>
      <c r="I46" s="126">
        <f t="shared" si="6"/>
        <v>0</v>
      </c>
      <c r="J46" s="126">
        <f t="shared" si="6"/>
        <v>0</v>
      </c>
      <c r="K46" s="126">
        <f t="shared" si="6"/>
        <v>0</v>
      </c>
      <c r="L46" s="127">
        <f t="shared" si="6"/>
        <v>0</v>
      </c>
    </row>
    <row r="47" spans="3:12" ht="15.6" hidden="1">
      <c r="C47" s="39" t="str">
        <f t="shared" si="3"/>
        <v>H</v>
      </c>
      <c r="D47" s="45">
        <f>Parameter!C$44</f>
        <v>0</v>
      </c>
      <c r="E47" s="125">
        <f t="shared" si="6"/>
        <v>0</v>
      </c>
      <c r="F47" s="126">
        <f t="shared" si="6"/>
        <v>0</v>
      </c>
      <c r="G47" s="126">
        <f t="shared" si="6"/>
        <v>0</v>
      </c>
      <c r="H47" s="126">
        <f t="shared" si="6"/>
        <v>0</v>
      </c>
      <c r="I47" s="126">
        <f t="shared" si="6"/>
        <v>0</v>
      </c>
      <c r="J47" s="126">
        <f t="shared" si="6"/>
        <v>0</v>
      </c>
      <c r="K47" s="126">
        <f t="shared" si="6"/>
        <v>0</v>
      </c>
      <c r="L47" s="127">
        <f t="shared" si="6"/>
        <v>0</v>
      </c>
    </row>
    <row r="48" spans="3:12" ht="15.6" hidden="1">
      <c r="C48" s="39" t="str">
        <f t="shared" si="3"/>
        <v>H</v>
      </c>
      <c r="D48" s="45">
        <f>Parameter!C$45</f>
        <v>0</v>
      </c>
      <c r="E48" s="125">
        <f t="shared" si="6"/>
        <v>0</v>
      </c>
      <c r="F48" s="126">
        <f t="shared" si="6"/>
        <v>0</v>
      </c>
      <c r="G48" s="126">
        <f t="shared" si="6"/>
        <v>0</v>
      </c>
      <c r="H48" s="126">
        <f t="shared" si="6"/>
        <v>0</v>
      </c>
      <c r="I48" s="126">
        <f t="shared" si="6"/>
        <v>0</v>
      </c>
      <c r="J48" s="126">
        <f t="shared" si="6"/>
        <v>0</v>
      </c>
      <c r="K48" s="126">
        <f t="shared" si="6"/>
        <v>0</v>
      </c>
      <c r="L48" s="127">
        <f t="shared" si="6"/>
        <v>0</v>
      </c>
    </row>
    <row r="49" spans="3:12" ht="15.6" hidden="1">
      <c r="C49" s="39" t="str">
        <f t="shared" si="3"/>
        <v>H</v>
      </c>
      <c r="D49" s="45">
        <f>Parameter!C$46</f>
        <v>0</v>
      </c>
      <c r="E49" s="125">
        <f t="shared" si="6"/>
        <v>0</v>
      </c>
      <c r="F49" s="126">
        <f t="shared" si="6"/>
        <v>0</v>
      </c>
      <c r="G49" s="126">
        <f t="shared" si="6"/>
        <v>0</v>
      </c>
      <c r="H49" s="126">
        <f t="shared" si="6"/>
        <v>0</v>
      </c>
      <c r="I49" s="126">
        <f t="shared" si="6"/>
        <v>0</v>
      </c>
      <c r="J49" s="126">
        <f t="shared" si="6"/>
        <v>0</v>
      </c>
      <c r="K49" s="126">
        <f t="shared" si="6"/>
        <v>0</v>
      </c>
      <c r="L49" s="127">
        <f t="shared" si="6"/>
        <v>0</v>
      </c>
    </row>
    <row r="50" spans="3:12" ht="15.6" hidden="1">
      <c r="C50" s="39" t="str">
        <f t="shared" si="3"/>
        <v>H</v>
      </c>
      <c r="D50" s="45">
        <f>Parameter!C$47</f>
        <v>0</v>
      </c>
      <c r="E50" s="125">
        <f t="shared" si="6"/>
        <v>0</v>
      </c>
      <c r="F50" s="126">
        <f t="shared" si="6"/>
        <v>0</v>
      </c>
      <c r="G50" s="126">
        <f t="shared" si="6"/>
        <v>0</v>
      </c>
      <c r="H50" s="126">
        <f t="shared" si="6"/>
        <v>0</v>
      </c>
      <c r="I50" s="126">
        <f t="shared" si="6"/>
        <v>0</v>
      </c>
      <c r="J50" s="126">
        <f t="shared" si="6"/>
        <v>0</v>
      </c>
      <c r="K50" s="126">
        <f t="shared" si="6"/>
        <v>0</v>
      </c>
      <c r="L50" s="127">
        <f t="shared" si="6"/>
        <v>0</v>
      </c>
    </row>
    <row r="51" spans="3:12" ht="15.6" hidden="1">
      <c r="C51" s="39" t="str">
        <f t="shared" si="3"/>
        <v>H</v>
      </c>
      <c r="D51" s="45">
        <f>Parameter!C$48</f>
        <v>0</v>
      </c>
      <c r="E51" s="125">
        <f t="shared" ref="E51:L60" si="7">SUMIF(ARVR_Y_PC_PR, "VR_"&amp;E$10&amp;"_"&amp;$D$9&amp;"_"&amp;$D51, PanelQ)</f>
        <v>0</v>
      </c>
      <c r="F51" s="126">
        <f t="shared" si="7"/>
        <v>0</v>
      </c>
      <c r="G51" s="126">
        <f t="shared" si="7"/>
        <v>0</v>
      </c>
      <c r="H51" s="126">
        <f t="shared" si="7"/>
        <v>0</v>
      </c>
      <c r="I51" s="126">
        <f t="shared" si="7"/>
        <v>0</v>
      </c>
      <c r="J51" s="126">
        <f t="shared" si="7"/>
        <v>0</v>
      </c>
      <c r="K51" s="126">
        <f t="shared" si="7"/>
        <v>0</v>
      </c>
      <c r="L51" s="127">
        <f t="shared" si="7"/>
        <v>0</v>
      </c>
    </row>
    <row r="52" spans="3:12" ht="15.6" hidden="1">
      <c r="C52" s="39" t="str">
        <f t="shared" si="3"/>
        <v>H</v>
      </c>
      <c r="D52" s="45">
        <f>Parameter!C$49</f>
        <v>0</v>
      </c>
      <c r="E52" s="125">
        <f t="shared" si="7"/>
        <v>0</v>
      </c>
      <c r="F52" s="126">
        <f t="shared" si="7"/>
        <v>0</v>
      </c>
      <c r="G52" s="126">
        <f t="shared" si="7"/>
        <v>0</v>
      </c>
      <c r="H52" s="126">
        <f t="shared" si="7"/>
        <v>0</v>
      </c>
      <c r="I52" s="126">
        <f t="shared" si="7"/>
        <v>0</v>
      </c>
      <c r="J52" s="126">
        <f t="shared" si="7"/>
        <v>0</v>
      </c>
      <c r="K52" s="126">
        <f t="shared" si="7"/>
        <v>0</v>
      </c>
      <c r="L52" s="127">
        <f t="shared" si="7"/>
        <v>0</v>
      </c>
    </row>
    <row r="53" spans="3:12" ht="15.6" hidden="1">
      <c r="C53" s="39" t="str">
        <f t="shared" si="3"/>
        <v>H</v>
      </c>
      <c r="D53" s="45">
        <f>Parameter!C$50</f>
        <v>0</v>
      </c>
      <c r="E53" s="125">
        <f t="shared" si="7"/>
        <v>0</v>
      </c>
      <c r="F53" s="126">
        <f t="shared" si="7"/>
        <v>0</v>
      </c>
      <c r="G53" s="126">
        <f t="shared" si="7"/>
        <v>0</v>
      </c>
      <c r="H53" s="126">
        <f t="shared" si="7"/>
        <v>0</v>
      </c>
      <c r="I53" s="126">
        <f t="shared" si="7"/>
        <v>0</v>
      </c>
      <c r="J53" s="126">
        <f t="shared" si="7"/>
        <v>0</v>
      </c>
      <c r="K53" s="126">
        <f t="shared" si="7"/>
        <v>0</v>
      </c>
      <c r="L53" s="127">
        <f t="shared" si="7"/>
        <v>0</v>
      </c>
    </row>
    <row r="54" spans="3:12" ht="15.6" hidden="1">
      <c r="C54" s="39" t="str">
        <f t="shared" si="3"/>
        <v>H</v>
      </c>
      <c r="D54" s="45">
        <f>Parameter!C$51</f>
        <v>0</v>
      </c>
      <c r="E54" s="125">
        <f t="shared" si="7"/>
        <v>0</v>
      </c>
      <c r="F54" s="126">
        <f t="shared" si="7"/>
        <v>0</v>
      </c>
      <c r="G54" s="126">
        <f t="shared" si="7"/>
        <v>0</v>
      </c>
      <c r="H54" s="126">
        <f t="shared" si="7"/>
        <v>0</v>
      </c>
      <c r="I54" s="126">
        <f t="shared" si="7"/>
        <v>0</v>
      </c>
      <c r="J54" s="126">
        <f t="shared" si="7"/>
        <v>0</v>
      </c>
      <c r="K54" s="126">
        <f t="shared" si="7"/>
        <v>0</v>
      </c>
      <c r="L54" s="127">
        <f t="shared" si="7"/>
        <v>0</v>
      </c>
    </row>
    <row r="55" spans="3:12" ht="15.6" hidden="1">
      <c r="C55" s="39" t="str">
        <f t="shared" si="3"/>
        <v>H</v>
      </c>
      <c r="D55" s="45">
        <f>Parameter!C$52</f>
        <v>0</v>
      </c>
      <c r="E55" s="125">
        <f t="shared" si="7"/>
        <v>0</v>
      </c>
      <c r="F55" s="126">
        <f t="shared" si="7"/>
        <v>0</v>
      </c>
      <c r="G55" s="126">
        <f t="shared" si="7"/>
        <v>0</v>
      </c>
      <c r="H55" s="126">
        <f t="shared" si="7"/>
        <v>0</v>
      </c>
      <c r="I55" s="126">
        <f t="shared" si="7"/>
        <v>0</v>
      </c>
      <c r="J55" s="126">
        <f t="shared" si="7"/>
        <v>0</v>
      </c>
      <c r="K55" s="126">
        <f t="shared" si="7"/>
        <v>0</v>
      </c>
      <c r="L55" s="127">
        <f t="shared" si="7"/>
        <v>0</v>
      </c>
    </row>
    <row r="56" spans="3:12" ht="15.6" hidden="1">
      <c r="C56" s="39" t="str">
        <f t="shared" si="3"/>
        <v>H</v>
      </c>
      <c r="D56" s="45">
        <f>Parameter!C$53</f>
        <v>0</v>
      </c>
      <c r="E56" s="125">
        <f t="shared" si="7"/>
        <v>0</v>
      </c>
      <c r="F56" s="126">
        <f t="shared" si="7"/>
        <v>0</v>
      </c>
      <c r="G56" s="126">
        <f t="shared" si="7"/>
        <v>0</v>
      </c>
      <c r="H56" s="126">
        <f t="shared" si="7"/>
        <v>0</v>
      </c>
      <c r="I56" s="126">
        <f t="shared" si="7"/>
        <v>0</v>
      </c>
      <c r="J56" s="126">
        <f t="shared" si="7"/>
        <v>0</v>
      </c>
      <c r="K56" s="126">
        <f t="shared" si="7"/>
        <v>0</v>
      </c>
      <c r="L56" s="127">
        <f t="shared" si="7"/>
        <v>0</v>
      </c>
    </row>
    <row r="57" spans="3:12" ht="15.6" hidden="1">
      <c r="C57" s="39" t="str">
        <f t="shared" si="3"/>
        <v>H</v>
      </c>
      <c r="D57" s="45">
        <f>Parameter!C$54</f>
        <v>0</v>
      </c>
      <c r="E57" s="125">
        <f t="shared" si="7"/>
        <v>0</v>
      </c>
      <c r="F57" s="126">
        <f t="shared" si="7"/>
        <v>0</v>
      </c>
      <c r="G57" s="126">
        <f t="shared" si="7"/>
        <v>0</v>
      </c>
      <c r="H57" s="126">
        <f t="shared" si="7"/>
        <v>0</v>
      </c>
      <c r="I57" s="126">
        <f t="shared" si="7"/>
        <v>0</v>
      </c>
      <c r="J57" s="126">
        <f t="shared" si="7"/>
        <v>0</v>
      </c>
      <c r="K57" s="126">
        <f t="shared" si="7"/>
        <v>0</v>
      </c>
      <c r="L57" s="127">
        <f t="shared" si="7"/>
        <v>0</v>
      </c>
    </row>
    <row r="58" spans="3:12" ht="15.6" hidden="1">
      <c r="C58" s="39" t="str">
        <f t="shared" si="3"/>
        <v>H</v>
      </c>
      <c r="D58" s="45">
        <f>Parameter!C$55</f>
        <v>0</v>
      </c>
      <c r="E58" s="125">
        <f t="shared" si="7"/>
        <v>0</v>
      </c>
      <c r="F58" s="126">
        <f t="shared" si="7"/>
        <v>0</v>
      </c>
      <c r="G58" s="126">
        <f t="shared" si="7"/>
        <v>0</v>
      </c>
      <c r="H58" s="126">
        <f t="shared" si="7"/>
        <v>0</v>
      </c>
      <c r="I58" s="126">
        <f t="shared" si="7"/>
        <v>0</v>
      </c>
      <c r="J58" s="126">
        <f t="shared" si="7"/>
        <v>0</v>
      </c>
      <c r="K58" s="126">
        <f t="shared" si="7"/>
        <v>0</v>
      </c>
      <c r="L58" s="127">
        <f t="shared" si="7"/>
        <v>0</v>
      </c>
    </row>
    <row r="59" spans="3:12" ht="15.6" hidden="1">
      <c r="C59" s="39" t="str">
        <f t="shared" si="3"/>
        <v>H</v>
      </c>
      <c r="D59" s="45">
        <f>Parameter!C$56</f>
        <v>0</v>
      </c>
      <c r="E59" s="125">
        <f t="shared" si="7"/>
        <v>0</v>
      </c>
      <c r="F59" s="126">
        <f t="shared" si="7"/>
        <v>0</v>
      </c>
      <c r="G59" s="126">
        <f t="shared" si="7"/>
        <v>0</v>
      </c>
      <c r="H59" s="126">
        <f t="shared" si="7"/>
        <v>0</v>
      </c>
      <c r="I59" s="126">
        <f t="shared" si="7"/>
        <v>0</v>
      </c>
      <c r="J59" s="126">
        <f t="shared" si="7"/>
        <v>0</v>
      </c>
      <c r="K59" s="126">
        <f t="shared" si="7"/>
        <v>0</v>
      </c>
      <c r="L59" s="127">
        <f t="shared" si="7"/>
        <v>0</v>
      </c>
    </row>
    <row r="60" spans="3:12" ht="16.2" hidden="1" thickBot="1">
      <c r="C60" s="39" t="str">
        <f t="shared" si="3"/>
        <v>H</v>
      </c>
      <c r="D60" s="53" t="str">
        <f>Parameter!C$57</f>
        <v>ALL</v>
      </c>
      <c r="E60" s="128">
        <f t="shared" si="7"/>
        <v>0</v>
      </c>
      <c r="F60" s="129">
        <f t="shared" si="7"/>
        <v>0</v>
      </c>
      <c r="G60" s="129">
        <f t="shared" si="7"/>
        <v>0</v>
      </c>
      <c r="H60" s="129">
        <f t="shared" si="7"/>
        <v>0</v>
      </c>
      <c r="I60" s="129">
        <f t="shared" si="7"/>
        <v>0</v>
      </c>
      <c r="J60" s="129">
        <f t="shared" si="7"/>
        <v>0</v>
      </c>
      <c r="K60" s="129">
        <f t="shared" si="7"/>
        <v>0</v>
      </c>
      <c r="L60" s="130">
        <f t="shared" si="7"/>
        <v>0</v>
      </c>
    </row>
    <row r="61" spans="3:12" ht="15.6" hidden="1">
      <c r="C61" s="39" t="str">
        <f t="shared" si="3"/>
        <v>H</v>
      </c>
      <c r="D61" s="54" t="s">
        <v>87</v>
      </c>
      <c r="E61" s="131">
        <f>SUM(E11:E60)</f>
        <v>0</v>
      </c>
      <c r="F61" s="132">
        <f t="shared" ref="F61:L61" si="8">SUM(F11:F60)</f>
        <v>0</v>
      </c>
      <c r="G61" s="132">
        <f t="shared" si="8"/>
        <v>0</v>
      </c>
      <c r="H61" s="132">
        <f t="shared" si="8"/>
        <v>0</v>
      </c>
      <c r="I61" s="132">
        <f t="shared" si="8"/>
        <v>0</v>
      </c>
      <c r="J61" s="132">
        <f t="shared" si="8"/>
        <v>0</v>
      </c>
      <c r="K61" s="132">
        <f t="shared" si="8"/>
        <v>0</v>
      </c>
      <c r="L61" s="133">
        <f t="shared" si="8"/>
        <v>0</v>
      </c>
    </row>
    <row r="62" spans="3:12" ht="16.2" hidden="1" thickBot="1">
      <c r="C62" s="39" t="str">
        <f t="shared" si="3"/>
        <v>H</v>
      </c>
      <c r="D62" s="46" t="s">
        <v>88</v>
      </c>
      <c r="E62" s="47"/>
      <c r="F62" s="50" t="str">
        <f t="shared" ref="F62:G62" si="9">IF(E61*F61=0, "", F61/E61-1)</f>
        <v/>
      </c>
      <c r="G62" s="50" t="str">
        <f t="shared" si="9"/>
        <v/>
      </c>
      <c r="H62" s="50" t="str">
        <f>IF(G61*H61=0, "", H61/G61-1)</f>
        <v/>
      </c>
      <c r="I62" s="50" t="str">
        <f t="shared" ref="I62:L62" si="10">IF(H61*I61=0, "", I61/H61-1)</f>
        <v/>
      </c>
      <c r="J62" s="50" t="str">
        <f t="shared" si="10"/>
        <v/>
      </c>
      <c r="K62" s="50" t="str">
        <f t="shared" si="10"/>
        <v/>
      </c>
      <c r="L62" s="51" t="str">
        <f t="shared" si="10"/>
        <v/>
      </c>
    </row>
    <row r="63" spans="3:12" ht="15.6">
      <c r="C63"/>
      <c r="D63" s="49"/>
      <c r="E63" s="55"/>
      <c r="F63" s="56"/>
      <c r="G63" s="56"/>
      <c r="H63" s="56"/>
      <c r="I63" s="56"/>
      <c r="J63" s="56"/>
      <c r="K63" s="56"/>
      <c r="L63" s="56"/>
    </row>
    <row r="64" spans="3:12" ht="14.4" thickBot="1">
      <c r="C64"/>
    </row>
    <row r="65" spans="3:12" ht="15" thickBot="1">
      <c r="C65" s="57" t="str">
        <f>IF(SUM(E117:L117)=0, "H", "")</f>
        <v/>
      </c>
      <c r="D65" s="52" t="str">
        <f>Parameter!G9</f>
        <v>1x LCD</v>
      </c>
    </row>
    <row r="66" spans="3:12" ht="16.2" thickBot="1">
      <c r="C66" s="57" t="str">
        <f>IF(SUM(E117:L117)=0, "H", "")</f>
        <v/>
      </c>
      <c r="D66" s="40" t="s">
        <v>85</v>
      </c>
      <c r="E66" s="41" t="str">
        <f t="shared" ref="E66:L66" si="11">E10</f>
        <v>2022</v>
      </c>
      <c r="F66" s="42" t="str">
        <f t="shared" si="11"/>
        <v>2023</v>
      </c>
      <c r="G66" s="42" t="str">
        <f t="shared" si="11"/>
        <v>2024</v>
      </c>
      <c r="H66" s="42">
        <f t="shared" si="11"/>
        <v>2025</v>
      </c>
      <c r="I66" s="42" t="str">
        <f t="shared" si="11"/>
        <v>2026</v>
      </c>
      <c r="J66" s="42" t="str">
        <f t="shared" si="11"/>
        <v>2027</v>
      </c>
      <c r="K66" s="42" t="str">
        <f t="shared" si="11"/>
        <v>2028</v>
      </c>
      <c r="L66" s="43" t="str">
        <f t="shared" si="11"/>
        <v>2029</v>
      </c>
    </row>
    <row r="67" spans="3:12" ht="15.6" hidden="1">
      <c r="C67" s="39" t="str">
        <f>IF(SUM(E67:L67)=0, "H", "")</f>
        <v>H</v>
      </c>
      <c r="D67" s="44" t="str">
        <f>Parameter!C$8</f>
        <v>5K VR</v>
      </c>
      <c r="E67" s="125">
        <f t="shared" ref="E67:L76" si="12">SUMIF(ARVR_Y_PC_PR, "VR_"&amp;E$66&amp;"_"&amp;$D$65&amp;"_"&amp;$D67, PanelQ)</f>
        <v>0</v>
      </c>
      <c r="F67" s="126">
        <f t="shared" si="12"/>
        <v>0</v>
      </c>
      <c r="G67" s="126">
        <f t="shared" si="12"/>
        <v>0</v>
      </c>
      <c r="H67" s="126">
        <f t="shared" si="12"/>
        <v>0</v>
      </c>
      <c r="I67" s="126">
        <f t="shared" si="12"/>
        <v>0</v>
      </c>
      <c r="J67" s="126">
        <f t="shared" si="12"/>
        <v>0</v>
      </c>
      <c r="K67" s="126">
        <f t="shared" si="12"/>
        <v>0</v>
      </c>
      <c r="L67" s="127">
        <f t="shared" si="12"/>
        <v>0</v>
      </c>
    </row>
    <row r="68" spans="3:12" ht="15.6" hidden="1">
      <c r="C68" s="39" t="str">
        <f t="shared" si="3"/>
        <v>H</v>
      </c>
      <c r="D68" s="44" t="str">
        <f>Parameter!C$9</f>
        <v>Aero</v>
      </c>
      <c r="E68" s="125">
        <f t="shared" si="12"/>
        <v>0</v>
      </c>
      <c r="F68" s="126">
        <f t="shared" si="12"/>
        <v>0</v>
      </c>
      <c r="G68" s="126">
        <f t="shared" si="12"/>
        <v>0</v>
      </c>
      <c r="H68" s="126">
        <f t="shared" si="12"/>
        <v>0</v>
      </c>
      <c r="I68" s="126">
        <f t="shared" si="12"/>
        <v>0</v>
      </c>
      <c r="J68" s="126">
        <f t="shared" si="12"/>
        <v>0</v>
      </c>
      <c r="K68" s="126">
        <f t="shared" si="12"/>
        <v>0</v>
      </c>
      <c r="L68" s="127">
        <f t="shared" si="12"/>
        <v>0</v>
      </c>
    </row>
    <row r="69" spans="3:12" ht="15.6" hidden="1">
      <c r="C69" s="39" t="str">
        <f t="shared" si="3"/>
        <v>H</v>
      </c>
      <c r="D69" s="45" t="str">
        <f>Parameter!C$10</f>
        <v>Beyond</v>
      </c>
      <c r="E69" s="125">
        <f t="shared" si="12"/>
        <v>0</v>
      </c>
      <c r="F69" s="126">
        <f t="shared" si="12"/>
        <v>0</v>
      </c>
      <c r="G69" s="126">
        <f t="shared" si="12"/>
        <v>0</v>
      </c>
      <c r="H69" s="126">
        <f t="shared" si="12"/>
        <v>0</v>
      </c>
      <c r="I69" s="126">
        <f t="shared" si="12"/>
        <v>0</v>
      </c>
      <c r="J69" s="126">
        <f t="shared" si="12"/>
        <v>0</v>
      </c>
      <c r="K69" s="126">
        <f t="shared" si="12"/>
        <v>0</v>
      </c>
      <c r="L69" s="127">
        <f t="shared" si="12"/>
        <v>0</v>
      </c>
    </row>
    <row r="70" spans="3:12" ht="15.6" hidden="1">
      <c r="C70" s="39" t="str">
        <f t="shared" si="3"/>
        <v>H</v>
      </c>
      <c r="D70" s="45" t="str">
        <f>Parameter!C$11</f>
        <v>Bionic models</v>
      </c>
      <c r="E70" s="125">
        <f t="shared" si="12"/>
        <v>0</v>
      </c>
      <c r="F70" s="126">
        <f t="shared" si="12"/>
        <v>0</v>
      </c>
      <c r="G70" s="126">
        <f t="shared" si="12"/>
        <v>0</v>
      </c>
      <c r="H70" s="126">
        <f t="shared" si="12"/>
        <v>0</v>
      </c>
      <c r="I70" s="126">
        <f t="shared" si="12"/>
        <v>0</v>
      </c>
      <c r="J70" s="126">
        <f t="shared" si="12"/>
        <v>0</v>
      </c>
      <c r="K70" s="126">
        <f t="shared" si="12"/>
        <v>0</v>
      </c>
      <c r="L70" s="127">
        <f t="shared" si="12"/>
        <v>0</v>
      </c>
    </row>
    <row r="71" spans="3:12" ht="15.6" hidden="1">
      <c r="C71" s="39" t="str">
        <f t="shared" si="3"/>
        <v>H</v>
      </c>
      <c r="D71" s="45" t="str">
        <f>Parameter!C$12</f>
        <v>Dual LCD VR headset</v>
      </c>
      <c r="E71" s="125">
        <f t="shared" si="12"/>
        <v>0</v>
      </c>
      <c r="F71" s="126">
        <f t="shared" si="12"/>
        <v>0</v>
      </c>
      <c r="G71" s="126">
        <f t="shared" si="12"/>
        <v>0</v>
      </c>
      <c r="H71" s="126">
        <f t="shared" si="12"/>
        <v>0</v>
      </c>
      <c r="I71" s="126">
        <f t="shared" si="12"/>
        <v>0</v>
      </c>
      <c r="J71" s="126">
        <f t="shared" si="12"/>
        <v>0</v>
      </c>
      <c r="K71" s="126">
        <f t="shared" si="12"/>
        <v>0</v>
      </c>
      <c r="L71" s="127">
        <f t="shared" si="12"/>
        <v>0</v>
      </c>
    </row>
    <row r="72" spans="3:12" ht="15.6" hidden="1">
      <c r="C72" s="39" t="str">
        <f t="shared" si="3"/>
        <v>H</v>
      </c>
      <c r="D72" s="45" t="str">
        <f>Parameter!C$13</f>
        <v>Dual SiOLED headset</v>
      </c>
      <c r="E72" s="125">
        <f t="shared" si="12"/>
        <v>0</v>
      </c>
      <c r="F72" s="126">
        <f t="shared" si="12"/>
        <v>0</v>
      </c>
      <c r="G72" s="126">
        <f t="shared" si="12"/>
        <v>0</v>
      </c>
      <c r="H72" s="126">
        <f t="shared" si="12"/>
        <v>0</v>
      </c>
      <c r="I72" s="126">
        <f t="shared" si="12"/>
        <v>0</v>
      </c>
      <c r="J72" s="126">
        <f t="shared" si="12"/>
        <v>0</v>
      </c>
      <c r="K72" s="126">
        <f t="shared" si="12"/>
        <v>0</v>
      </c>
      <c r="L72" s="127">
        <f t="shared" si="12"/>
        <v>0</v>
      </c>
    </row>
    <row r="73" spans="3:12" ht="15.6" hidden="1">
      <c r="C73" s="39" t="str">
        <f t="shared" si="3"/>
        <v>H</v>
      </c>
      <c r="D73" s="45" t="str">
        <f>Parameter!C$14</f>
        <v>Index</v>
      </c>
      <c r="E73" s="125">
        <f t="shared" si="12"/>
        <v>0</v>
      </c>
      <c r="F73" s="126">
        <f t="shared" si="12"/>
        <v>0</v>
      </c>
      <c r="G73" s="126">
        <f t="shared" si="12"/>
        <v>0</v>
      </c>
      <c r="H73" s="126">
        <f t="shared" si="12"/>
        <v>0</v>
      </c>
      <c r="I73" s="126">
        <f t="shared" si="12"/>
        <v>0</v>
      </c>
      <c r="J73" s="126">
        <f t="shared" si="12"/>
        <v>0</v>
      </c>
      <c r="K73" s="126">
        <f t="shared" si="12"/>
        <v>0</v>
      </c>
      <c r="L73" s="127">
        <f t="shared" si="12"/>
        <v>0</v>
      </c>
    </row>
    <row r="74" spans="3:12" ht="15.6" hidden="1">
      <c r="C74" s="39" t="str">
        <f t="shared" si="3"/>
        <v>H</v>
      </c>
      <c r="D74" s="45" t="str">
        <f>Parameter!C$15</f>
        <v>MeganeX</v>
      </c>
      <c r="E74" s="125">
        <f t="shared" si="12"/>
        <v>0</v>
      </c>
      <c r="F74" s="126">
        <f t="shared" si="12"/>
        <v>0</v>
      </c>
      <c r="G74" s="126">
        <f t="shared" si="12"/>
        <v>0</v>
      </c>
      <c r="H74" s="126">
        <f t="shared" si="12"/>
        <v>0</v>
      </c>
      <c r="I74" s="126">
        <f t="shared" si="12"/>
        <v>0</v>
      </c>
      <c r="J74" s="126">
        <f t="shared" si="12"/>
        <v>0</v>
      </c>
      <c r="K74" s="126">
        <f t="shared" si="12"/>
        <v>0</v>
      </c>
      <c r="L74" s="127">
        <f t="shared" si="12"/>
        <v>0</v>
      </c>
    </row>
    <row r="75" spans="3:12" ht="15.6" hidden="1">
      <c r="C75" s="39" t="str">
        <f t="shared" si="3"/>
        <v>H</v>
      </c>
      <c r="D75" s="45" t="str">
        <f>Parameter!C$16</f>
        <v>MeganeX Superlight 8K</v>
      </c>
      <c r="E75" s="125">
        <f t="shared" si="12"/>
        <v>0</v>
      </c>
      <c r="F75" s="126">
        <f t="shared" si="12"/>
        <v>0</v>
      </c>
      <c r="G75" s="126">
        <f t="shared" si="12"/>
        <v>0</v>
      </c>
      <c r="H75" s="126">
        <f t="shared" si="12"/>
        <v>0</v>
      </c>
      <c r="I75" s="126">
        <f t="shared" si="12"/>
        <v>0</v>
      </c>
      <c r="J75" s="126">
        <f t="shared" si="12"/>
        <v>0</v>
      </c>
      <c r="K75" s="126">
        <f t="shared" si="12"/>
        <v>0</v>
      </c>
      <c r="L75" s="127">
        <f t="shared" si="12"/>
        <v>0</v>
      </c>
    </row>
    <row r="76" spans="3:12" ht="15.6">
      <c r="C76" s="39" t="str">
        <f t="shared" si="3"/>
        <v/>
      </c>
      <c r="D76" s="45" t="str">
        <f>Parameter!C$17</f>
        <v>Neo 3 / G3</v>
      </c>
      <c r="E76" s="125">
        <f t="shared" si="12"/>
        <v>0.495</v>
      </c>
      <c r="F76" s="126">
        <f t="shared" si="12"/>
        <v>0.20284000000000002</v>
      </c>
      <c r="G76" s="126">
        <f t="shared" si="12"/>
        <v>9.8999999999999991E-3</v>
      </c>
      <c r="H76" s="126">
        <f t="shared" si="12"/>
        <v>0</v>
      </c>
      <c r="I76" s="126">
        <f t="shared" si="12"/>
        <v>0</v>
      </c>
      <c r="J76" s="126">
        <f t="shared" si="12"/>
        <v>0</v>
      </c>
      <c r="K76" s="126">
        <f t="shared" si="12"/>
        <v>0</v>
      </c>
      <c r="L76" s="127">
        <f t="shared" si="12"/>
        <v>0</v>
      </c>
    </row>
    <row r="77" spans="3:12" ht="15.6" hidden="1">
      <c r="C77" s="39" t="str">
        <f t="shared" si="3"/>
        <v>H</v>
      </c>
      <c r="D77" s="45" t="str">
        <f>Parameter!C$18</f>
        <v>OLED VR headset</v>
      </c>
      <c r="E77" s="125">
        <f t="shared" ref="E77:L86" si="13">SUMIF(ARVR_Y_PC_PR, "VR_"&amp;E$66&amp;"_"&amp;$D$65&amp;"_"&amp;$D77, PanelQ)</f>
        <v>0</v>
      </c>
      <c r="F77" s="126">
        <f t="shared" si="13"/>
        <v>0</v>
      </c>
      <c r="G77" s="126">
        <f t="shared" si="13"/>
        <v>0</v>
      </c>
      <c r="H77" s="126">
        <f t="shared" si="13"/>
        <v>0</v>
      </c>
      <c r="I77" s="126">
        <f t="shared" si="13"/>
        <v>0</v>
      </c>
      <c r="J77" s="126">
        <f t="shared" si="13"/>
        <v>0</v>
      </c>
      <c r="K77" s="126">
        <f t="shared" si="13"/>
        <v>0</v>
      </c>
      <c r="L77" s="127">
        <f t="shared" si="13"/>
        <v>0</v>
      </c>
    </row>
    <row r="78" spans="3:12" ht="15.6">
      <c r="C78" s="39" t="str">
        <f t="shared" si="3"/>
        <v/>
      </c>
      <c r="D78" s="45" t="str">
        <f>Parameter!C$19</f>
        <v>P1 family</v>
      </c>
      <c r="E78" s="125">
        <f t="shared" si="13"/>
        <v>0.44</v>
      </c>
      <c r="F78" s="126">
        <f t="shared" si="13"/>
        <v>2.6378000000000002E-2</v>
      </c>
      <c r="G78" s="126">
        <f t="shared" si="13"/>
        <v>2.0799999999999999E-2</v>
      </c>
      <c r="H78" s="126">
        <f t="shared" si="13"/>
        <v>0</v>
      </c>
      <c r="I78" s="126">
        <f t="shared" si="13"/>
        <v>0</v>
      </c>
      <c r="J78" s="126">
        <f t="shared" si="13"/>
        <v>0</v>
      </c>
      <c r="K78" s="126">
        <f t="shared" si="13"/>
        <v>0</v>
      </c>
      <c r="L78" s="127">
        <f t="shared" si="13"/>
        <v>0</v>
      </c>
    </row>
    <row r="79" spans="3:12" ht="15.6" hidden="1">
      <c r="C79" s="39" t="str">
        <f t="shared" si="3"/>
        <v>H</v>
      </c>
      <c r="D79" s="45" t="str">
        <f>Parameter!C$20</f>
        <v>Pico 4</v>
      </c>
      <c r="E79" s="125">
        <f t="shared" si="13"/>
        <v>0</v>
      </c>
      <c r="F79" s="126">
        <f t="shared" si="13"/>
        <v>0</v>
      </c>
      <c r="G79" s="126">
        <f t="shared" si="13"/>
        <v>0</v>
      </c>
      <c r="H79" s="126">
        <f t="shared" si="13"/>
        <v>0</v>
      </c>
      <c r="I79" s="126">
        <f t="shared" si="13"/>
        <v>0</v>
      </c>
      <c r="J79" s="126">
        <f t="shared" si="13"/>
        <v>0</v>
      </c>
      <c r="K79" s="126">
        <f t="shared" si="13"/>
        <v>0</v>
      </c>
      <c r="L79" s="127">
        <f t="shared" si="13"/>
        <v>0</v>
      </c>
    </row>
    <row r="80" spans="3:12" ht="15.6" hidden="1">
      <c r="C80" s="39" t="str">
        <f t="shared" si="3"/>
        <v>H</v>
      </c>
      <c r="D80" s="45" t="str">
        <f>Parameter!C$21</f>
        <v>Pimax VR</v>
      </c>
      <c r="E80" s="125">
        <f t="shared" si="13"/>
        <v>0</v>
      </c>
      <c r="F80" s="126">
        <f t="shared" si="13"/>
        <v>0</v>
      </c>
      <c r="G80" s="126">
        <f t="shared" si="13"/>
        <v>0</v>
      </c>
      <c r="H80" s="126">
        <f t="shared" si="13"/>
        <v>0</v>
      </c>
      <c r="I80" s="126">
        <f t="shared" si="13"/>
        <v>0</v>
      </c>
      <c r="J80" s="126">
        <f t="shared" si="13"/>
        <v>0</v>
      </c>
      <c r="K80" s="126">
        <f t="shared" si="13"/>
        <v>0</v>
      </c>
      <c r="L80" s="127">
        <f t="shared" si="13"/>
        <v>0</v>
      </c>
    </row>
    <row r="81" spans="3:12" ht="15.6" hidden="1">
      <c r="C81" s="39" t="str">
        <f t="shared" si="3"/>
        <v>H</v>
      </c>
      <c r="D81" s="45" t="str">
        <f>Parameter!C$22</f>
        <v>PlayStation VR</v>
      </c>
      <c r="E81" s="125">
        <f t="shared" si="13"/>
        <v>0</v>
      </c>
      <c r="F81" s="126">
        <f t="shared" si="13"/>
        <v>0</v>
      </c>
      <c r="G81" s="126">
        <f t="shared" si="13"/>
        <v>0</v>
      </c>
      <c r="H81" s="126">
        <f t="shared" si="13"/>
        <v>0</v>
      </c>
      <c r="I81" s="126">
        <f t="shared" si="13"/>
        <v>0</v>
      </c>
      <c r="J81" s="126">
        <f t="shared" si="13"/>
        <v>0</v>
      </c>
      <c r="K81" s="126">
        <f t="shared" si="13"/>
        <v>0</v>
      </c>
      <c r="L81" s="127">
        <f t="shared" si="13"/>
        <v>0</v>
      </c>
    </row>
    <row r="82" spans="3:12" ht="15.6" hidden="1">
      <c r="C82" s="39" t="str">
        <f t="shared" ref="C82:C118" si="14">IF(SUM(E82:L82)=0, "H", "")</f>
        <v>H</v>
      </c>
      <c r="D82" s="45" t="str">
        <f>Parameter!C$23</f>
        <v>PlayStation VR2</v>
      </c>
      <c r="E82" s="125">
        <f t="shared" si="13"/>
        <v>0</v>
      </c>
      <c r="F82" s="126">
        <f t="shared" si="13"/>
        <v>0</v>
      </c>
      <c r="G82" s="126">
        <f t="shared" si="13"/>
        <v>0</v>
      </c>
      <c r="H82" s="126">
        <f t="shared" si="13"/>
        <v>0</v>
      </c>
      <c r="I82" s="126">
        <f t="shared" si="13"/>
        <v>0</v>
      </c>
      <c r="J82" s="126">
        <f t="shared" si="13"/>
        <v>0</v>
      </c>
      <c r="K82" s="126">
        <f t="shared" si="13"/>
        <v>0</v>
      </c>
      <c r="L82" s="127">
        <f t="shared" si="13"/>
        <v>0</v>
      </c>
    </row>
    <row r="83" spans="3:12" ht="15.6" hidden="1">
      <c r="C83" s="39" t="str">
        <f t="shared" si="14"/>
        <v>H</v>
      </c>
      <c r="D83" s="45" t="str">
        <f>Parameter!C$24</f>
        <v>Project Moohan</v>
      </c>
      <c r="E83" s="125">
        <f t="shared" si="13"/>
        <v>0</v>
      </c>
      <c r="F83" s="126">
        <f t="shared" si="13"/>
        <v>0</v>
      </c>
      <c r="G83" s="126">
        <f t="shared" si="13"/>
        <v>0</v>
      </c>
      <c r="H83" s="126">
        <f t="shared" si="13"/>
        <v>0</v>
      </c>
      <c r="I83" s="126">
        <f t="shared" si="13"/>
        <v>0</v>
      </c>
      <c r="J83" s="126">
        <f t="shared" si="13"/>
        <v>0</v>
      </c>
      <c r="K83" s="126">
        <f t="shared" si="13"/>
        <v>0</v>
      </c>
      <c r="L83" s="127">
        <f t="shared" si="13"/>
        <v>0</v>
      </c>
    </row>
    <row r="84" spans="3:12" ht="15.6" hidden="1">
      <c r="C84" s="39" t="str">
        <f t="shared" si="14"/>
        <v>H</v>
      </c>
      <c r="D84" s="45" t="str">
        <f>Parameter!C$25</f>
        <v>Quest</v>
      </c>
      <c r="E84" s="125">
        <f t="shared" si="13"/>
        <v>0</v>
      </c>
      <c r="F84" s="126">
        <f t="shared" si="13"/>
        <v>0</v>
      </c>
      <c r="G84" s="126">
        <f t="shared" si="13"/>
        <v>0</v>
      </c>
      <c r="H84" s="126">
        <f t="shared" si="13"/>
        <v>0</v>
      </c>
      <c r="I84" s="126">
        <f t="shared" si="13"/>
        <v>0</v>
      </c>
      <c r="J84" s="126">
        <f t="shared" si="13"/>
        <v>0</v>
      </c>
      <c r="K84" s="126">
        <f t="shared" si="13"/>
        <v>0</v>
      </c>
      <c r="L84" s="127">
        <f t="shared" si="13"/>
        <v>0</v>
      </c>
    </row>
    <row r="85" spans="3:12" ht="15.6">
      <c r="C85" s="39" t="str">
        <f t="shared" si="14"/>
        <v/>
      </c>
      <c r="D85" s="45" t="str">
        <f>Parameter!C$26</f>
        <v>Quest 2</v>
      </c>
      <c r="E85" s="125">
        <f t="shared" si="13"/>
        <v>5.5</v>
      </c>
      <c r="F85" s="126">
        <f t="shared" si="13"/>
        <v>1.4743300000000001</v>
      </c>
      <c r="G85" s="126">
        <f t="shared" si="13"/>
        <v>0.04</v>
      </c>
      <c r="H85" s="126">
        <f t="shared" si="13"/>
        <v>0</v>
      </c>
      <c r="I85" s="126">
        <f t="shared" si="13"/>
        <v>0</v>
      </c>
      <c r="J85" s="126">
        <f t="shared" si="13"/>
        <v>0</v>
      </c>
      <c r="K85" s="126">
        <f t="shared" si="13"/>
        <v>0</v>
      </c>
      <c r="L85" s="127">
        <f t="shared" si="13"/>
        <v>0</v>
      </c>
    </row>
    <row r="86" spans="3:12" ht="15.6" hidden="1">
      <c r="C86" s="39" t="str">
        <f t="shared" si="14"/>
        <v>H</v>
      </c>
      <c r="D86" s="45" t="str">
        <f>Parameter!C$27</f>
        <v>Quest 3</v>
      </c>
      <c r="E86" s="125">
        <f t="shared" si="13"/>
        <v>0</v>
      </c>
      <c r="F86" s="126">
        <f t="shared" si="13"/>
        <v>0</v>
      </c>
      <c r="G86" s="126">
        <f t="shared" si="13"/>
        <v>0</v>
      </c>
      <c r="H86" s="126">
        <f t="shared" si="13"/>
        <v>0</v>
      </c>
      <c r="I86" s="126">
        <f t="shared" si="13"/>
        <v>0</v>
      </c>
      <c r="J86" s="126">
        <f t="shared" si="13"/>
        <v>0</v>
      </c>
      <c r="K86" s="126">
        <f t="shared" si="13"/>
        <v>0</v>
      </c>
      <c r="L86" s="127">
        <f t="shared" si="13"/>
        <v>0</v>
      </c>
    </row>
    <row r="87" spans="3:12" ht="15.6">
      <c r="C87" s="39" t="str">
        <f t="shared" si="14"/>
        <v/>
      </c>
      <c r="D87" s="45" t="str">
        <f>Parameter!C$28</f>
        <v>Quest 3S</v>
      </c>
      <c r="E87" s="125">
        <f t="shared" ref="E87:L96" si="15">SUMIF(ARVR_Y_PC_PR, "VR_"&amp;E$66&amp;"_"&amp;$D$65&amp;"_"&amp;$D87, PanelQ)</f>
        <v>0</v>
      </c>
      <c r="F87" s="126">
        <f t="shared" si="15"/>
        <v>0</v>
      </c>
      <c r="G87" s="126">
        <f t="shared" si="15"/>
        <v>2.64</v>
      </c>
      <c r="H87" s="126">
        <f t="shared" si="15"/>
        <v>2.6040000000000001</v>
      </c>
      <c r="I87" s="126">
        <f t="shared" si="15"/>
        <v>0</v>
      </c>
      <c r="J87" s="126">
        <f t="shared" si="15"/>
        <v>0</v>
      </c>
      <c r="K87" s="126">
        <f t="shared" si="15"/>
        <v>0</v>
      </c>
      <c r="L87" s="127">
        <f t="shared" si="15"/>
        <v>0</v>
      </c>
    </row>
    <row r="88" spans="3:12" ht="15.6" hidden="1">
      <c r="C88" s="39" t="str">
        <f t="shared" si="14"/>
        <v>H</v>
      </c>
      <c r="D88" s="45" t="str">
        <f>Parameter!C$29</f>
        <v>Quest Pro</v>
      </c>
      <c r="E88" s="125">
        <f t="shared" si="15"/>
        <v>0</v>
      </c>
      <c r="F88" s="126">
        <f t="shared" si="15"/>
        <v>0</v>
      </c>
      <c r="G88" s="126">
        <f t="shared" si="15"/>
        <v>0</v>
      </c>
      <c r="H88" s="126">
        <f t="shared" si="15"/>
        <v>0</v>
      </c>
      <c r="I88" s="126">
        <f t="shared" si="15"/>
        <v>0</v>
      </c>
      <c r="J88" s="126">
        <f t="shared" si="15"/>
        <v>0</v>
      </c>
      <c r="K88" s="126">
        <f t="shared" si="15"/>
        <v>0</v>
      </c>
      <c r="L88" s="127">
        <f t="shared" si="15"/>
        <v>0</v>
      </c>
    </row>
    <row r="89" spans="3:12" ht="15.6" hidden="1">
      <c r="C89" s="39" t="str">
        <f t="shared" si="14"/>
        <v>H</v>
      </c>
      <c r="D89" s="45" t="str">
        <f>Parameter!C$30</f>
        <v>R1</v>
      </c>
      <c r="E89" s="125">
        <f t="shared" si="15"/>
        <v>0</v>
      </c>
      <c r="F89" s="126">
        <f t="shared" si="15"/>
        <v>0</v>
      </c>
      <c r="G89" s="126">
        <f t="shared" si="15"/>
        <v>0</v>
      </c>
      <c r="H89" s="126">
        <f t="shared" si="15"/>
        <v>0</v>
      </c>
      <c r="I89" s="126">
        <f t="shared" si="15"/>
        <v>0</v>
      </c>
      <c r="J89" s="126">
        <f t="shared" si="15"/>
        <v>0</v>
      </c>
      <c r="K89" s="126">
        <f t="shared" si="15"/>
        <v>0</v>
      </c>
      <c r="L89" s="127">
        <f t="shared" si="15"/>
        <v>0</v>
      </c>
    </row>
    <row r="90" spans="3:12" ht="15.6" hidden="1">
      <c r="C90" s="39" t="str">
        <f t="shared" si="14"/>
        <v>H</v>
      </c>
      <c r="D90" s="45" t="str">
        <f>Parameter!C$31</f>
        <v>Reverb</v>
      </c>
      <c r="E90" s="125">
        <f t="shared" si="15"/>
        <v>0</v>
      </c>
      <c r="F90" s="126">
        <f t="shared" si="15"/>
        <v>0</v>
      </c>
      <c r="G90" s="126">
        <f t="shared" si="15"/>
        <v>0</v>
      </c>
      <c r="H90" s="126">
        <f t="shared" si="15"/>
        <v>0</v>
      </c>
      <c r="I90" s="126">
        <f t="shared" si="15"/>
        <v>0</v>
      </c>
      <c r="J90" s="126">
        <f t="shared" si="15"/>
        <v>0</v>
      </c>
      <c r="K90" s="126">
        <f t="shared" si="15"/>
        <v>0</v>
      </c>
      <c r="L90" s="127">
        <f t="shared" si="15"/>
        <v>0</v>
      </c>
    </row>
    <row r="91" spans="3:12" ht="15.6" hidden="1">
      <c r="C91" s="39" t="str">
        <f t="shared" si="14"/>
        <v>H</v>
      </c>
      <c r="D91" s="45" t="str">
        <f>Parameter!C$32</f>
        <v>Reverb G2</v>
      </c>
      <c r="E91" s="125">
        <f t="shared" si="15"/>
        <v>0</v>
      </c>
      <c r="F91" s="126">
        <f t="shared" si="15"/>
        <v>0</v>
      </c>
      <c r="G91" s="126">
        <f t="shared" si="15"/>
        <v>0</v>
      </c>
      <c r="H91" s="126">
        <f t="shared" si="15"/>
        <v>0</v>
      </c>
      <c r="I91" s="126">
        <f t="shared" si="15"/>
        <v>0</v>
      </c>
      <c r="J91" s="126">
        <f t="shared" si="15"/>
        <v>0</v>
      </c>
      <c r="K91" s="126">
        <f t="shared" si="15"/>
        <v>0</v>
      </c>
      <c r="L91" s="127">
        <f t="shared" si="15"/>
        <v>0</v>
      </c>
    </row>
    <row r="92" spans="3:12" ht="15.6" hidden="1">
      <c r="C92" s="39" t="str">
        <f t="shared" si="14"/>
        <v>H</v>
      </c>
      <c r="D92" s="45" t="str">
        <f>Parameter!C$33</f>
        <v>Rift S</v>
      </c>
      <c r="E92" s="125">
        <f t="shared" si="15"/>
        <v>0</v>
      </c>
      <c r="F92" s="126">
        <f t="shared" si="15"/>
        <v>0</v>
      </c>
      <c r="G92" s="126">
        <f t="shared" si="15"/>
        <v>0</v>
      </c>
      <c r="H92" s="126">
        <f t="shared" si="15"/>
        <v>0</v>
      </c>
      <c r="I92" s="126">
        <f t="shared" si="15"/>
        <v>0</v>
      </c>
      <c r="J92" s="126">
        <f t="shared" si="15"/>
        <v>0</v>
      </c>
      <c r="K92" s="126">
        <f t="shared" si="15"/>
        <v>0</v>
      </c>
      <c r="L92" s="127">
        <f t="shared" si="15"/>
        <v>0</v>
      </c>
    </row>
    <row r="93" spans="3:12" ht="16.2" thickBot="1">
      <c r="C93" s="39" t="str">
        <f t="shared" si="14"/>
        <v/>
      </c>
      <c r="D93" s="45" t="str">
        <f>Parameter!C$34</f>
        <v>Single LCD VR headset</v>
      </c>
      <c r="E93" s="125">
        <f t="shared" si="15"/>
        <v>0.23100000000000001</v>
      </c>
      <c r="F93" s="126">
        <f t="shared" si="15"/>
        <v>0.15845500000000001</v>
      </c>
      <c r="G93" s="126">
        <f t="shared" si="15"/>
        <v>0.123485</v>
      </c>
      <c r="H93" s="126">
        <f t="shared" si="15"/>
        <v>7.3000000000000009E-2</v>
      </c>
      <c r="I93" s="126">
        <f t="shared" si="15"/>
        <v>1.6500000000000001</v>
      </c>
      <c r="J93" s="126">
        <f t="shared" si="15"/>
        <v>1.155</v>
      </c>
      <c r="K93" s="126">
        <f t="shared" si="15"/>
        <v>0.9900000000000001</v>
      </c>
      <c r="L93" s="127">
        <f t="shared" si="15"/>
        <v>0.88</v>
      </c>
    </row>
    <row r="94" spans="3:12" ht="15.6" hidden="1">
      <c r="C94" s="39" t="str">
        <f t="shared" si="14"/>
        <v>H</v>
      </c>
      <c r="D94" s="45" t="str">
        <f>Parameter!C$35</f>
        <v>ThinkReality VRX</v>
      </c>
      <c r="E94" s="125">
        <f t="shared" si="15"/>
        <v>0</v>
      </c>
      <c r="F94" s="126">
        <f t="shared" si="15"/>
        <v>0</v>
      </c>
      <c r="G94" s="126">
        <f t="shared" si="15"/>
        <v>0</v>
      </c>
      <c r="H94" s="126">
        <f t="shared" si="15"/>
        <v>0</v>
      </c>
      <c r="I94" s="126">
        <f t="shared" si="15"/>
        <v>0</v>
      </c>
      <c r="J94" s="126">
        <f t="shared" si="15"/>
        <v>0</v>
      </c>
      <c r="K94" s="126">
        <f t="shared" si="15"/>
        <v>0</v>
      </c>
      <c r="L94" s="127">
        <f t="shared" si="15"/>
        <v>0</v>
      </c>
    </row>
    <row r="95" spans="3:12" ht="15.6" hidden="1">
      <c r="C95" s="39" t="str">
        <f t="shared" si="14"/>
        <v>H</v>
      </c>
      <c r="D95" s="45" t="str">
        <f>Parameter!C$36</f>
        <v>Vision Pro</v>
      </c>
      <c r="E95" s="125">
        <f t="shared" si="15"/>
        <v>0</v>
      </c>
      <c r="F95" s="126">
        <f t="shared" si="15"/>
        <v>0</v>
      </c>
      <c r="G95" s="126">
        <f t="shared" si="15"/>
        <v>0</v>
      </c>
      <c r="H95" s="126">
        <f t="shared" si="15"/>
        <v>0</v>
      </c>
      <c r="I95" s="126">
        <f t="shared" si="15"/>
        <v>0</v>
      </c>
      <c r="J95" s="126">
        <f t="shared" si="15"/>
        <v>0</v>
      </c>
      <c r="K95" s="126">
        <f t="shared" si="15"/>
        <v>0</v>
      </c>
      <c r="L95" s="127">
        <f t="shared" si="15"/>
        <v>0</v>
      </c>
    </row>
    <row r="96" spans="3:12" ht="15.6" hidden="1">
      <c r="C96" s="39" t="str">
        <f t="shared" si="14"/>
        <v>H</v>
      </c>
      <c r="D96" s="45" t="str">
        <f>Parameter!C$37</f>
        <v>Vive LCD headsets</v>
      </c>
      <c r="E96" s="125">
        <f t="shared" si="15"/>
        <v>0</v>
      </c>
      <c r="F96" s="126">
        <f t="shared" si="15"/>
        <v>0</v>
      </c>
      <c r="G96" s="126">
        <f t="shared" si="15"/>
        <v>0</v>
      </c>
      <c r="H96" s="126">
        <f t="shared" si="15"/>
        <v>0</v>
      </c>
      <c r="I96" s="126">
        <f t="shared" si="15"/>
        <v>0</v>
      </c>
      <c r="J96" s="126">
        <f t="shared" si="15"/>
        <v>0</v>
      </c>
      <c r="K96" s="126">
        <f t="shared" si="15"/>
        <v>0</v>
      </c>
      <c r="L96" s="127">
        <f t="shared" si="15"/>
        <v>0</v>
      </c>
    </row>
    <row r="97" spans="3:12" ht="15.6" hidden="1">
      <c r="C97" s="39" t="str">
        <f t="shared" si="14"/>
        <v>H</v>
      </c>
      <c r="D97" s="45" t="str">
        <f>Parameter!C$38</f>
        <v>VR1</v>
      </c>
      <c r="E97" s="125">
        <f t="shared" ref="E97:L106" si="16">SUMIF(ARVR_Y_PC_PR, "VR_"&amp;E$66&amp;"_"&amp;$D$65&amp;"_"&amp;$D97, PanelQ)</f>
        <v>0</v>
      </c>
      <c r="F97" s="126">
        <f t="shared" si="16"/>
        <v>0</v>
      </c>
      <c r="G97" s="126">
        <f t="shared" si="16"/>
        <v>0</v>
      </c>
      <c r="H97" s="126">
        <f t="shared" si="16"/>
        <v>0</v>
      </c>
      <c r="I97" s="126">
        <f t="shared" si="16"/>
        <v>0</v>
      </c>
      <c r="J97" s="126">
        <f t="shared" si="16"/>
        <v>0</v>
      </c>
      <c r="K97" s="126">
        <f t="shared" si="16"/>
        <v>0</v>
      </c>
      <c r="L97" s="127">
        <f t="shared" si="16"/>
        <v>0</v>
      </c>
    </row>
    <row r="98" spans="3:12" ht="15.6" hidden="1">
      <c r="C98" s="39" t="str">
        <f t="shared" si="14"/>
        <v>H</v>
      </c>
      <c r="D98" s="45" t="str">
        <f>Parameter!C$39</f>
        <v>XR-4</v>
      </c>
      <c r="E98" s="125">
        <f t="shared" si="16"/>
        <v>0</v>
      </c>
      <c r="F98" s="126">
        <f t="shared" si="16"/>
        <v>0</v>
      </c>
      <c r="G98" s="126">
        <f t="shared" si="16"/>
        <v>0</v>
      </c>
      <c r="H98" s="126">
        <f t="shared" si="16"/>
        <v>0</v>
      </c>
      <c r="I98" s="126">
        <f t="shared" si="16"/>
        <v>0</v>
      </c>
      <c r="J98" s="126">
        <f t="shared" si="16"/>
        <v>0</v>
      </c>
      <c r="K98" s="126">
        <f t="shared" si="16"/>
        <v>0</v>
      </c>
      <c r="L98" s="127">
        <f t="shared" si="16"/>
        <v>0</v>
      </c>
    </row>
    <row r="99" spans="3:12" ht="15.6" hidden="1">
      <c r="C99" s="39" t="str">
        <f t="shared" si="14"/>
        <v>H</v>
      </c>
      <c r="D99" s="45">
        <f>Parameter!C$40</f>
        <v>0</v>
      </c>
      <c r="E99" s="125">
        <f t="shared" si="16"/>
        <v>0</v>
      </c>
      <c r="F99" s="126">
        <f t="shared" si="16"/>
        <v>0</v>
      </c>
      <c r="G99" s="126">
        <f t="shared" si="16"/>
        <v>0</v>
      </c>
      <c r="H99" s="126">
        <f t="shared" si="16"/>
        <v>0</v>
      </c>
      <c r="I99" s="126">
        <f t="shared" si="16"/>
        <v>0</v>
      </c>
      <c r="J99" s="126">
        <f t="shared" si="16"/>
        <v>0</v>
      </c>
      <c r="K99" s="126">
        <f t="shared" si="16"/>
        <v>0</v>
      </c>
      <c r="L99" s="127">
        <f t="shared" si="16"/>
        <v>0</v>
      </c>
    </row>
    <row r="100" spans="3:12" ht="15.6" hidden="1">
      <c r="C100" s="39" t="str">
        <f t="shared" si="14"/>
        <v>H</v>
      </c>
      <c r="D100" s="45">
        <f>Parameter!C$41</f>
        <v>0</v>
      </c>
      <c r="E100" s="125">
        <f t="shared" si="16"/>
        <v>0</v>
      </c>
      <c r="F100" s="126">
        <f t="shared" si="16"/>
        <v>0</v>
      </c>
      <c r="G100" s="126">
        <f t="shared" si="16"/>
        <v>0</v>
      </c>
      <c r="H100" s="126">
        <f t="shared" si="16"/>
        <v>0</v>
      </c>
      <c r="I100" s="126">
        <f t="shared" si="16"/>
        <v>0</v>
      </c>
      <c r="J100" s="126">
        <f t="shared" si="16"/>
        <v>0</v>
      </c>
      <c r="K100" s="126">
        <f t="shared" si="16"/>
        <v>0</v>
      </c>
      <c r="L100" s="127">
        <f t="shared" si="16"/>
        <v>0</v>
      </c>
    </row>
    <row r="101" spans="3:12" ht="15.6" hidden="1">
      <c r="C101" s="39" t="str">
        <f t="shared" si="14"/>
        <v>H</v>
      </c>
      <c r="D101" s="45">
        <f>Parameter!C$42</f>
        <v>0</v>
      </c>
      <c r="E101" s="125">
        <f t="shared" si="16"/>
        <v>0</v>
      </c>
      <c r="F101" s="126">
        <f t="shared" si="16"/>
        <v>0</v>
      </c>
      <c r="G101" s="126">
        <f t="shared" si="16"/>
        <v>0</v>
      </c>
      <c r="H101" s="126">
        <f t="shared" si="16"/>
        <v>0</v>
      </c>
      <c r="I101" s="126">
        <f t="shared" si="16"/>
        <v>0</v>
      </c>
      <c r="J101" s="126">
        <f t="shared" si="16"/>
        <v>0</v>
      </c>
      <c r="K101" s="126">
        <f t="shared" si="16"/>
        <v>0</v>
      </c>
      <c r="L101" s="127">
        <f t="shared" si="16"/>
        <v>0</v>
      </c>
    </row>
    <row r="102" spans="3:12" ht="15.6" hidden="1">
      <c r="C102" s="39" t="str">
        <f t="shared" si="14"/>
        <v>H</v>
      </c>
      <c r="D102" s="45">
        <f>Parameter!C$43</f>
        <v>0</v>
      </c>
      <c r="E102" s="125">
        <f t="shared" si="16"/>
        <v>0</v>
      </c>
      <c r="F102" s="126">
        <f t="shared" si="16"/>
        <v>0</v>
      </c>
      <c r="G102" s="126">
        <f t="shared" si="16"/>
        <v>0</v>
      </c>
      <c r="H102" s="126">
        <f t="shared" si="16"/>
        <v>0</v>
      </c>
      <c r="I102" s="126">
        <f t="shared" si="16"/>
        <v>0</v>
      </c>
      <c r="J102" s="126">
        <f t="shared" si="16"/>
        <v>0</v>
      </c>
      <c r="K102" s="126">
        <f t="shared" si="16"/>
        <v>0</v>
      </c>
      <c r="L102" s="127">
        <f t="shared" si="16"/>
        <v>0</v>
      </c>
    </row>
    <row r="103" spans="3:12" ht="15.6" hidden="1">
      <c r="C103" s="39" t="str">
        <f t="shared" si="14"/>
        <v>H</v>
      </c>
      <c r="D103" s="45">
        <f>Parameter!C$44</f>
        <v>0</v>
      </c>
      <c r="E103" s="125">
        <f t="shared" si="16"/>
        <v>0</v>
      </c>
      <c r="F103" s="126">
        <f t="shared" si="16"/>
        <v>0</v>
      </c>
      <c r="G103" s="126">
        <f t="shared" si="16"/>
        <v>0</v>
      </c>
      <c r="H103" s="126">
        <f t="shared" si="16"/>
        <v>0</v>
      </c>
      <c r="I103" s="126">
        <f t="shared" si="16"/>
        <v>0</v>
      </c>
      <c r="J103" s="126">
        <f t="shared" si="16"/>
        <v>0</v>
      </c>
      <c r="K103" s="126">
        <f t="shared" si="16"/>
        <v>0</v>
      </c>
      <c r="L103" s="127">
        <f t="shared" si="16"/>
        <v>0</v>
      </c>
    </row>
    <row r="104" spans="3:12" ht="15.6" hidden="1">
      <c r="C104" s="39" t="str">
        <f t="shared" si="14"/>
        <v>H</v>
      </c>
      <c r="D104" s="45">
        <f>Parameter!C$45</f>
        <v>0</v>
      </c>
      <c r="E104" s="125">
        <f t="shared" si="16"/>
        <v>0</v>
      </c>
      <c r="F104" s="126">
        <f t="shared" si="16"/>
        <v>0</v>
      </c>
      <c r="G104" s="126">
        <f t="shared" si="16"/>
        <v>0</v>
      </c>
      <c r="H104" s="126">
        <f t="shared" si="16"/>
        <v>0</v>
      </c>
      <c r="I104" s="126">
        <f t="shared" si="16"/>
        <v>0</v>
      </c>
      <c r="J104" s="126">
        <f t="shared" si="16"/>
        <v>0</v>
      </c>
      <c r="K104" s="126">
        <f t="shared" si="16"/>
        <v>0</v>
      </c>
      <c r="L104" s="127">
        <f t="shared" si="16"/>
        <v>0</v>
      </c>
    </row>
    <row r="105" spans="3:12" ht="15.6" hidden="1">
      <c r="C105" s="39" t="str">
        <f t="shared" si="14"/>
        <v>H</v>
      </c>
      <c r="D105" s="45">
        <f>Parameter!C$46</f>
        <v>0</v>
      </c>
      <c r="E105" s="125">
        <f t="shared" si="16"/>
        <v>0</v>
      </c>
      <c r="F105" s="126">
        <f t="shared" si="16"/>
        <v>0</v>
      </c>
      <c r="G105" s="126">
        <f t="shared" si="16"/>
        <v>0</v>
      </c>
      <c r="H105" s="126">
        <f t="shared" si="16"/>
        <v>0</v>
      </c>
      <c r="I105" s="126">
        <f t="shared" si="16"/>
        <v>0</v>
      </c>
      <c r="J105" s="126">
        <f t="shared" si="16"/>
        <v>0</v>
      </c>
      <c r="K105" s="126">
        <f t="shared" si="16"/>
        <v>0</v>
      </c>
      <c r="L105" s="127">
        <f t="shared" si="16"/>
        <v>0</v>
      </c>
    </row>
    <row r="106" spans="3:12" ht="15.6" hidden="1">
      <c r="C106" s="39" t="str">
        <f t="shared" si="14"/>
        <v>H</v>
      </c>
      <c r="D106" s="45">
        <f>Parameter!C$47</f>
        <v>0</v>
      </c>
      <c r="E106" s="125">
        <f t="shared" si="16"/>
        <v>0</v>
      </c>
      <c r="F106" s="126">
        <f t="shared" si="16"/>
        <v>0</v>
      </c>
      <c r="G106" s="126">
        <f t="shared" si="16"/>
        <v>0</v>
      </c>
      <c r="H106" s="126">
        <f t="shared" si="16"/>
        <v>0</v>
      </c>
      <c r="I106" s="126">
        <f t="shared" si="16"/>
        <v>0</v>
      </c>
      <c r="J106" s="126">
        <f t="shared" si="16"/>
        <v>0</v>
      </c>
      <c r="K106" s="126">
        <f t="shared" si="16"/>
        <v>0</v>
      </c>
      <c r="L106" s="127">
        <f t="shared" si="16"/>
        <v>0</v>
      </c>
    </row>
    <row r="107" spans="3:12" ht="15.6" hidden="1">
      <c r="C107" s="39" t="str">
        <f t="shared" si="14"/>
        <v>H</v>
      </c>
      <c r="D107" s="45">
        <f>Parameter!C$48</f>
        <v>0</v>
      </c>
      <c r="E107" s="125">
        <f t="shared" ref="E107:L116" si="17">SUMIF(ARVR_Y_PC_PR, "VR_"&amp;E$66&amp;"_"&amp;$D$65&amp;"_"&amp;$D107, PanelQ)</f>
        <v>0</v>
      </c>
      <c r="F107" s="126">
        <f t="shared" si="17"/>
        <v>0</v>
      </c>
      <c r="G107" s="126">
        <f t="shared" si="17"/>
        <v>0</v>
      </c>
      <c r="H107" s="126">
        <f t="shared" si="17"/>
        <v>0</v>
      </c>
      <c r="I107" s="126">
        <f t="shared" si="17"/>
        <v>0</v>
      </c>
      <c r="J107" s="126">
        <f t="shared" si="17"/>
        <v>0</v>
      </c>
      <c r="K107" s="126">
        <f t="shared" si="17"/>
        <v>0</v>
      </c>
      <c r="L107" s="127">
        <f t="shared" si="17"/>
        <v>0</v>
      </c>
    </row>
    <row r="108" spans="3:12" ht="15.6" hidden="1">
      <c r="C108" s="39" t="str">
        <f t="shared" si="14"/>
        <v>H</v>
      </c>
      <c r="D108" s="45">
        <f>Parameter!C$49</f>
        <v>0</v>
      </c>
      <c r="E108" s="125">
        <f t="shared" si="17"/>
        <v>0</v>
      </c>
      <c r="F108" s="126">
        <f t="shared" si="17"/>
        <v>0</v>
      </c>
      <c r="G108" s="126">
        <f t="shared" si="17"/>
        <v>0</v>
      </c>
      <c r="H108" s="126">
        <f t="shared" si="17"/>
        <v>0</v>
      </c>
      <c r="I108" s="126">
        <f t="shared" si="17"/>
        <v>0</v>
      </c>
      <c r="J108" s="126">
        <f t="shared" si="17"/>
        <v>0</v>
      </c>
      <c r="K108" s="126">
        <f t="shared" si="17"/>
        <v>0</v>
      </c>
      <c r="L108" s="127">
        <f t="shared" si="17"/>
        <v>0</v>
      </c>
    </row>
    <row r="109" spans="3:12" ht="15.6" hidden="1">
      <c r="C109" s="39" t="str">
        <f t="shared" si="14"/>
        <v>H</v>
      </c>
      <c r="D109" s="45">
        <f>Parameter!C$50</f>
        <v>0</v>
      </c>
      <c r="E109" s="125">
        <f t="shared" si="17"/>
        <v>0</v>
      </c>
      <c r="F109" s="126">
        <f t="shared" si="17"/>
        <v>0</v>
      </c>
      <c r="G109" s="126">
        <f t="shared" si="17"/>
        <v>0</v>
      </c>
      <c r="H109" s="126">
        <f t="shared" si="17"/>
        <v>0</v>
      </c>
      <c r="I109" s="126">
        <f t="shared" si="17"/>
        <v>0</v>
      </c>
      <c r="J109" s="126">
        <f t="shared" si="17"/>
        <v>0</v>
      </c>
      <c r="K109" s="126">
        <f t="shared" si="17"/>
        <v>0</v>
      </c>
      <c r="L109" s="127">
        <f t="shared" si="17"/>
        <v>0</v>
      </c>
    </row>
    <row r="110" spans="3:12" ht="15.6" hidden="1">
      <c r="C110" s="39" t="str">
        <f t="shared" si="14"/>
        <v>H</v>
      </c>
      <c r="D110" s="45">
        <f>Parameter!C$51</f>
        <v>0</v>
      </c>
      <c r="E110" s="125">
        <f t="shared" si="17"/>
        <v>0</v>
      </c>
      <c r="F110" s="126">
        <f t="shared" si="17"/>
        <v>0</v>
      </c>
      <c r="G110" s="126">
        <f t="shared" si="17"/>
        <v>0</v>
      </c>
      <c r="H110" s="126">
        <f t="shared" si="17"/>
        <v>0</v>
      </c>
      <c r="I110" s="126">
        <f t="shared" si="17"/>
        <v>0</v>
      </c>
      <c r="J110" s="126">
        <f t="shared" si="17"/>
        <v>0</v>
      </c>
      <c r="K110" s="126">
        <f t="shared" si="17"/>
        <v>0</v>
      </c>
      <c r="L110" s="127">
        <f t="shared" si="17"/>
        <v>0</v>
      </c>
    </row>
    <row r="111" spans="3:12" ht="15.6" hidden="1">
      <c r="C111" s="39" t="str">
        <f t="shared" si="14"/>
        <v>H</v>
      </c>
      <c r="D111" s="45">
        <f>Parameter!C$52</f>
        <v>0</v>
      </c>
      <c r="E111" s="125">
        <f t="shared" si="17"/>
        <v>0</v>
      </c>
      <c r="F111" s="126">
        <f t="shared" si="17"/>
        <v>0</v>
      </c>
      <c r="G111" s="126">
        <f t="shared" si="17"/>
        <v>0</v>
      </c>
      <c r="H111" s="126">
        <f t="shared" si="17"/>
        <v>0</v>
      </c>
      <c r="I111" s="126">
        <f t="shared" si="17"/>
        <v>0</v>
      </c>
      <c r="J111" s="126">
        <f t="shared" si="17"/>
        <v>0</v>
      </c>
      <c r="K111" s="126">
        <f t="shared" si="17"/>
        <v>0</v>
      </c>
      <c r="L111" s="127">
        <f t="shared" si="17"/>
        <v>0</v>
      </c>
    </row>
    <row r="112" spans="3:12" ht="15.6" hidden="1">
      <c r="C112" s="39" t="str">
        <f t="shared" si="14"/>
        <v>H</v>
      </c>
      <c r="D112" s="45">
        <f>Parameter!C$53</f>
        <v>0</v>
      </c>
      <c r="E112" s="125">
        <f t="shared" si="17"/>
        <v>0</v>
      </c>
      <c r="F112" s="126">
        <f t="shared" si="17"/>
        <v>0</v>
      </c>
      <c r="G112" s="126">
        <f t="shared" si="17"/>
        <v>0</v>
      </c>
      <c r="H112" s="126">
        <f t="shared" si="17"/>
        <v>0</v>
      </c>
      <c r="I112" s="126">
        <f t="shared" si="17"/>
        <v>0</v>
      </c>
      <c r="J112" s="126">
        <f t="shared" si="17"/>
        <v>0</v>
      </c>
      <c r="K112" s="126">
        <f t="shared" si="17"/>
        <v>0</v>
      </c>
      <c r="L112" s="127">
        <f t="shared" si="17"/>
        <v>0</v>
      </c>
    </row>
    <row r="113" spans="3:12" ht="15.6" hidden="1">
      <c r="C113" s="39" t="str">
        <f t="shared" si="14"/>
        <v>H</v>
      </c>
      <c r="D113" s="45">
        <f>Parameter!C$54</f>
        <v>0</v>
      </c>
      <c r="E113" s="125">
        <f t="shared" si="17"/>
        <v>0</v>
      </c>
      <c r="F113" s="126">
        <f t="shared" si="17"/>
        <v>0</v>
      </c>
      <c r="G113" s="126">
        <f t="shared" si="17"/>
        <v>0</v>
      </c>
      <c r="H113" s="126">
        <f t="shared" si="17"/>
        <v>0</v>
      </c>
      <c r="I113" s="126">
        <f t="shared" si="17"/>
        <v>0</v>
      </c>
      <c r="J113" s="126">
        <f t="shared" si="17"/>
        <v>0</v>
      </c>
      <c r="K113" s="126">
        <f t="shared" si="17"/>
        <v>0</v>
      </c>
      <c r="L113" s="127">
        <f t="shared" si="17"/>
        <v>0</v>
      </c>
    </row>
    <row r="114" spans="3:12" ht="15.6" hidden="1">
      <c r="C114" s="39" t="str">
        <f t="shared" si="14"/>
        <v>H</v>
      </c>
      <c r="D114" s="45">
        <f>Parameter!C$55</f>
        <v>0</v>
      </c>
      <c r="E114" s="125">
        <f t="shared" si="17"/>
        <v>0</v>
      </c>
      <c r="F114" s="126">
        <f t="shared" si="17"/>
        <v>0</v>
      </c>
      <c r="G114" s="126">
        <f t="shared" si="17"/>
        <v>0</v>
      </c>
      <c r="H114" s="126">
        <f t="shared" si="17"/>
        <v>0</v>
      </c>
      <c r="I114" s="126">
        <f t="shared" si="17"/>
        <v>0</v>
      </c>
      <c r="J114" s="126">
        <f t="shared" si="17"/>
        <v>0</v>
      </c>
      <c r="K114" s="126">
        <f t="shared" si="17"/>
        <v>0</v>
      </c>
      <c r="L114" s="127">
        <f t="shared" si="17"/>
        <v>0</v>
      </c>
    </row>
    <row r="115" spans="3:12" ht="15.6" hidden="1">
      <c r="C115" s="39" t="str">
        <f t="shared" si="14"/>
        <v>H</v>
      </c>
      <c r="D115" s="45">
        <f>Parameter!C$56</f>
        <v>0</v>
      </c>
      <c r="E115" s="125">
        <f t="shared" si="17"/>
        <v>0</v>
      </c>
      <c r="F115" s="126">
        <f t="shared" si="17"/>
        <v>0</v>
      </c>
      <c r="G115" s="126">
        <f t="shared" si="17"/>
        <v>0</v>
      </c>
      <c r="H115" s="126">
        <f t="shared" si="17"/>
        <v>0</v>
      </c>
      <c r="I115" s="126">
        <f t="shared" si="17"/>
        <v>0</v>
      </c>
      <c r="J115" s="126">
        <f t="shared" si="17"/>
        <v>0</v>
      </c>
      <c r="K115" s="126">
        <f t="shared" si="17"/>
        <v>0</v>
      </c>
      <c r="L115" s="127">
        <f t="shared" si="17"/>
        <v>0</v>
      </c>
    </row>
    <row r="116" spans="3:12" ht="16.2" hidden="1" thickBot="1">
      <c r="C116" s="39" t="str">
        <f t="shared" si="14"/>
        <v>H</v>
      </c>
      <c r="D116" s="53" t="str">
        <f>Parameter!C$57</f>
        <v>ALL</v>
      </c>
      <c r="E116" s="128">
        <f t="shared" si="17"/>
        <v>0</v>
      </c>
      <c r="F116" s="129">
        <f t="shared" si="17"/>
        <v>0</v>
      </c>
      <c r="G116" s="129">
        <f t="shared" si="17"/>
        <v>0</v>
      </c>
      <c r="H116" s="129">
        <f t="shared" si="17"/>
        <v>0</v>
      </c>
      <c r="I116" s="129">
        <f t="shared" si="17"/>
        <v>0</v>
      </c>
      <c r="J116" s="129">
        <f t="shared" si="17"/>
        <v>0</v>
      </c>
      <c r="K116" s="129">
        <f t="shared" si="17"/>
        <v>0</v>
      </c>
      <c r="L116" s="130">
        <f t="shared" si="17"/>
        <v>0</v>
      </c>
    </row>
    <row r="117" spans="3:12" ht="15.6">
      <c r="C117" s="39" t="str">
        <f t="shared" si="14"/>
        <v/>
      </c>
      <c r="D117" s="54" t="s">
        <v>87</v>
      </c>
      <c r="E117" s="131">
        <f>SUM(E67:E116)</f>
        <v>6.6660000000000004</v>
      </c>
      <c r="F117" s="132">
        <f t="shared" ref="F117" si="18">SUM(F67:F116)</f>
        <v>1.8620030000000001</v>
      </c>
      <c r="G117" s="132">
        <f t="shared" ref="G117" si="19">SUM(G67:G116)</f>
        <v>2.8341850000000002</v>
      </c>
      <c r="H117" s="132">
        <f t="shared" ref="H117" si="20">SUM(H67:H116)</f>
        <v>2.677</v>
      </c>
      <c r="I117" s="132">
        <f t="shared" ref="I117" si="21">SUM(I67:I116)</f>
        <v>1.6500000000000001</v>
      </c>
      <c r="J117" s="132">
        <f t="shared" ref="J117" si="22">SUM(J67:J116)</f>
        <v>1.155</v>
      </c>
      <c r="K117" s="132">
        <f t="shared" ref="K117" si="23">SUM(K67:K116)</f>
        <v>0.9900000000000001</v>
      </c>
      <c r="L117" s="133">
        <f t="shared" ref="L117" si="24">SUM(L67:L116)</f>
        <v>0.88</v>
      </c>
    </row>
    <row r="118" spans="3:12" ht="16.2" thickBot="1">
      <c r="C118" s="39" t="str">
        <f t="shared" si="14"/>
        <v/>
      </c>
      <c r="D118" s="46" t="s">
        <v>88</v>
      </c>
      <c r="E118" s="47"/>
      <c r="F118" s="50">
        <f t="shared" ref="F118" si="25">IF(E117*F117=0, "", F117/E117-1)</f>
        <v>-0.72067161716171624</v>
      </c>
      <c r="G118" s="50">
        <f t="shared" ref="G118" si="26">IF(F117*G117=0, "", G117/F117-1)</f>
        <v>0.52211623719188416</v>
      </c>
      <c r="H118" s="50">
        <f>IF(G117*H117=0, "", H117/G117-1)</f>
        <v>-5.5460388083346746E-2</v>
      </c>
      <c r="I118" s="50">
        <f t="shared" ref="I118" si="27">IF(H117*I117=0, "", I117/H117-1)</f>
        <v>-0.38363840119536796</v>
      </c>
      <c r="J118" s="50">
        <f t="shared" ref="J118" si="28">IF(I117*J117=0, "", J117/I117-1)</f>
        <v>-0.30000000000000004</v>
      </c>
      <c r="K118" s="50">
        <f t="shared" ref="K118" si="29">IF(J117*K117=0, "", K117/J117-1)</f>
        <v>-0.14285714285714279</v>
      </c>
      <c r="L118" s="51">
        <f t="shared" ref="L118" si="30">IF(K117*L117=0, "", L117/K117-1)</f>
        <v>-0.11111111111111116</v>
      </c>
    </row>
    <row r="119" spans="3:12" ht="15.6">
      <c r="C119"/>
      <c r="D119" s="49"/>
      <c r="E119" s="55"/>
      <c r="F119" s="56"/>
      <c r="G119" s="56"/>
      <c r="H119" s="56"/>
      <c r="I119" s="56"/>
      <c r="J119" s="56"/>
      <c r="K119" s="56"/>
      <c r="L119" s="56"/>
    </row>
    <row r="120" spans="3:12" ht="14.4" thickBot="1">
      <c r="C120"/>
    </row>
    <row r="121" spans="3:12" ht="15" thickBot="1">
      <c r="C121" s="57" t="str">
        <f>IF(SUM(E173:L173)=0, "H", "")</f>
        <v/>
      </c>
      <c r="D121" s="52" t="str">
        <f>Parameter!G10</f>
        <v>2x AMOLED</v>
      </c>
    </row>
    <row r="122" spans="3:12" ht="16.2" thickBot="1">
      <c r="C122" s="57" t="str">
        <f>IF(SUM(E173:L173)=0, "H", "")</f>
        <v/>
      </c>
      <c r="D122" s="40" t="s">
        <v>85</v>
      </c>
      <c r="E122" s="41" t="str">
        <f t="shared" ref="E122:L122" si="31">E10</f>
        <v>2022</v>
      </c>
      <c r="F122" s="42" t="str">
        <f t="shared" si="31"/>
        <v>2023</v>
      </c>
      <c r="G122" s="42" t="str">
        <f t="shared" si="31"/>
        <v>2024</v>
      </c>
      <c r="H122" s="42">
        <f t="shared" si="31"/>
        <v>2025</v>
      </c>
      <c r="I122" s="42" t="str">
        <f t="shared" si="31"/>
        <v>2026</v>
      </c>
      <c r="J122" s="42" t="str">
        <f t="shared" si="31"/>
        <v>2027</v>
      </c>
      <c r="K122" s="42" t="str">
        <f t="shared" si="31"/>
        <v>2028</v>
      </c>
      <c r="L122" s="43" t="str">
        <f t="shared" si="31"/>
        <v>2029</v>
      </c>
    </row>
    <row r="123" spans="3:12" ht="15.6" hidden="1">
      <c r="C123" s="39" t="str">
        <f>IF(SUM(E123:L123)=0, "H", "")</f>
        <v>H</v>
      </c>
      <c r="D123" s="44" t="str">
        <f>Parameter!C$8</f>
        <v>5K VR</v>
      </c>
      <c r="E123" s="125">
        <f t="shared" ref="E123:L132" si="32">SUMIF(ARVR_Y_PC_PR, "VR_"&amp;E$122&amp;"_"&amp;$D$121&amp;"_"&amp;$D123, PanelQ)</f>
        <v>0</v>
      </c>
      <c r="F123" s="126">
        <f t="shared" si="32"/>
        <v>0</v>
      </c>
      <c r="G123" s="126">
        <f t="shared" si="32"/>
        <v>0</v>
      </c>
      <c r="H123" s="126">
        <f t="shared" si="32"/>
        <v>0</v>
      </c>
      <c r="I123" s="126">
        <f t="shared" si="32"/>
        <v>0</v>
      </c>
      <c r="J123" s="126">
        <f t="shared" si="32"/>
        <v>0</v>
      </c>
      <c r="K123" s="126">
        <f t="shared" si="32"/>
        <v>0</v>
      </c>
      <c r="L123" s="127">
        <f t="shared" si="32"/>
        <v>0</v>
      </c>
    </row>
    <row r="124" spans="3:12" ht="15.6" hidden="1">
      <c r="C124" s="39" t="str">
        <f t="shared" ref="C124:C174" si="33">IF(SUM(E124:L124)=0, "H", "")</f>
        <v>H</v>
      </c>
      <c r="D124" s="44" t="str">
        <f>Parameter!C$9</f>
        <v>Aero</v>
      </c>
      <c r="E124" s="125">
        <f t="shared" si="32"/>
        <v>0</v>
      </c>
      <c r="F124" s="126">
        <f t="shared" si="32"/>
        <v>0</v>
      </c>
      <c r="G124" s="126">
        <f t="shared" si="32"/>
        <v>0</v>
      </c>
      <c r="H124" s="126">
        <f t="shared" si="32"/>
        <v>0</v>
      </c>
      <c r="I124" s="126">
        <f t="shared" si="32"/>
        <v>0</v>
      </c>
      <c r="J124" s="126">
        <f t="shared" si="32"/>
        <v>0</v>
      </c>
      <c r="K124" s="126">
        <f t="shared" si="32"/>
        <v>0</v>
      </c>
      <c r="L124" s="127">
        <f t="shared" si="32"/>
        <v>0</v>
      </c>
    </row>
    <row r="125" spans="3:12" ht="15.6" hidden="1">
      <c r="C125" s="39" t="str">
        <f t="shared" si="33"/>
        <v>H</v>
      </c>
      <c r="D125" s="45" t="str">
        <f>Parameter!C$10</f>
        <v>Beyond</v>
      </c>
      <c r="E125" s="125">
        <f t="shared" si="32"/>
        <v>0</v>
      </c>
      <c r="F125" s="126">
        <f t="shared" si="32"/>
        <v>0</v>
      </c>
      <c r="G125" s="126">
        <f t="shared" si="32"/>
        <v>0</v>
      </c>
      <c r="H125" s="126">
        <f t="shared" si="32"/>
        <v>0</v>
      </c>
      <c r="I125" s="126">
        <f t="shared" si="32"/>
        <v>0</v>
      </c>
      <c r="J125" s="126">
        <f t="shared" si="32"/>
        <v>0</v>
      </c>
      <c r="K125" s="126">
        <f t="shared" si="32"/>
        <v>0</v>
      </c>
      <c r="L125" s="127">
        <f t="shared" si="32"/>
        <v>0</v>
      </c>
    </row>
    <row r="126" spans="3:12" ht="15.6" hidden="1">
      <c r="C126" s="39" t="str">
        <f t="shared" si="33"/>
        <v>H</v>
      </c>
      <c r="D126" s="45" t="str">
        <f>Parameter!C$11</f>
        <v>Bionic models</v>
      </c>
      <c r="E126" s="125">
        <f t="shared" si="32"/>
        <v>0</v>
      </c>
      <c r="F126" s="126">
        <f t="shared" si="32"/>
        <v>0</v>
      </c>
      <c r="G126" s="126">
        <f t="shared" si="32"/>
        <v>0</v>
      </c>
      <c r="H126" s="126">
        <f t="shared" si="32"/>
        <v>0</v>
      </c>
      <c r="I126" s="126">
        <f t="shared" si="32"/>
        <v>0</v>
      </c>
      <c r="J126" s="126">
        <f t="shared" si="32"/>
        <v>0</v>
      </c>
      <c r="K126" s="126">
        <f t="shared" si="32"/>
        <v>0</v>
      </c>
      <c r="L126" s="127">
        <f t="shared" si="32"/>
        <v>0</v>
      </c>
    </row>
    <row r="127" spans="3:12" ht="15.6" hidden="1">
      <c r="C127" s="39" t="str">
        <f t="shared" si="33"/>
        <v>H</v>
      </c>
      <c r="D127" s="45" t="str">
        <f>Parameter!C$12</f>
        <v>Dual LCD VR headset</v>
      </c>
      <c r="E127" s="125">
        <f t="shared" si="32"/>
        <v>0</v>
      </c>
      <c r="F127" s="126">
        <f t="shared" si="32"/>
        <v>0</v>
      </c>
      <c r="G127" s="126">
        <f t="shared" si="32"/>
        <v>0</v>
      </c>
      <c r="H127" s="126">
        <f t="shared" si="32"/>
        <v>0</v>
      </c>
      <c r="I127" s="126">
        <f t="shared" si="32"/>
        <v>0</v>
      </c>
      <c r="J127" s="126">
        <f t="shared" si="32"/>
        <v>0</v>
      </c>
      <c r="K127" s="126">
        <f t="shared" si="32"/>
        <v>0</v>
      </c>
      <c r="L127" s="127">
        <f t="shared" si="32"/>
        <v>0</v>
      </c>
    </row>
    <row r="128" spans="3:12" ht="15.6" hidden="1">
      <c r="C128" s="39" t="str">
        <f t="shared" si="33"/>
        <v>H</v>
      </c>
      <c r="D128" s="45" t="str">
        <f>Parameter!C$13</f>
        <v>Dual SiOLED headset</v>
      </c>
      <c r="E128" s="125">
        <f t="shared" si="32"/>
        <v>0</v>
      </c>
      <c r="F128" s="126">
        <f t="shared" si="32"/>
        <v>0</v>
      </c>
      <c r="G128" s="126">
        <f t="shared" si="32"/>
        <v>0</v>
      </c>
      <c r="H128" s="126">
        <f t="shared" si="32"/>
        <v>0</v>
      </c>
      <c r="I128" s="126">
        <f t="shared" si="32"/>
        <v>0</v>
      </c>
      <c r="J128" s="126">
        <f t="shared" si="32"/>
        <v>0</v>
      </c>
      <c r="K128" s="126">
        <f t="shared" si="32"/>
        <v>0</v>
      </c>
      <c r="L128" s="127">
        <f t="shared" si="32"/>
        <v>0</v>
      </c>
    </row>
    <row r="129" spans="3:12" ht="15.6" hidden="1">
      <c r="C129" s="39" t="str">
        <f t="shared" si="33"/>
        <v>H</v>
      </c>
      <c r="D129" s="45" t="str">
        <f>Parameter!C$14</f>
        <v>Index</v>
      </c>
      <c r="E129" s="125">
        <f t="shared" si="32"/>
        <v>0</v>
      </c>
      <c r="F129" s="126">
        <f t="shared" si="32"/>
        <v>0</v>
      </c>
      <c r="G129" s="126">
        <f t="shared" si="32"/>
        <v>0</v>
      </c>
      <c r="H129" s="126">
        <f t="shared" si="32"/>
        <v>0</v>
      </c>
      <c r="I129" s="126">
        <f t="shared" si="32"/>
        <v>0</v>
      </c>
      <c r="J129" s="126">
        <f t="shared" si="32"/>
        <v>0</v>
      </c>
      <c r="K129" s="126">
        <f t="shared" si="32"/>
        <v>0</v>
      </c>
      <c r="L129" s="127">
        <f t="shared" si="32"/>
        <v>0</v>
      </c>
    </row>
    <row r="130" spans="3:12" ht="15.6" hidden="1">
      <c r="C130" s="39" t="str">
        <f t="shared" si="33"/>
        <v>H</v>
      </c>
      <c r="D130" s="45" t="str">
        <f>Parameter!C$15</f>
        <v>MeganeX</v>
      </c>
      <c r="E130" s="125">
        <f t="shared" si="32"/>
        <v>0</v>
      </c>
      <c r="F130" s="126">
        <f t="shared" si="32"/>
        <v>0</v>
      </c>
      <c r="G130" s="126">
        <f t="shared" si="32"/>
        <v>0</v>
      </c>
      <c r="H130" s="126">
        <f t="shared" si="32"/>
        <v>0</v>
      </c>
      <c r="I130" s="126">
        <f t="shared" si="32"/>
        <v>0</v>
      </c>
      <c r="J130" s="126">
        <f t="shared" si="32"/>
        <v>0</v>
      </c>
      <c r="K130" s="126">
        <f t="shared" si="32"/>
        <v>0</v>
      </c>
      <c r="L130" s="127">
        <f t="shared" si="32"/>
        <v>0</v>
      </c>
    </row>
    <row r="131" spans="3:12" ht="15.6" hidden="1">
      <c r="C131" s="39" t="str">
        <f t="shared" si="33"/>
        <v>H</v>
      </c>
      <c r="D131" s="45" t="str">
        <f>Parameter!C$16</f>
        <v>MeganeX Superlight 8K</v>
      </c>
      <c r="E131" s="125">
        <f t="shared" si="32"/>
        <v>0</v>
      </c>
      <c r="F131" s="126">
        <f t="shared" si="32"/>
        <v>0</v>
      </c>
      <c r="G131" s="126">
        <f t="shared" si="32"/>
        <v>0</v>
      </c>
      <c r="H131" s="126">
        <f t="shared" si="32"/>
        <v>0</v>
      </c>
      <c r="I131" s="126">
        <f t="shared" si="32"/>
        <v>0</v>
      </c>
      <c r="J131" s="126">
        <f t="shared" si="32"/>
        <v>0</v>
      </c>
      <c r="K131" s="126">
        <f t="shared" si="32"/>
        <v>0</v>
      </c>
      <c r="L131" s="127">
        <f t="shared" si="32"/>
        <v>0</v>
      </c>
    </row>
    <row r="132" spans="3:12" ht="15.6" hidden="1">
      <c r="C132" s="39" t="str">
        <f t="shared" si="33"/>
        <v>H</v>
      </c>
      <c r="D132" s="45" t="str">
        <f>Parameter!C$17</f>
        <v>Neo 3 / G3</v>
      </c>
      <c r="E132" s="125">
        <f t="shared" si="32"/>
        <v>0</v>
      </c>
      <c r="F132" s="126">
        <f t="shared" si="32"/>
        <v>0</v>
      </c>
      <c r="G132" s="126">
        <f t="shared" si="32"/>
        <v>0</v>
      </c>
      <c r="H132" s="126">
        <f t="shared" si="32"/>
        <v>0</v>
      </c>
      <c r="I132" s="126">
        <f t="shared" si="32"/>
        <v>0</v>
      </c>
      <c r="J132" s="126">
        <f t="shared" si="32"/>
        <v>0</v>
      </c>
      <c r="K132" s="126">
        <f t="shared" si="32"/>
        <v>0</v>
      </c>
      <c r="L132" s="127">
        <f t="shared" si="32"/>
        <v>0</v>
      </c>
    </row>
    <row r="133" spans="3:12" ht="15.6">
      <c r="C133" s="39" t="str">
        <f t="shared" si="33"/>
        <v/>
      </c>
      <c r="D133" s="45" t="str">
        <f>Parameter!C$18</f>
        <v>OLED VR headset</v>
      </c>
      <c r="E133" s="125">
        <f t="shared" ref="E133:L142" si="34">SUMIF(ARVR_Y_PC_PR, "VR_"&amp;E$122&amp;"_"&amp;$D$121&amp;"_"&amp;$D133, PanelQ)</f>
        <v>0</v>
      </c>
      <c r="F133" s="126">
        <f t="shared" si="34"/>
        <v>0</v>
      </c>
      <c r="G133" s="126">
        <f t="shared" si="34"/>
        <v>0</v>
      </c>
      <c r="H133" s="126">
        <f t="shared" si="34"/>
        <v>0</v>
      </c>
      <c r="I133" s="126">
        <f t="shared" si="34"/>
        <v>8.7999999999999995E-2</v>
      </c>
      <c r="J133" s="126">
        <f t="shared" si="34"/>
        <v>1.2100000000000002</v>
      </c>
      <c r="K133" s="126">
        <f t="shared" si="34"/>
        <v>2.6399999999999997</v>
      </c>
      <c r="L133" s="127">
        <f t="shared" si="34"/>
        <v>2.8600000000000003</v>
      </c>
    </row>
    <row r="134" spans="3:12" ht="15.6" hidden="1">
      <c r="C134" s="39" t="str">
        <f t="shared" si="33"/>
        <v>H</v>
      </c>
      <c r="D134" s="45" t="str">
        <f>Parameter!C$19</f>
        <v>P1 family</v>
      </c>
      <c r="E134" s="125">
        <f t="shared" si="34"/>
        <v>0</v>
      </c>
      <c r="F134" s="126">
        <f t="shared" si="34"/>
        <v>0</v>
      </c>
      <c r="G134" s="126">
        <f t="shared" si="34"/>
        <v>0</v>
      </c>
      <c r="H134" s="126">
        <f t="shared" si="34"/>
        <v>0</v>
      </c>
      <c r="I134" s="126">
        <f t="shared" si="34"/>
        <v>0</v>
      </c>
      <c r="J134" s="126">
        <f t="shared" si="34"/>
        <v>0</v>
      </c>
      <c r="K134" s="126">
        <f t="shared" si="34"/>
        <v>0</v>
      </c>
      <c r="L134" s="127">
        <f t="shared" si="34"/>
        <v>0</v>
      </c>
    </row>
    <row r="135" spans="3:12" ht="15.6" hidden="1">
      <c r="C135" s="39" t="str">
        <f t="shared" si="33"/>
        <v>H</v>
      </c>
      <c r="D135" s="45" t="str">
        <f>Parameter!C$20</f>
        <v>Pico 4</v>
      </c>
      <c r="E135" s="125">
        <f t="shared" si="34"/>
        <v>0</v>
      </c>
      <c r="F135" s="126">
        <f t="shared" si="34"/>
        <v>0</v>
      </c>
      <c r="G135" s="126">
        <f t="shared" si="34"/>
        <v>0</v>
      </c>
      <c r="H135" s="126">
        <f t="shared" si="34"/>
        <v>0</v>
      </c>
      <c r="I135" s="126">
        <f t="shared" si="34"/>
        <v>0</v>
      </c>
      <c r="J135" s="126">
        <f t="shared" si="34"/>
        <v>0</v>
      </c>
      <c r="K135" s="126">
        <f t="shared" si="34"/>
        <v>0</v>
      </c>
      <c r="L135" s="127">
        <f t="shared" si="34"/>
        <v>0</v>
      </c>
    </row>
    <row r="136" spans="3:12" ht="15.6" hidden="1">
      <c r="C136" s="39" t="str">
        <f t="shared" si="33"/>
        <v>H</v>
      </c>
      <c r="D136" s="45" t="str">
        <f>Parameter!C$21</f>
        <v>Pimax VR</v>
      </c>
      <c r="E136" s="125">
        <f t="shared" si="34"/>
        <v>0</v>
      </c>
      <c r="F136" s="126">
        <f t="shared" si="34"/>
        <v>0</v>
      </c>
      <c r="G136" s="126">
        <f t="shared" si="34"/>
        <v>0</v>
      </c>
      <c r="H136" s="126">
        <f t="shared" si="34"/>
        <v>0</v>
      </c>
      <c r="I136" s="126">
        <f t="shared" si="34"/>
        <v>0</v>
      </c>
      <c r="J136" s="126">
        <f t="shared" si="34"/>
        <v>0</v>
      </c>
      <c r="K136" s="126">
        <f t="shared" si="34"/>
        <v>0</v>
      </c>
      <c r="L136" s="127">
        <f t="shared" si="34"/>
        <v>0</v>
      </c>
    </row>
    <row r="137" spans="3:12" ht="15.6" hidden="1">
      <c r="C137" s="39" t="str">
        <f t="shared" si="33"/>
        <v>H</v>
      </c>
      <c r="D137" s="45" t="str">
        <f>Parameter!C$22</f>
        <v>PlayStation VR</v>
      </c>
      <c r="E137" s="125">
        <f t="shared" si="34"/>
        <v>0</v>
      </c>
      <c r="F137" s="126">
        <f t="shared" si="34"/>
        <v>0</v>
      </c>
      <c r="G137" s="126">
        <f t="shared" si="34"/>
        <v>0</v>
      </c>
      <c r="H137" s="126">
        <f t="shared" si="34"/>
        <v>0</v>
      </c>
      <c r="I137" s="126">
        <f t="shared" si="34"/>
        <v>0</v>
      </c>
      <c r="J137" s="126">
        <f t="shared" si="34"/>
        <v>0</v>
      </c>
      <c r="K137" s="126">
        <f t="shared" si="34"/>
        <v>0</v>
      </c>
      <c r="L137" s="127">
        <f t="shared" si="34"/>
        <v>0</v>
      </c>
    </row>
    <row r="138" spans="3:12" ht="16.2" thickBot="1">
      <c r="C138" s="39" t="str">
        <f t="shared" si="33"/>
        <v/>
      </c>
      <c r="D138" s="45" t="str">
        <f>Parameter!C$23</f>
        <v>PlayStation VR2</v>
      </c>
      <c r="E138" s="125">
        <f t="shared" si="34"/>
        <v>3.2</v>
      </c>
      <c r="F138" s="126">
        <f t="shared" si="34"/>
        <v>1.7</v>
      </c>
      <c r="G138" s="126">
        <f t="shared" si="34"/>
        <v>0</v>
      </c>
      <c r="H138" s="126">
        <f t="shared" si="34"/>
        <v>0</v>
      </c>
      <c r="I138" s="126">
        <f t="shared" si="34"/>
        <v>0</v>
      </c>
      <c r="J138" s="126">
        <f t="shared" si="34"/>
        <v>0</v>
      </c>
      <c r="K138" s="126">
        <f t="shared" si="34"/>
        <v>0</v>
      </c>
      <c r="L138" s="127">
        <f t="shared" si="34"/>
        <v>0</v>
      </c>
    </row>
    <row r="139" spans="3:12" ht="15.6" hidden="1">
      <c r="C139" s="39" t="str">
        <f t="shared" si="33"/>
        <v>H</v>
      </c>
      <c r="D139" s="45" t="str">
        <f>Parameter!C$24</f>
        <v>Project Moohan</v>
      </c>
      <c r="E139" s="125">
        <f t="shared" si="34"/>
        <v>0</v>
      </c>
      <c r="F139" s="126">
        <f t="shared" si="34"/>
        <v>0</v>
      </c>
      <c r="G139" s="126">
        <f t="shared" si="34"/>
        <v>0</v>
      </c>
      <c r="H139" s="126">
        <f t="shared" si="34"/>
        <v>0</v>
      </c>
      <c r="I139" s="126">
        <f t="shared" si="34"/>
        <v>0</v>
      </c>
      <c r="J139" s="126">
        <f t="shared" si="34"/>
        <v>0</v>
      </c>
      <c r="K139" s="126">
        <f t="shared" si="34"/>
        <v>0</v>
      </c>
      <c r="L139" s="127">
        <f t="shared" si="34"/>
        <v>0</v>
      </c>
    </row>
    <row r="140" spans="3:12" ht="15.6" hidden="1">
      <c r="C140" s="39" t="str">
        <f t="shared" si="33"/>
        <v>H</v>
      </c>
      <c r="D140" s="45" t="str">
        <f>Parameter!C$25</f>
        <v>Quest</v>
      </c>
      <c r="E140" s="125">
        <f t="shared" si="34"/>
        <v>0</v>
      </c>
      <c r="F140" s="126">
        <f t="shared" si="34"/>
        <v>0</v>
      </c>
      <c r="G140" s="126">
        <f t="shared" si="34"/>
        <v>0</v>
      </c>
      <c r="H140" s="126">
        <f t="shared" si="34"/>
        <v>0</v>
      </c>
      <c r="I140" s="126">
        <f t="shared" si="34"/>
        <v>0</v>
      </c>
      <c r="J140" s="126">
        <f t="shared" si="34"/>
        <v>0</v>
      </c>
      <c r="K140" s="126">
        <f t="shared" si="34"/>
        <v>0</v>
      </c>
      <c r="L140" s="127">
        <f t="shared" si="34"/>
        <v>0</v>
      </c>
    </row>
    <row r="141" spans="3:12" ht="15.6" hidden="1">
      <c r="C141" s="39" t="str">
        <f t="shared" si="33"/>
        <v>H</v>
      </c>
      <c r="D141" s="45" t="str">
        <f>Parameter!C$26</f>
        <v>Quest 2</v>
      </c>
      <c r="E141" s="125">
        <f t="shared" si="34"/>
        <v>0</v>
      </c>
      <c r="F141" s="126">
        <f t="shared" si="34"/>
        <v>0</v>
      </c>
      <c r="G141" s="126">
        <f t="shared" si="34"/>
        <v>0</v>
      </c>
      <c r="H141" s="126">
        <f t="shared" si="34"/>
        <v>0</v>
      </c>
      <c r="I141" s="126">
        <f t="shared" si="34"/>
        <v>0</v>
      </c>
      <c r="J141" s="126">
        <f t="shared" si="34"/>
        <v>0</v>
      </c>
      <c r="K141" s="126">
        <f t="shared" si="34"/>
        <v>0</v>
      </c>
      <c r="L141" s="127">
        <f t="shared" si="34"/>
        <v>0</v>
      </c>
    </row>
    <row r="142" spans="3:12" ht="15.6" hidden="1">
      <c r="C142" s="39" t="str">
        <f t="shared" si="33"/>
        <v>H</v>
      </c>
      <c r="D142" s="45" t="str">
        <f>Parameter!C$27</f>
        <v>Quest 3</v>
      </c>
      <c r="E142" s="125">
        <f t="shared" si="34"/>
        <v>0</v>
      </c>
      <c r="F142" s="126">
        <f t="shared" si="34"/>
        <v>0</v>
      </c>
      <c r="G142" s="126">
        <f t="shared" si="34"/>
        <v>0</v>
      </c>
      <c r="H142" s="126">
        <f t="shared" si="34"/>
        <v>0</v>
      </c>
      <c r="I142" s="126">
        <f t="shared" si="34"/>
        <v>0</v>
      </c>
      <c r="J142" s="126">
        <f t="shared" si="34"/>
        <v>0</v>
      </c>
      <c r="K142" s="126">
        <f t="shared" si="34"/>
        <v>0</v>
      </c>
      <c r="L142" s="127">
        <f t="shared" si="34"/>
        <v>0</v>
      </c>
    </row>
    <row r="143" spans="3:12" ht="15.6" hidden="1">
      <c r="C143" s="39" t="str">
        <f t="shared" si="33"/>
        <v>H</v>
      </c>
      <c r="D143" s="45" t="str">
        <f>Parameter!C$28</f>
        <v>Quest 3S</v>
      </c>
      <c r="E143" s="125">
        <f t="shared" ref="E143:L152" si="35">SUMIF(ARVR_Y_PC_PR, "VR_"&amp;E$122&amp;"_"&amp;$D$121&amp;"_"&amp;$D143, PanelQ)</f>
        <v>0</v>
      </c>
      <c r="F143" s="126">
        <f t="shared" si="35"/>
        <v>0</v>
      </c>
      <c r="G143" s="126">
        <f t="shared" si="35"/>
        <v>0</v>
      </c>
      <c r="H143" s="126">
        <f t="shared" si="35"/>
        <v>0</v>
      </c>
      <c r="I143" s="126">
        <f t="shared" si="35"/>
        <v>0</v>
      </c>
      <c r="J143" s="126">
        <f t="shared" si="35"/>
        <v>0</v>
      </c>
      <c r="K143" s="126">
        <f t="shared" si="35"/>
        <v>0</v>
      </c>
      <c r="L143" s="127">
        <f t="shared" si="35"/>
        <v>0</v>
      </c>
    </row>
    <row r="144" spans="3:12" ht="15.6" hidden="1">
      <c r="C144" s="39" t="str">
        <f t="shared" si="33"/>
        <v>H</v>
      </c>
      <c r="D144" s="45" t="str">
        <f>Parameter!C$29</f>
        <v>Quest Pro</v>
      </c>
      <c r="E144" s="125">
        <f t="shared" si="35"/>
        <v>0</v>
      </c>
      <c r="F144" s="126">
        <f t="shared" si="35"/>
        <v>0</v>
      </c>
      <c r="G144" s="126">
        <f t="shared" si="35"/>
        <v>0</v>
      </c>
      <c r="H144" s="126">
        <f t="shared" si="35"/>
        <v>0</v>
      </c>
      <c r="I144" s="126">
        <f t="shared" si="35"/>
        <v>0</v>
      </c>
      <c r="J144" s="126">
        <f t="shared" si="35"/>
        <v>0</v>
      </c>
      <c r="K144" s="126">
        <f t="shared" si="35"/>
        <v>0</v>
      </c>
      <c r="L144" s="127">
        <f t="shared" si="35"/>
        <v>0</v>
      </c>
    </row>
    <row r="145" spans="3:12" ht="15.6" hidden="1">
      <c r="C145" s="39" t="str">
        <f t="shared" si="33"/>
        <v>H</v>
      </c>
      <c r="D145" s="45" t="str">
        <f>Parameter!C$30</f>
        <v>R1</v>
      </c>
      <c r="E145" s="125">
        <f t="shared" si="35"/>
        <v>0</v>
      </c>
      <c r="F145" s="126">
        <f t="shared" si="35"/>
        <v>0</v>
      </c>
      <c r="G145" s="126">
        <f t="shared" si="35"/>
        <v>0</v>
      </c>
      <c r="H145" s="126">
        <f t="shared" si="35"/>
        <v>0</v>
      </c>
      <c r="I145" s="126">
        <f t="shared" si="35"/>
        <v>0</v>
      </c>
      <c r="J145" s="126">
        <f t="shared" si="35"/>
        <v>0</v>
      </c>
      <c r="K145" s="126">
        <f t="shared" si="35"/>
        <v>0</v>
      </c>
      <c r="L145" s="127">
        <f t="shared" si="35"/>
        <v>0</v>
      </c>
    </row>
    <row r="146" spans="3:12" ht="15.6" hidden="1">
      <c r="C146" s="39" t="str">
        <f t="shared" si="33"/>
        <v>H</v>
      </c>
      <c r="D146" s="45" t="str">
        <f>Parameter!C$31</f>
        <v>Reverb</v>
      </c>
      <c r="E146" s="125">
        <f t="shared" si="35"/>
        <v>0</v>
      </c>
      <c r="F146" s="126">
        <f t="shared" si="35"/>
        <v>0</v>
      </c>
      <c r="G146" s="126">
        <f t="shared" si="35"/>
        <v>0</v>
      </c>
      <c r="H146" s="126">
        <f t="shared" si="35"/>
        <v>0</v>
      </c>
      <c r="I146" s="126">
        <f t="shared" si="35"/>
        <v>0</v>
      </c>
      <c r="J146" s="126">
        <f t="shared" si="35"/>
        <v>0</v>
      </c>
      <c r="K146" s="126">
        <f t="shared" si="35"/>
        <v>0</v>
      </c>
      <c r="L146" s="127">
        <f t="shared" si="35"/>
        <v>0</v>
      </c>
    </row>
    <row r="147" spans="3:12" ht="15.6" hidden="1">
      <c r="C147" s="39" t="str">
        <f t="shared" si="33"/>
        <v>H</v>
      </c>
      <c r="D147" s="45" t="str">
        <f>Parameter!C$32</f>
        <v>Reverb G2</v>
      </c>
      <c r="E147" s="125">
        <f t="shared" si="35"/>
        <v>0</v>
      </c>
      <c r="F147" s="126">
        <f t="shared" si="35"/>
        <v>0</v>
      </c>
      <c r="G147" s="126">
        <f t="shared" si="35"/>
        <v>0</v>
      </c>
      <c r="H147" s="126">
        <f t="shared" si="35"/>
        <v>0</v>
      </c>
      <c r="I147" s="126">
        <f t="shared" si="35"/>
        <v>0</v>
      </c>
      <c r="J147" s="126">
        <f t="shared" si="35"/>
        <v>0</v>
      </c>
      <c r="K147" s="126">
        <f t="shared" si="35"/>
        <v>0</v>
      </c>
      <c r="L147" s="127">
        <f t="shared" si="35"/>
        <v>0</v>
      </c>
    </row>
    <row r="148" spans="3:12" ht="15.6" hidden="1">
      <c r="C148" s="39" t="str">
        <f t="shared" si="33"/>
        <v>H</v>
      </c>
      <c r="D148" s="45" t="str">
        <f>Parameter!C$33</f>
        <v>Rift S</v>
      </c>
      <c r="E148" s="125">
        <f t="shared" si="35"/>
        <v>0</v>
      </c>
      <c r="F148" s="126">
        <f t="shared" si="35"/>
        <v>0</v>
      </c>
      <c r="G148" s="126">
        <f t="shared" si="35"/>
        <v>0</v>
      </c>
      <c r="H148" s="126">
        <f t="shared" si="35"/>
        <v>0</v>
      </c>
      <c r="I148" s="126">
        <f t="shared" si="35"/>
        <v>0</v>
      </c>
      <c r="J148" s="126">
        <f t="shared" si="35"/>
        <v>0</v>
      </c>
      <c r="K148" s="126">
        <f t="shared" si="35"/>
        <v>0</v>
      </c>
      <c r="L148" s="127">
        <f t="shared" si="35"/>
        <v>0</v>
      </c>
    </row>
    <row r="149" spans="3:12" ht="15.6" hidden="1">
      <c r="C149" s="39" t="str">
        <f t="shared" si="33"/>
        <v>H</v>
      </c>
      <c r="D149" s="45" t="str">
        <f>Parameter!C$34</f>
        <v>Single LCD VR headset</v>
      </c>
      <c r="E149" s="125">
        <f t="shared" si="35"/>
        <v>0</v>
      </c>
      <c r="F149" s="126">
        <f t="shared" si="35"/>
        <v>0</v>
      </c>
      <c r="G149" s="126">
        <f t="shared" si="35"/>
        <v>0</v>
      </c>
      <c r="H149" s="126">
        <f t="shared" si="35"/>
        <v>0</v>
      </c>
      <c r="I149" s="126">
        <f t="shared" si="35"/>
        <v>0</v>
      </c>
      <c r="J149" s="126">
        <f t="shared" si="35"/>
        <v>0</v>
      </c>
      <c r="K149" s="126">
        <f t="shared" si="35"/>
        <v>0</v>
      </c>
      <c r="L149" s="127">
        <f t="shared" si="35"/>
        <v>0</v>
      </c>
    </row>
    <row r="150" spans="3:12" ht="15.6" hidden="1">
      <c r="C150" s="39" t="str">
        <f t="shared" si="33"/>
        <v>H</v>
      </c>
      <c r="D150" s="45" t="str">
        <f>Parameter!C$35</f>
        <v>ThinkReality VRX</v>
      </c>
      <c r="E150" s="125">
        <f t="shared" si="35"/>
        <v>0</v>
      </c>
      <c r="F150" s="126">
        <f t="shared" si="35"/>
        <v>0</v>
      </c>
      <c r="G150" s="126">
        <f t="shared" si="35"/>
        <v>0</v>
      </c>
      <c r="H150" s="126">
        <f t="shared" si="35"/>
        <v>0</v>
      </c>
      <c r="I150" s="126">
        <f t="shared" si="35"/>
        <v>0</v>
      </c>
      <c r="J150" s="126">
        <f t="shared" si="35"/>
        <v>0</v>
      </c>
      <c r="K150" s="126">
        <f t="shared" si="35"/>
        <v>0</v>
      </c>
      <c r="L150" s="127">
        <f t="shared" si="35"/>
        <v>0</v>
      </c>
    </row>
    <row r="151" spans="3:12" ht="15.6" hidden="1">
      <c r="C151" s="39" t="str">
        <f t="shared" si="33"/>
        <v>H</v>
      </c>
      <c r="D151" s="45" t="str">
        <f>Parameter!C$36</f>
        <v>Vision Pro</v>
      </c>
      <c r="E151" s="125">
        <f t="shared" si="35"/>
        <v>0</v>
      </c>
      <c r="F151" s="126">
        <f t="shared" si="35"/>
        <v>0</v>
      </c>
      <c r="G151" s="126">
        <f t="shared" si="35"/>
        <v>0</v>
      </c>
      <c r="H151" s="126">
        <f t="shared" si="35"/>
        <v>0</v>
      </c>
      <c r="I151" s="126">
        <f t="shared" si="35"/>
        <v>0</v>
      </c>
      <c r="J151" s="126">
        <f t="shared" si="35"/>
        <v>0</v>
      </c>
      <c r="K151" s="126">
        <f t="shared" si="35"/>
        <v>0</v>
      </c>
      <c r="L151" s="127">
        <f t="shared" si="35"/>
        <v>0</v>
      </c>
    </row>
    <row r="152" spans="3:12" ht="15.6" hidden="1">
      <c r="C152" s="39" t="str">
        <f t="shared" si="33"/>
        <v>H</v>
      </c>
      <c r="D152" s="45" t="str">
        <f>Parameter!C$37</f>
        <v>Vive LCD headsets</v>
      </c>
      <c r="E152" s="125">
        <f t="shared" si="35"/>
        <v>0</v>
      </c>
      <c r="F152" s="126">
        <f t="shared" si="35"/>
        <v>0</v>
      </c>
      <c r="G152" s="126">
        <f t="shared" si="35"/>
        <v>0</v>
      </c>
      <c r="H152" s="126">
        <f t="shared" si="35"/>
        <v>0</v>
      </c>
      <c r="I152" s="126">
        <f t="shared" si="35"/>
        <v>0</v>
      </c>
      <c r="J152" s="126">
        <f t="shared" si="35"/>
        <v>0</v>
      </c>
      <c r="K152" s="126">
        <f t="shared" si="35"/>
        <v>0</v>
      </c>
      <c r="L152" s="127">
        <f t="shared" si="35"/>
        <v>0</v>
      </c>
    </row>
    <row r="153" spans="3:12" ht="15.6" hidden="1">
      <c r="C153" s="39" t="str">
        <f t="shared" si="33"/>
        <v>H</v>
      </c>
      <c r="D153" s="45" t="str">
        <f>Parameter!C$38</f>
        <v>VR1</v>
      </c>
      <c r="E153" s="125">
        <f t="shared" ref="E153:L162" si="36">SUMIF(ARVR_Y_PC_PR, "VR_"&amp;E$122&amp;"_"&amp;$D$121&amp;"_"&amp;$D153, PanelQ)</f>
        <v>0</v>
      </c>
      <c r="F153" s="126">
        <f t="shared" si="36"/>
        <v>0</v>
      </c>
      <c r="G153" s="126">
        <f t="shared" si="36"/>
        <v>0</v>
      </c>
      <c r="H153" s="126">
        <f t="shared" si="36"/>
        <v>0</v>
      </c>
      <c r="I153" s="126">
        <f t="shared" si="36"/>
        <v>0</v>
      </c>
      <c r="J153" s="126">
        <f t="shared" si="36"/>
        <v>0</v>
      </c>
      <c r="K153" s="126">
        <f t="shared" si="36"/>
        <v>0</v>
      </c>
      <c r="L153" s="127">
        <f t="shared" si="36"/>
        <v>0</v>
      </c>
    </row>
    <row r="154" spans="3:12" ht="15.6" hidden="1">
      <c r="C154" s="39" t="str">
        <f t="shared" si="33"/>
        <v>H</v>
      </c>
      <c r="D154" s="45" t="str">
        <f>Parameter!C$39</f>
        <v>XR-4</v>
      </c>
      <c r="E154" s="125">
        <f t="shared" si="36"/>
        <v>0</v>
      </c>
      <c r="F154" s="126">
        <f t="shared" si="36"/>
        <v>0</v>
      </c>
      <c r="G154" s="126">
        <f t="shared" si="36"/>
        <v>0</v>
      </c>
      <c r="H154" s="126">
        <f t="shared" si="36"/>
        <v>0</v>
      </c>
      <c r="I154" s="126">
        <f t="shared" si="36"/>
        <v>0</v>
      </c>
      <c r="J154" s="126">
        <f t="shared" si="36"/>
        <v>0</v>
      </c>
      <c r="K154" s="126">
        <f t="shared" si="36"/>
        <v>0</v>
      </c>
      <c r="L154" s="127">
        <f t="shared" si="36"/>
        <v>0</v>
      </c>
    </row>
    <row r="155" spans="3:12" ht="15.6" hidden="1">
      <c r="C155" s="39" t="str">
        <f t="shared" si="33"/>
        <v>H</v>
      </c>
      <c r="D155" s="45">
        <f>Parameter!C$40</f>
        <v>0</v>
      </c>
      <c r="E155" s="125">
        <f t="shared" si="36"/>
        <v>0</v>
      </c>
      <c r="F155" s="126">
        <f t="shared" si="36"/>
        <v>0</v>
      </c>
      <c r="G155" s="126">
        <f t="shared" si="36"/>
        <v>0</v>
      </c>
      <c r="H155" s="126">
        <f t="shared" si="36"/>
        <v>0</v>
      </c>
      <c r="I155" s="126">
        <f t="shared" si="36"/>
        <v>0</v>
      </c>
      <c r="J155" s="126">
        <f t="shared" si="36"/>
        <v>0</v>
      </c>
      <c r="K155" s="126">
        <f t="shared" si="36"/>
        <v>0</v>
      </c>
      <c r="L155" s="127">
        <f t="shared" si="36"/>
        <v>0</v>
      </c>
    </row>
    <row r="156" spans="3:12" ht="15.6" hidden="1">
      <c r="C156" s="39" t="str">
        <f t="shared" si="33"/>
        <v>H</v>
      </c>
      <c r="D156" s="45">
        <f>Parameter!C$41</f>
        <v>0</v>
      </c>
      <c r="E156" s="125">
        <f t="shared" si="36"/>
        <v>0</v>
      </c>
      <c r="F156" s="126">
        <f t="shared" si="36"/>
        <v>0</v>
      </c>
      <c r="G156" s="126">
        <f t="shared" si="36"/>
        <v>0</v>
      </c>
      <c r="H156" s="126">
        <f t="shared" si="36"/>
        <v>0</v>
      </c>
      <c r="I156" s="126">
        <f t="shared" si="36"/>
        <v>0</v>
      </c>
      <c r="J156" s="126">
        <f t="shared" si="36"/>
        <v>0</v>
      </c>
      <c r="K156" s="126">
        <f t="shared" si="36"/>
        <v>0</v>
      </c>
      <c r="L156" s="127">
        <f t="shared" si="36"/>
        <v>0</v>
      </c>
    </row>
    <row r="157" spans="3:12" ht="15.6" hidden="1">
      <c r="C157" s="39" t="str">
        <f t="shared" si="33"/>
        <v>H</v>
      </c>
      <c r="D157" s="45">
        <f>Parameter!C$42</f>
        <v>0</v>
      </c>
      <c r="E157" s="125">
        <f t="shared" si="36"/>
        <v>0</v>
      </c>
      <c r="F157" s="126">
        <f t="shared" si="36"/>
        <v>0</v>
      </c>
      <c r="G157" s="126">
        <f t="shared" si="36"/>
        <v>0</v>
      </c>
      <c r="H157" s="126">
        <f t="shared" si="36"/>
        <v>0</v>
      </c>
      <c r="I157" s="126">
        <f t="shared" si="36"/>
        <v>0</v>
      </c>
      <c r="J157" s="126">
        <f t="shared" si="36"/>
        <v>0</v>
      </c>
      <c r="K157" s="126">
        <f t="shared" si="36"/>
        <v>0</v>
      </c>
      <c r="L157" s="127">
        <f t="shared" si="36"/>
        <v>0</v>
      </c>
    </row>
    <row r="158" spans="3:12" ht="15.6" hidden="1">
      <c r="C158" s="39" t="str">
        <f t="shared" si="33"/>
        <v>H</v>
      </c>
      <c r="D158" s="45">
        <f>Parameter!C$43</f>
        <v>0</v>
      </c>
      <c r="E158" s="125">
        <f t="shared" si="36"/>
        <v>0</v>
      </c>
      <c r="F158" s="126">
        <f t="shared" si="36"/>
        <v>0</v>
      </c>
      <c r="G158" s="126">
        <f t="shared" si="36"/>
        <v>0</v>
      </c>
      <c r="H158" s="126">
        <f t="shared" si="36"/>
        <v>0</v>
      </c>
      <c r="I158" s="126">
        <f t="shared" si="36"/>
        <v>0</v>
      </c>
      <c r="J158" s="126">
        <f t="shared" si="36"/>
        <v>0</v>
      </c>
      <c r="K158" s="126">
        <f t="shared" si="36"/>
        <v>0</v>
      </c>
      <c r="L158" s="127">
        <f t="shared" si="36"/>
        <v>0</v>
      </c>
    </row>
    <row r="159" spans="3:12" ht="15.6" hidden="1">
      <c r="C159" s="39" t="str">
        <f t="shared" si="33"/>
        <v>H</v>
      </c>
      <c r="D159" s="45">
        <f>Parameter!C$44</f>
        <v>0</v>
      </c>
      <c r="E159" s="125">
        <f t="shared" si="36"/>
        <v>0</v>
      </c>
      <c r="F159" s="126">
        <f t="shared" si="36"/>
        <v>0</v>
      </c>
      <c r="G159" s="126">
        <f t="shared" si="36"/>
        <v>0</v>
      </c>
      <c r="H159" s="126">
        <f t="shared" si="36"/>
        <v>0</v>
      </c>
      <c r="I159" s="126">
        <f t="shared" si="36"/>
        <v>0</v>
      </c>
      <c r="J159" s="126">
        <f t="shared" si="36"/>
        <v>0</v>
      </c>
      <c r="K159" s="126">
        <f t="shared" si="36"/>
        <v>0</v>
      </c>
      <c r="L159" s="127">
        <f t="shared" si="36"/>
        <v>0</v>
      </c>
    </row>
    <row r="160" spans="3:12" ht="15.6" hidden="1">
      <c r="C160" s="39" t="str">
        <f t="shared" si="33"/>
        <v>H</v>
      </c>
      <c r="D160" s="45">
        <f>Parameter!C$45</f>
        <v>0</v>
      </c>
      <c r="E160" s="125">
        <f t="shared" si="36"/>
        <v>0</v>
      </c>
      <c r="F160" s="126">
        <f t="shared" si="36"/>
        <v>0</v>
      </c>
      <c r="G160" s="126">
        <f t="shared" si="36"/>
        <v>0</v>
      </c>
      <c r="H160" s="126">
        <f t="shared" si="36"/>
        <v>0</v>
      </c>
      <c r="I160" s="126">
        <f t="shared" si="36"/>
        <v>0</v>
      </c>
      <c r="J160" s="126">
        <f t="shared" si="36"/>
        <v>0</v>
      </c>
      <c r="K160" s="126">
        <f t="shared" si="36"/>
        <v>0</v>
      </c>
      <c r="L160" s="127">
        <f t="shared" si="36"/>
        <v>0</v>
      </c>
    </row>
    <row r="161" spans="3:12" ht="15.6" hidden="1">
      <c r="C161" s="39" t="str">
        <f t="shared" si="33"/>
        <v>H</v>
      </c>
      <c r="D161" s="45">
        <f>Parameter!C$46</f>
        <v>0</v>
      </c>
      <c r="E161" s="125">
        <f t="shared" si="36"/>
        <v>0</v>
      </c>
      <c r="F161" s="126">
        <f t="shared" si="36"/>
        <v>0</v>
      </c>
      <c r="G161" s="126">
        <f t="shared" si="36"/>
        <v>0</v>
      </c>
      <c r="H161" s="126">
        <f t="shared" si="36"/>
        <v>0</v>
      </c>
      <c r="I161" s="126">
        <f t="shared" si="36"/>
        <v>0</v>
      </c>
      <c r="J161" s="126">
        <f t="shared" si="36"/>
        <v>0</v>
      </c>
      <c r="K161" s="126">
        <f t="shared" si="36"/>
        <v>0</v>
      </c>
      <c r="L161" s="127">
        <f t="shared" si="36"/>
        <v>0</v>
      </c>
    </row>
    <row r="162" spans="3:12" ht="15.6" hidden="1">
      <c r="C162" s="39" t="str">
        <f t="shared" si="33"/>
        <v>H</v>
      </c>
      <c r="D162" s="45">
        <f>Parameter!C$47</f>
        <v>0</v>
      </c>
      <c r="E162" s="125">
        <f t="shared" si="36"/>
        <v>0</v>
      </c>
      <c r="F162" s="126">
        <f t="shared" si="36"/>
        <v>0</v>
      </c>
      <c r="G162" s="126">
        <f t="shared" si="36"/>
        <v>0</v>
      </c>
      <c r="H162" s="126">
        <f t="shared" si="36"/>
        <v>0</v>
      </c>
      <c r="I162" s="126">
        <f t="shared" si="36"/>
        <v>0</v>
      </c>
      <c r="J162" s="126">
        <f t="shared" si="36"/>
        <v>0</v>
      </c>
      <c r="K162" s="126">
        <f t="shared" si="36"/>
        <v>0</v>
      </c>
      <c r="L162" s="127">
        <f t="shared" si="36"/>
        <v>0</v>
      </c>
    </row>
    <row r="163" spans="3:12" ht="15.6" hidden="1">
      <c r="C163" s="39" t="str">
        <f t="shared" si="33"/>
        <v>H</v>
      </c>
      <c r="D163" s="45">
        <f>Parameter!C$48</f>
        <v>0</v>
      </c>
      <c r="E163" s="125">
        <f t="shared" ref="E163:L172" si="37">SUMIF(ARVR_Y_PC_PR, "VR_"&amp;E$122&amp;"_"&amp;$D$121&amp;"_"&amp;$D163, PanelQ)</f>
        <v>0</v>
      </c>
      <c r="F163" s="126">
        <f t="shared" si="37"/>
        <v>0</v>
      </c>
      <c r="G163" s="126">
        <f t="shared" si="37"/>
        <v>0</v>
      </c>
      <c r="H163" s="126">
        <f t="shared" si="37"/>
        <v>0</v>
      </c>
      <c r="I163" s="126">
        <f t="shared" si="37"/>
        <v>0</v>
      </c>
      <c r="J163" s="126">
        <f t="shared" si="37"/>
        <v>0</v>
      </c>
      <c r="K163" s="126">
        <f t="shared" si="37"/>
        <v>0</v>
      </c>
      <c r="L163" s="127">
        <f t="shared" si="37"/>
        <v>0</v>
      </c>
    </row>
    <row r="164" spans="3:12" ht="15.6" hidden="1">
      <c r="C164" s="39" t="str">
        <f t="shared" si="33"/>
        <v>H</v>
      </c>
      <c r="D164" s="45">
        <f>Parameter!C$49</f>
        <v>0</v>
      </c>
      <c r="E164" s="125">
        <f t="shared" si="37"/>
        <v>0</v>
      </c>
      <c r="F164" s="126">
        <f t="shared" si="37"/>
        <v>0</v>
      </c>
      <c r="G164" s="126">
        <f t="shared" si="37"/>
        <v>0</v>
      </c>
      <c r="H164" s="126">
        <f t="shared" si="37"/>
        <v>0</v>
      </c>
      <c r="I164" s="126">
        <f t="shared" si="37"/>
        <v>0</v>
      </c>
      <c r="J164" s="126">
        <f t="shared" si="37"/>
        <v>0</v>
      </c>
      <c r="K164" s="126">
        <f t="shared" si="37"/>
        <v>0</v>
      </c>
      <c r="L164" s="127">
        <f t="shared" si="37"/>
        <v>0</v>
      </c>
    </row>
    <row r="165" spans="3:12" ht="15.6" hidden="1">
      <c r="C165" s="39" t="str">
        <f t="shared" si="33"/>
        <v>H</v>
      </c>
      <c r="D165" s="45">
        <f>Parameter!C$50</f>
        <v>0</v>
      </c>
      <c r="E165" s="125">
        <f t="shared" si="37"/>
        <v>0</v>
      </c>
      <c r="F165" s="126">
        <f t="shared" si="37"/>
        <v>0</v>
      </c>
      <c r="G165" s="126">
        <f t="shared" si="37"/>
        <v>0</v>
      </c>
      <c r="H165" s="126">
        <f t="shared" si="37"/>
        <v>0</v>
      </c>
      <c r="I165" s="126">
        <f t="shared" si="37"/>
        <v>0</v>
      </c>
      <c r="J165" s="126">
        <f t="shared" si="37"/>
        <v>0</v>
      </c>
      <c r="K165" s="126">
        <f t="shared" si="37"/>
        <v>0</v>
      </c>
      <c r="L165" s="127">
        <f t="shared" si="37"/>
        <v>0</v>
      </c>
    </row>
    <row r="166" spans="3:12" ht="15.6" hidden="1">
      <c r="C166" s="39" t="str">
        <f t="shared" si="33"/>
        <v>H</v>
      </c>
      <c r="D166" s="45">
        <f>Parameter!C$51</f>
        <v>0</v>
      </c>
      <c r="E166" s="125">
        <f t="shared" si="37"/>
        <v>0</v>
      </c>
      <c r="F166" s="126">
        <f t="shared" si="37"/>
        <v>0</v>
      </c>
      <c r="G166" s="126">
        <f t="shared" si="37"/>
        <v>0</v>
      </c>
      <c r="H166" s="126">
        <f t="shared" si="37"/>
        <v>0</v>
      </c>
      <c r="I166" s="126">
        <f t="shared" si="37"/>
        <v>0</v>
      </c>
      <c r="J166" s="126">
        <f t="shared" si="37"/>
        <v>0</v>
      </c>
      <c r="K166" s="126">
        <f t="shared" si="37"/>
        <v>0</v>
      </c>
      <c r="L166" s="127">
        <f t="shared" si="37"/>
        <v>0</v>
      </c>
    </row>
    <row r="167" spans="3:12" ht="15.6" hidden="1">
      <c r="C167" s="39" t="str">
        <f t="shared" si="33"/>
        <v>H</v>
      </c>
      <c r="D167" s="45">
        <f>Parameter!C$52</f>
        <v>0</v>
      </c>
      <c r="E167" s="125">
        <f t="shared" si="37"/>
        <v>0</v>
      </c>
      <c r="F167" s="126">
        <f t="shared" si="37"/>
        <v>0</v>
      </c>
      <c r="G167" s="126">
        <f t="shared" si="37"/>
        <v>0</v>
      </c>
      <c r="H167" s="126">
        <f t="shared" si="37"/>
        <v>0</v>
      </c>
      <c r="I167" s="126">
        <f t="shared" si="37"/>
        <v>0</v>
      </c>
      <c r="J167" s="126">
        <f t="shared" si="37"/>
        <v>0</v>
      </c>
      <c r="K167" s="126">
        <f t="shared" si="37"/>
        <v>0</v>
      </c>
      <c r="L167" s="127">
        <f t="shared" si="37"/>
        <v>0</v>
      </c>
    </row>
    <row r="168" spans="3:12" ht="15.6" hidden="1">
      <c r="C168" s="39" t="str">
        <f t="shared" si="33"/>
        <v>H</v>
      </c>
      <c r="D168" s="45">
        <f>Parameter!C$53</f>
        <v>0</v>
      </c>
      <c r="E168" s="125">
        <f t="shared" si="37"/>
        <v>0</v>
      </c>
      <c r="F168" s="126">
        <f t="shared" si="37"/>
        <v>0</v>
      </c>
      <c r="G168" s="126">
        <f t="shared" si="37"/>
        <v>0</v>
      </c>
      <c r="H168" s="126">
        <f t="shared" si="37"/>
        <v>0</v>
      </c>
      <c r="I168" s="126">
        <f t="shared" si="37"/>
        <v>0</v>
      </c>
      <c r="J168" s="126">
        <f t="shared" si="37"/>
        <v>0</v>
      </c>
      <c r="K168" s="126">
        <f t="shared" si="37"/>
        <v>0</v>
      </c>
      <c r="L168" s="127">
        <f t="shared" si="37"/>
        <v>0</v>
      </c>
    </row>
    <row r="169" spans="3:12" ht="15.6" hidden="1">
      <c r="C169" s="39" t="str">
        <f t="shared" si="33"/>
        <v>H</v>
      </c>
      <c r="D169" s="45">
        <f>Parameter!C$54</f>
        <v>0</v>
      </c>
      <c r="E169" s="125">
        <f t="shared" si="37"/>
        <v>0</v>
      </c>
      <c r="F169" s="126">
        <f t="shared" si="37"/>
        <v>0</v>
      </c>
      <c r="G169" s="126">
        <f t="shared" si="37"/>
        <v>0</v>
      </c>
      <c r="H169" s="126">
        <f t="shared" si="37"/>
        <v>0</v>
      </c>
      <c r="I169" s="126">
        <f t="shared" si="37"/>
        <v>0</v>
      </c>
      <c r="J169" s="126">
        <f t="shared" si="37"/>
        <v>0</v>
      </c>
      <c r="K169" s="126">
        <f t="shared" si="37"/>
        <v>0</v>
      </c>
      <c r="L169" s="127">
        <f t="shared" si="37"/>
        <v>0</v>
      </c>
    </row>
    <row r="170" spans="3:12" ht="15.6" hidden="1">
      <c r="C170" s="39" t="str">
        <f t="shared" si="33"/>
        <v>H</v>
      </c>
      <c r="D170" s="45">
        <f>Parameter!C$55</f>
        <v>0</v>
      </c>
      <c r="E170" s="125">
        <f t="shared" si="37"/>
        <v>0</v>
      </c>
      <c r="F170" s="126">
        <f t="shared" si="37"/>
        <v>0</v>
      </c>
      <c r="G170" s="126">
        <f t="shared" si="37"/>
        <v>0</v>
      </c>
      <c r="H170" s="126">
        <f t="shared" si="37"/>
        <v>0</v>
      </c>
      <c r="I170" s="126">
        <f t="shared" si="37"/>
        <v>0</v>
      </c>
      <c r="J170" s="126">
        <f t="shared" si="37"/>
        <v>0</v>
      </c>
      <c r="K170" s="126">
        <f t="shared" si="37"/>
        <v>0</v>
      </c>
      <c r="L170" s="127">
        <f t="shared" si="37"/>
        <v>0</v>
      </c>
    </row>
    <row r="171" spans="3:12" ht="15.6" hidden="1">
      <c r="C171" s="39" t="str">
        <f t="shared" si="33"/>
        <v>H</v>
      </c>
      <c r="D171" s="45">
        <f>Parameter!C$56</f>
        <v>0</v>
      </c>
      <c r="E171" s="125">
        <f t="shared" si="37"/>
        <v>0</v>
      </c>
      <c r="F171" s="126">
        <f t="shared" si="37"/>
        <v>0</v>
      </c>
      <c r="G171" s="126">
        <f t="shared" si="37"/>
        <v>0</v>
      </c>
      <c r="H171" s="126">
        <f t="shared" si="37"/>
        <v>0</v>
      </c>
      <c r="I171" s="126">
        <f t="shared" si="37"/>
        <v>0</v>
      </c>
      <c r="J171" s="126">
        <f t="shared" si="37"/>
        <v>0</v>
      </c>
      <c r="K171" s="126">
        <f t="shared" si="37"/>
        <v>0</v>
      </c>
      <c r="L171" s="127">
        <f t="shared" si="37"/>
        <v>0</v>
      </c>
    </row>
    <row r="172" spans="3:12" ht="16.2" hidden="1" thickBot="1">
      <c r="C172" s="39" t="str">
        <f t="shared" si="33"/>
        <v>H</v>
      </c>
      <c r="D172" s="53" t="str">
        <f>Parameter!C$57</f>
        <v>ALL</v>
      </c>
      <c r="E172" s="128">
        <f t="shared" si="37"/>
        <v>0</v>
      </c>
      <c r="F172" s="129">
        <f t="shared" si="37"/>
        <v>0</v>
      </c>
      <c r="G172" s="129">
        <f t="shared" si="37"/>
        <v>0</v>
      </c>
      <c r="H172" s="129">
        <f t="shared" si="37"/>
        <v>0</v>
      </c>
      <c r="I172" s="129">
        <f t="shared" si="37"/>
        <v>0</v>
      </c>
      <c r="J172" s="129">
        <f t="shared" si="37"/>
        <v>0</v>
      </c>
      <c r="K172" s="129">
        <f t="shared" si="37"/>
        <v>0</v>
      </c>
      <c r="L172" s="130">
        <f t="shared" si="37"/>
        <v>0</v>
      </c>
    </row>
    <row r="173" spans="3:12" ht="15.6">
      <c r="C173" s="39" t="str">
        <f t="shared" si="33"/>
        <v/>
      </c>
      <c r="D173" s="54" t="s">
        <v>87</v>
      </c>
      <c r="E173" s="131">
        <f>SUM(E123:E172)</f>
        <v>3.2</v>
      </c>
      <c r="F173" s="132">
        <f t="shared" ref="F173" si="38">SUM(F123:F172)</f>
        <v>1.7</v>
      </c>
      <c r="G173" s="132">
        <f t="shared" ref="G173" si="39">SUM(G123:G172)</f>
        <v>0</v>
      </c>
      <c r="H173" s="132">
        <f t="shared" ref="H173" si="40">SUM(H123:H172)</f>
        <v>0</v>
      </c>
      <c r="I173" s="132">
        <f t="shared" ref="I173" si="41">SUM(I123:I172)</f>
        <v>8.7999999999999995E-2</v>
      </c>
      <c r="J173" s="132">
        <f t="shared" ref="J173" si="42">SUM(J123:J172)</f>
        <v>1.2100000000000002</v>
      </c>
      <c r="K173" s="132">
        <f t="shared" ref="K173" si="43">SUM(K123:K172)</f>
        <v>2.6399999999999997</v>
      </c>
      <c r="L173" s="133">
        <f t="shared" ref="L173" si="44">SUM(L123:L172)</f>
        <v>2.8600000000000003</v>
      </c>
    </row>
    <row r="174" spans="3:12" ht="16.2" thickBot="1">
      <c r="C174" s="39" t="str">
        <f t="shared" si="33"/>
        <v/>
      </c>
      <c r="D174" s="46" t="s">
        <v>88</v>
      </c>
      <c r="E174" s="47"/>
      <c r="F174" s="50">
        <f t="shared" ref="F174" si="45">IF(E173*F173=0, "", F173/E173-1)</f>
        <v>-0.46875</v>
      </c>
      <c r="G174" s="50" t="str">
        <f t="shared" ref="G174" si="46">IF(F173*G173=0, "", G173/F173-1)</f>
        <v/>
      </c>
      <c r="H174" s="50" t="str">
        <f>IF(G173*H173=0, "", H173/G173-1)</f>
        <v/>
      </c>
      <c r="I174" s="50" t="str">
        <f t="shared" ref="I174" si="47">IF(H173*I173=0, "", I173/H173-1)</f>
        <v/>
      </c>
      <c r="J174" s="50">
        <f t="shared" ref="J174" si="48">IF(I173*J173=0, "", J173/I173-1)</f>
        <v>12.750000000000004</v>
      </c>
      <c r="K174" s="50">
        <f t="shared" ref="K174" si="49">IF(J173*K173=0, "", K173/J173-1)</f>
        <v>1.1818181818181812</v>
      </c>
      <c r="L174" s="51">
        <f t="shared" ref="L174" si="50">IF(K173*L173=0, "", L173/K173-1)</f>
        <v>8.3333333333333481E-2</v>
      </c>
    </row>
    <row r="175" spans="3:12">
      <c r="C175"/>
    </row>
    <row r="176" spans="3:12" ht="14.4" thickBot="1">
      <c r="C176"/>
    </row>
    <row r="177" spans="3:12" ht="15" thickBot="1">
      <c r="C177" s="57" t="str">
        <f>IF(SUM(E229:L229)=0, "H", "")</f>
        <v/>
      </c>
      <c r="D177" s="52" t="str">
        <f>Parameter!G11</f>
        <v>2x LCD</v>
      </c>
    </row>
    <row r="178" spans="3:12" ht="16.2" thickBot="1">
      <c r="C178" s="57" t="str">
        <f>IF(SUM(E229:L229)=0, "H", "")</f>
        <v/>
      </c>
      <c r="D178" s="40" t="s">
        <v>85</v>
      </c>
      <c r="E178" s="41" t="str">
        <f t="shared" ref="E178:L178" si="51">E10</f>
        <v>2022</v>
      </c>
      <c r="F178" s="42" t="str">
        <f t="shared" si="51"/>
        <v>2023</v>
      </c>
      <c r="G178" s="42" t="str">
        <f t="shared" si="51"/>
        <v>2024</v>
      </c>
      <c r="H178" s="42">
        <f t="shared" si="51"/>
        <v>2025</v>
      </c>
      <c r="I178" s="42" t="str">
        <f t="shared" si="51"/>
        <v>2026</v>
      </c>
      <c r="J178" s="42" t="str">
        <f t="shared" si="51"/>
        <v>2027</v>
      </c>
      <c r="K178" s="42" t="str">
        <f t="shared" si="51"/>
        <v>2028</v>
      </c>
      <c r="L178" s="43" t="str">
        <f t="shared" si="51"/>
        <v>2029</v>
      </c>
    </row>
    <row r="179" spans="3:12" ht="15.6" hidden="1">
      <c r="C179" s="39" t="str">
        <f>IF(SUM(E179:L179)=0, "H", "")</f>
        <v>H</v>
      </c>
      <c r="D179" s="44" t="str">
        <f>Parameter!C$8</f>
        <v>5K VR</v>
      </c>
      <c r="E179" s="125">
        <f t="shared" ref="E179:L188" si="52">SUMIF(ARVR_Y_PC_PR, "VR_"&amp;E$178&amp;"_"&amp;$D$177&amp;"_"&amp;$D179, PanelQ)</f>
        <v>0</v>
      </c>
      <c r="F179" s="126">
        <f t="shared" si="52"/>
        <v>0</v>
      </c>
      <c r="G179" s="126">
        <f t="shared" si="52"/>
        <v>0</v>
      </c>
      <c r="H179" s="126">
        <f t="shared" si="52"/>
        <v>0</v>
      </c>
      <c r="I179" s="126">
        <f t="shared" si="52"/>
        <v>0</v>
      </c>
      <c r="J179" s="126">
        <f t="shared" si="52"/>
        <v>0</v>
      </c>
      <c r="K179" s="126">
        <f t="shared" si="52"/>
        <v>0</v>
      </c>
      <c r="L179" s="127">
        <f t="shared" si="52"/>
        <v>0</v>
      </c>
    </row>
    <row r="180" spans="3:12" ht="15.6">
      <c r="C180" s="39" t="str">
        <f t="shared" ref="C180:C230" si="53">IF(SUM(E180:L180)=0, "H", "")</f>
        <v/>
      </c>
      <c r="D180" s="44" t="str">
        <f>Parameter!C$9</f>
        <v>Aero</v>
      </c>
      <c r="E180" s="125">
        <f t="shared" si="52"/>
        <v>0</v>
      </c>
      <c r="F180" s="126">
        <f t="shared" si="52"/>
        <v>5.94E-3</v>
      </c>
      <c r="G180" s="126">
        <f t="shared" si="52"/>
        <v>6.6E-4</v>
      </c>
      <c r="H180" s="126">
        <f t="shared" si="52"/>
        <v>0</v>
      </c>
      <c r="I180" s="126">
        <f t="shared" si="52"/>
        <v>0</v>
      </c>
      <c r="J180" s="126">
        <f t="shared" si="52"/>
        <v>0</v>
      </c>
      <c r="K180" s="126">
        <f t="shared" si="52"/>
        <v>0</v>
      </c>
      <c r="L180" s="127">
        <f t="shared" si="52"/>
        <v>0</v>
      </c>
    </row>
    <row r="181" spans="3:12" ht="15.6" hidden="1">
      <c r="C181" s="39" t="str">
        <f t="shared" si="53"/>
        <v>H</v>
      </c>
      <c r="D181" s="45" t="str">
        <f>Parameter!C$10</f>
        <v>Beyond</v>
      </c>
      <c r="E181" s="125">
        <f t="shared" si="52"/>
        <v>0</v>
      </c>
      <c r="F181" s="126">
        <f t="shared" si="52"/>
        <v>0</v>
      </c>
      <c r="G181" s="126">
        <f t="shared" si="52"/>
        <v>0</v>
      </c>
      <c r="H181" s="126">
        <f t="shared" si="52"/>
        <v>0</v>
      </c>
      <c r="I181" s="126">
        <f t="shared" si="52"/>
        <v>0</v>
      </c>
      <c r="J181" s="126">
        <f t="shared" si="52"/>
        <v>0</v>
      </c>
      <c r="K181" s="126">
        <f t="shared" si="52"/>
        <v>0</v>
      </c>
      <c r="L181" s="127">
        <f t="shared" si="52"/>
        <v>0</v>
      </c>
    </row>
    <row r="182" spans="3:12" ht="15.6" hidden="1">
      <c r="C182" s="39" t="str">
        <f t="shared" si="53"/>
        <v>H</v>
      </c>
      <c r="D182" s="45" t="str">
        <f>Parameter!C$11</f>
        <v>Bionic models</v>
      </c>
      <c r="E182" s="125">
        <f t="shared" si="52"/>
        <v>0</v>
      </c>
      <c r="F182" s="126">
        <f t="shared" si="52"/>
        <v>0</v>
      </c>
      <c r="G182" s="126">
        <f t="shared" si="52"/>
        <v>0</v>
      </c>
      <c r="H182" s="126">
        <f t="shared" si="52"/>
        <v>0</v>
      </c>
      <c r="I182" s="126">
        <f t="shared" si="52"/>
        <v>0</v>
      </c>
      <c r="J182" s="126">
        <f t="shared" si="52"/>
        <v>0</v>
      </c>
      <c r="K182" s="126">
        <f t="shared" si="52"/>
        <v>0</v>
      </c>
      <c r="L182" s="127">
        <f t="shared" si="52"/>
        <v>0</v>
      </c>
    </row>
    <row r="183" spans="3:12" ht="15.6">
      <c r="C183" s="39" t="str">
        <f t="shared" si="53"/>
        <v/>
      </c>
      <c r="D183" s="45" t="str">
        <f>Parameter!C$12</f>
        <v>Dual LCD VR headset</v>
      </c>
      <c r="E183" s="125">
        <f t="shared" si="52"/>
        <v>5.5E-2</v>
      </c>
      <c r="F183" s="126">
        <f t="shared" si="52"/>
        <v>4.3560000000000005E-3</v>
      </c>
      <c r="G183" s="126">
        <f t="shared" si="52"/>
        <v>0</v>
      </c>
      <c r="H183" s="126">
        <f t="shared" si="52"/>
        <v>0.5</v>
      </c>
      <c r="I183" s="126">
        <f t="shared" si="52"/>
        <v>6.3360000000000003</v>
      </c>
      <c r="J183" s="126">
        <f t="shared" si="52"/>
        <v>9.8999999999999986</v>
      </c>
      <c r="K183" s="126">
        <f t="shared" si="52"/>
        <v>8.8000000000000007</v>
      </c>
      <c r="L183" s="127">
        <f t="shared" si="52"/>
        <v>9.68</v>
      </c>
    </row>
    <row r="184" spans="3:12" ht="15.6" hidden="1">
      <c r="C184" s="39" t="str">
        <f t="shared" si="53"/>
        <v>H</v>
      </c>
      <c r="D184" s="45" t="str">
        <f>Parameter!C$13</f>
        <v>Dual SiOLED headset</v>
      </c>
      <c r="E184" s="125">
        <f t="shared" si="52"/>
        <v>0</v>
      </c>
      <c r="F184" s="126">
        <f t="shared" si="52"/>
        <v>0</v>
      </c>
      <c r="G184" s="126">
        <f t="shared" si="52"/>
        <v>0</v>
      </c>
      <c r="H184" s="126">
        <f t="shared" si="52"/>
        <v>0</v>
      </c>
      <c r="I184" s="126">
        <f t="shared" si="52"/>
        <v>0</v>
      </c>
      <c r="J184" s="126">
        <f t="shared" si="52"/>
        <v>0</v>
      </c>
      <c r="K184" s="126">
        <f t="shared" si="52"/>
        <v>0</v>
      </c>
      <c r="L184" s="127">
        <f t="shared" si="52"/>
        <v>0</v>
      </c>
    </row>
    <row r="185" spans="3:12" ht="15.6" hidden="1">
      <c r="C185" s="39" t="str">
        <f t="shared" si="53"/>
        <v>H</v>
      </c>
      <c r="D185" s="45" t="str">
        <f>Parameter!C$14</f>
        <v>Index</v>
      </c>
      <c r="E185" s="125">
        <f t="shared" si="52"/>
        <v>0</v>
      </c>
      <c r="F185" s="126">
        <f t="shared" si="52"/>
        <v>0</v>
      </c>
      <c r="G185" s="126">
        <f t="shared" si="52"/>
        <v>0</v>
      </c>
      <c r="H185" s="126">
        <f t="shared" si="52"/>
        <v>0</v>
      </c>
      <c r="I185" s="126">
        <f t="shared" si="52"/>
        <v>0</v>
      </c>
      <c r="J185" s="126">
        <f t="shared" si="52"/>
        <v>0</v>
      </c>
      <c r="K185" s="126">
        <f t="shared" si="52"/>
        <v>0</v>
      </c>
      <c r="L185" s="127">
        <f t="shared" si="52"/>
        <v>0</v>
      </c>
    </row>
    <row r="186" spans="3:12" ht="15.6" hidden="1">
      <c r="C186" s="39" t="str">
        <f t="shared" si="53"/>
        <v>H</v>
      </c>
      <c r="D186" s="45" t="str">
        <f>Parameter!C$15</f>
        <v>MeganeX</v>
      </c>
      <c r="E186" s="125">
        <f t="shared" si="52"/>
        <v>0</v>
      </c>
      <c r="F186" s="126">
        <f t="shared" si="52"/>
        <v>0</v>
      </c>
      <c r="G186" s="126">
        <f t="shared" si="52"/>
        <v>0</v>
      </c>
      <c r="H186" s="126">
        <f t="shared" si="52"/>
        <v>0</v>
      </c>
      <c r="I186" s="126">
        <f t="shared" si="52"/>
        <v>0</v>
      </c>
      <c r="J186" s="126">
        <f t="shared" si="52"/>
        <v>0</v>
      </c>
      <c r="K186" s="126">
        <f t="shared" si="52"/>
        <v>0</v>
      </c>
      <c r="L186" s="127">
        <f t="shared" si="52"/>
        <v>0</v>
      </c>
    </row>
    <row r="187" spans="3:12" ht="15.6" hidden="1">
      <c r="C187" s="39" t="str">
        <f t="shared" si="53"/>
        <v>H</v>
      </c>
      <c r="D187" s="45" t="str">
        <f>Parameter!C$16</f>
        <v>MeganeX Superlight 8K</v>
      </c>
      <c r="E187" s="125">
        <f t="shared" si="52"/>
        <v>0</v>
      </c>
      <c r="F187" s="126">
        <f t="shared" si="52"/>
        <v>0</v>
      </c>
      <c r="G187" s="126">
        <f t="shared" si="52"/>
        <v>0</v>
      </c>
      <c r="H187" s="126">
        <f t="shared" si="52"/>
        <v>0</v>
      </c>
      <c r="I187" s="126">
        <f t="shared" si="52"/>
        <v>0</v>
      </c>
      <c r="J187" s="126">
        <f t="shared" si="52"/>
        <v>0</v>
      </c>
      <c r="K187" s="126">
        <f t="shared" si="52"/>
        <v>0</v>
      </c>
      <c r="L187" s="127">
        <f t="shared" si="52"/>
        <v>0</v>
      </c>
    </row>
    <row r="188" spans="3:12" ht="15.6" hidden="1">
      <c r="C188" s="39" t="str">
        <f t="shared" si="53"/>
        <v>H</v>
      </c>
      <c r="D188" s="45" t="str">
        <f>Parameter!C$17</f>
        <v>Neo 3 / G3</v>
      </c>
      <c r="E188" s="125">
        <f t="shared" si="52"/>
        <v>0</v>
      </c>
      <c r="F188" s="126">
        <f t="shared" si="52"/>
        <v>0</v>
      </c>
      <c r="G188" s="126">
        <f t="shared" si="52"/>
        <v>0</v>
      </c>
      <c r="H188" s="126">
        <f t="shared" si="52"/>
        <v>0</v>
      </c>
      <c r="I188" s="126">
        <f t="shared" si="52"/>
        <v>0</v>
      </c>
      <c r="J188" s="126">
        <f t="shared" si="52"/>
        <v>0</v>
      </c>
      <c r="K188" s="126">
        <f t="shared" si="52"/>
        <v>0</v>
      </c>
      <c r="L188" s="127">
        <f t="shared" si="52"/>
        <v>0</v>
      </c>
    </row>
    <row r="189" spans="3:12" ht="15.6" hidden="1">
      <c r="C189" s="39" t="str">
        <f t="shared" si="53"/>
        <v>H</v>
      </c>
      <c r="D189" s="45" t="str">
        <f>Parameter!C$18</f>
        <v>OLED VR headset</v>
      </c>
      <c r="E189" s="125">
        <f t="shared" ref="E189:L198" si="54">SUMIF(ARVR_Y_PC_PR, "VR_"&amp;E$178&amp;"_"&amp;$D$177&amp;"_"&amp;$D189, PanelQ)</f>
        <v>0</v>
      </c>
      <c r="F189" s="126">
        <f t="shared" si="54"/>
        <v>0</v>
      </c>
      <c r="G189" s="126">
        <f t="shared" si="54"/>
        <v>0</v>
      </c>
      <c r="H189" s="126">
        <f t="shared" si="54"/>
        <v>0</v>
      </c>
      <c r="I189" s="126">
        <f t="shared" si="54"/>
        <v>0</v>
      </c>
      <c r="J189" s="126">
        <f t="shared" si="54"/>
        <v>0</v>
      </c>
      <c r="K189" s="126">
        <f t="shared" si="54"/>
        <v>0</v>
      </c>
      <c r="L189" s="127">
        <f t="shared" si="54"/>
        <v>0</v>
      </c>
    </row>
    <row r="190" spans="3:12" ht="15.6" hidden="1">
      <c r="C190" s="39" t="str">
        <f t="shared" si="53"/>
        <v>H</v>
      </c>
      <c r="D190" s="45" t="str">
        <f>Parameter!C$19</f>
        <v>P1 family</v>
      </c>
      <c r="E190" s="125">
        <f t="shared" si="54"/>
        <v>0</v>
      </c>
      <c r="F190" s="126">
        <f t="shared" si="54"/>
        <v>0</v>
      </c>
      <c r="G190" s="126">
        <f t="shared" si="54"/>
        <v>0</v>
      </c>
      <c r="H190" s="126">
        <f t="shared" si="54"/>
        <v>0</v>
      </c>
      <c r="I190" s="126">
        <f t="shared" si="54"/>
        <v>0</v>
      </c>
      <c r="J190" s="126">
        <f t="shared" si="54"/>
        <v>0</v>
      </c>
      <c r="K190" s="126">
        <f t="shared" si="54"/>
        <v>0</v>
      </c>
      <c r="L190" s="127">
        <f t="shared" si="54"/>
        <v>0</v>
      </c>
    </row>
    <row r="191" spans="3:12" ht="15.6">
      <c r="C191" s="39" t="str">
        <f t="shared" si="53"/>
        <v/>
      </c>
      <c r="D191" s="45" t="str">
        <f>Parameter!C$20</f>
        <v>Pico 4</v>
      </c>
      <c r="E191" s="125">
        <f t="shared" si="54"/>
        <v>0.35639999999999999</v>
      </c>
      <c r="F191" s="126">
        <f t="shared" si="54"/>
        <v>0.47299999999999998</v>
      </c>
      <c r="G191" s="126">
        <f t="shared" si="54"/>
        <v>0.48010000000000003</v>
      </c>
      <c r="H191" s="126">
        <f t="shared" si="54"/>
        <v>0.44999999999999996</v>
      </c>
      <c r="I191" s="126">
        <f t="shared" si="54"/>
        <v>0</v>
      </c>
      <c r="J191" s="126">
        <f t="shared" si="54"/>
        <v>0</v>
      </c>
      <c r="K191" s="126">
        <f t="shared" si="54"/>
        <v>0</v>
      </c>
      <c r="L191" s="127">
        <f t="shared" si="54"/>
        <v>0</v>
      </c>
    </row>
    <row r="192" spans="3:12" ht="15.6">
      <c r="C192" s="39" t="str">
        <f t="shared" si="53"/>
        <v/>
      </c>
      <c r="D192" s="45" t="str">
        <f>Parameter!C$21</f>
        <v>Pimax VR</v>
      </c>
      <c r="E192" s="125">
        <f t="shared" si="54"/>
        <v>2.1999999999999999E-2</v>
      </c>
      <c r="F192" s="126">
        <f t="shared" si="54"/>
        <v>1.056E-2</v>
      </c>
      <c r="G192" s="126">
        <f t="shared" si="54"/>
        <v>2.4200000000000003E-3</v>
      </c>
      <c r="H192" s="126">
        <f t="shared" si="54"/>
        <v>0</v>
      </c>
      <c r="I192" s="126">
        <f t="shared" si="54"/>
        <v>0</v>
      </c>
      <c r="J192" s="126">
        <f t="shared" si="54"/>
        <v>0</v>
      </c>
      <c r="K192" s="126">
        <f t="shared" si="54"/>
        <v>0</v>
      </c>
      <c r="L192" s="127">
        <f t="shared" si="54"/>
        <v>0</v>
      </c>
    </row>
    <row r="193" spans="3:12" ht="15.6" hidden="1">
      <c r="C193" s="39" t="str">
        <f t="shared" si="53"/>
        <v>H</v>
      </c>
      <c r="D193" s="45" t="str">
        <f>Parameter!C$22</f>
        <v>PlayStation VR</v>
      </c>
      <c r="E193" s="125">
        <f t="shared" si="54"/>
        <v>0</v>
      </c>
      <c r="F193" s="126">
        <f t="shared" si="54"/>
        <v>0</v>
      </c>
      <c r="G193" s="126">
        <f t="shared" si="54"/>
        <v>0</v>
      </c>
      <c r="H193" s="126">
        <f t="shared" si="54"/>
        <v>0</v>
      </c>
      <c r="I193" s="126">
        <f t="shared" si="54"/>
        <v>0</v>
      </c>
      <c r="J193" s="126">
        <f t="shared" si="54"/>
        <v>0</v>
      </c>
      <c r="K193" s="126">
        <f t="shared" si="54"/>
        <v>0</v>
      </c>
      <c r="L193" s="127">
        <f t="shared" si="54"/>
        <v>0</v>
      </c>
    </row>
    <row r="194" spans="3:12" ht="15.6" hidden="1">
      <c r="C194" s="39" t="str">
        <f t="shared" si="53"/>
        <v>H</v>
      </c>
      <c r="D194" s="45" t="str">
        <f>Parameter!C$23</f>
        <v>PlayStation VR2</v>
      </c>
      <c r="E194" s="125">
        <f t="shared" si="54"/>
        <v>0</v>
      </c>
      <c r="F194" s="126">
        <f t="shared" si="54"/>
        <v>0</v>
      </c>
      <c r="G194" s="126">
        <f t="shared" si="54"/>
        <v>0</v>
      </c>
      <c r="H194" s="126">
        <f t="shared" si="54"/>
        <v>0</v>
      </c>
      <c r="I194" s="126">
        <f t="shared" si="54"/>
        <v>0</v>
      </c>
      <c r="J194" s="126">
        <f t="shared" si="54"/>
        <v>0</v>
      </c>
      <c r="K194" s="126">
        <f t="shared" si="54"/>
        <v>0</v>
      </c>
      <c r="L194" s="127">
        <f t="shared" si="54"/>
        <v>0</v>
      </c>
    </row>
    <row r="195" spans="3:12" ht="15.6" hidden="1">
      <c r="C195" s="39" t="str">
        <f t="shared" si="53"/>
        <v>H</v>
      </c>
      <c r="D195" s="45" t="str">
        <f>Parameter!C$24</f>
        <v>Project Moohan</v>
      </c>
      <c r="E195" s="125">
        <f t="shared" si="54"/>
        <v>0</v>
      </c>
      <c r="F195" s="126">
        <f t="shared" si="54"/>
        <v>0</v>
      </c>
      <c r="G195" s="126">
        <f t="shared" si="54"/>
        <v>0</v>
      </c>
      <c r="H195" s="126">
        <f t="shared" si="54"/>
        <v>0</v>
      </c>
      <c r="I195" s="126">
        <f t="shared" si="54"/>
        <v>0</v>
      </c>
      <c r="J195" s="126">
        <f t="shared" si="54"/>
        <v>0</v>
      </c>
      <c r="K195" s="126">
        <f t="shared" si="54"/>
        <v>0</v>
      </c>
      <c r="L195" s="127">
        <f t="shared" si="54"/>
        <v>0</v>
      </c>
    </row>
    <row r="196" spans="3:12" ht="15.6" hidden="1">
      <c r="C196" s="39" t="str">
        <f t="shared" si="53"/>
        <v>H</v>
      </c>
      <c r="D196" s="45" t="str">
        <f>Parameter!C$25</f>
        <v>Quest</v>
      </c>
      <c r="E196" s="125">
        <f t="shared" si="54"/>
        <v>0</v>
      </c>
      <c r="F196" s="126">
        <f t="shared" si="54"/>
        <v>0</v>
      </c>
      <c r="G196" s="126">
        <f t="shared" si="54"/>
        <v>0</v>
      </c>
      <c r="H196" s="126">
        <f t="shared" si="54"/>
        <v>0</v>
      </c>
      <c r="I196" s="126">
        <f t="shared" si="54"/>
        <v>0</v>
      </c>
      <c r="J196" s="126">
        <f t="shared" si="54"/>
        <v>0</v>
      </c>
      <c r="K196" s="126">
        <f t="shared" si="54"/>
        <v>0</v>
      </c>
      <c r="L196" s="127">
        <f t="shared" si="54"/>
        <v>0</v>
      </c>
    </row>
    <row r="197" spans="3:12" ht="15.6" hidden="1">
      <c r="C197" s="39" t="str">
        <f t="shared" si="53"/>
        <v>H</v>
      </c>
      <c r="D197" s="45" t="str">
        <f>Parameter!C$26</f>
        <v>Quest 2</v>
      </c>
      <c r="E197" s="125">
        <f t="shared" si="54"/>
        <v>0</v>
      </c>
      <c r="F197" s="126">
        <f t="shared" si="54"/>
        <v>0</v>
      </c>
      <c r="G197" s="126">
        <f t="shared" si="54"/>
        <v>0</v>
      </c>
      <c r="H197" s="126">
        <f t="shared" si="54"/>
        <v>0</v>
      </c>
      <c r="I197" s="126">
        <f t="shared" si="54"/>
        <v>0</v>
      </c>
      <c r="J197" s="126">
        <f t="shared" si="54"/>
        <v>0</v>
      </c>
      <c r="K197" s="126">
        <f t="shared" si="54"/>
        <v>0</v>
      </c>
      <c r="L197" s="127">
        <f t="shared" si="54"/>
        <v>0</v>
      </c>
    </row>
    <row r="198" spans="3:12" ht="15.6">
      <c r="C198" s="39" t="str">
        <f t="shared" si="53"/>
        <v/>
      </c>
      <c r="D198" s="45" t="str">
        <f>Parameter!C$27</f>
        <v>Quest 3</v>
      </c>
      <c r="E198" s="125">
        <f t="shared" si="54"/>
        <v>0</v>
      </c>
      <c r="F198" s="126">
        <f t="shared" si="54"/>
        <v>6.4240000000000004</v>
      </c>
      <c r="G198" s="126">
        <f t="shared" si="54"/>
        <v>3.3040000000000003</v>
      </c>
      <c r="H198" s="126">
        <f t="shared" si="54"/>
        <v>2.1720000000000002</v>
      </c>
      <c r="I198" s="126">
        <f t="shared" si="54"/>
        <v>0</v>
      </c>
      <c r="J198" s="126">
        <f t="shared" si="54"/>
        <v>0</v>
      </c>
      <c r="K198" s="126">
        <f t="shared" si="54"/>
        <v>0</v>
      </c>
      <c r="L198" s="127">
        <f t="shared" si="54"/>
        <v>0</v>
      </c>
    </row>
    <row r="199" spans="3:12" ht="15.6" hidden="1">
      <c r="C199" s="39" t="str">
        <f t="shared" si="53"/>
        <v>H</v>
      </c>
      <c r="D199" s="45" t="str">
        <f>Parameter!C$28</f>
        <v>Quest 3S</v>
      </c>
      <c r="E199" s="125">
        <f t="shared" ref="E199:L208" si="55">SUMIF(ARVR_Y_PC_PR, "VR_"&amp;E$178&amp;"_"&amp;$D$177&amp;"_"&amp;$D199, PanelQ)</f>
        <v>0</v>
      </c>
      <c r="F199" s="126">
        <f t="shared" si="55"/>
        <v>0</v>
      </c>
      <c r="G199" s="126">
        <f t="shared" si="55"/>
        <v>0</v>
      </c>
      <c r="H199" s="126">
        <f t="shared" si="55"/>
        <v>0</v>
      </c>
      <c r="I199" s="126">
        <f t="shared" si="55"/>
        <v>0</v>
      </c>
      <c r="J199" s="126">
        <f t="shared" si="55"/>
        <v>0</v>
      </c>
      <c r="K199" s="126">
        <f t="shared" si="55"/>
        <v>0</v>
      </c>
      <c r="L199" s="127">
        <f t="shared" si="55"/>
        <v>0</v>
      </c>
    </row>
    <row r="200" spans="3:12" ht="15.6">
      <c r="C200" s="39" t="str">
        <f t="shared" si="53"/>
        <v/>
      </c>
      <c r="D200" s="45" t="str">
        <f>Parameter!C$29</f>
        <v>Quest Pro</v>
      </c>
      <c r="E200" s="125">
        <f t="shared" si="55"/>
        <v>0.1452</v>
      </c>
      <c r="F200" s="126">
        <f t="shared" si="55"/>
        <v>1.98E-3</v>
      </c>
      <c r="G200" s="126">
        <f t="shared" si="55"/>
        <v>0</v>
      </c>
      <c r="H200" s="126">
        <f t="shared" si="55"/>
        <v>0</v>
      </c>
      <c r="I200" s="126">
        <f t="shared" si="55"/>
        <v>0</v>
      </c>
      <c r="J200" s="126">
        <f t="shared" si="55"/>
        <v>0</v>
      </c>
      <c r="K200" s="126">
        <f t="shared" si="55"/>
        <v>0</v>
      </c>
      <c r="L200" s="127">
        <f t="shared" si="55"/>
        <v>0</v>
      </c>
    </row>
    <row r="201" spans="3:12" ht="15.6">
      <c r="C201" s="39" t="str">
        <f t="shared" si="53"/>
        <v/>
      </c>
      <c r="D201" s="45" t="str">
        <f>Parameter!C$30</f>
        <v>R1</v>
      </c>
      <c r="E201" s="125">
        <f t="shared" si="55"/>
        <v>3.3000000000000002E-2</v>
      </c>
      <c r="F201" s="126">
        <f t="shared" si="55"/>
        <v>2.2000000000000001E-4</v>
      </c>
      <c r="G201" s="126">
        <f t="shared" si="55"/>
        <v>0</v>
      </c>
      <c r="H201" s="126">
        <f t="shared" si="55"/>
        <v>0</v>
      </c>
      <c r="I201" s="126">
        <f t="shared" si="55"/>
        <v>0</v>
      </c>
      <c r="J201" s="126">
        <f t="shared" si="55"/>
        <v>0</v>
      </c>
      <c r="K201" s="126">
        <f t="shared" si="55"/>
        <v>0</v>
      </c>
      <c r="L201" s="127">
        <f t="shared" si="55"/>
        <v>0</v>
      </c>
    </row>
    <row r="202" spans="3:12" ht="15.6" hidden="1">
      <c r="C202" s="39" t="str">
        <f t="shared" si="53"/>
        <v>H</v>
      </c>
      <c r="D202" s="45" t="str">
        <f>Parameter!C$31</f>
        <v>Reverb</v>
      </c>
      <c r="E202" s="125">
        <f t="shared" si="55"/>
        <v>0</v>
      </c>
      <c r="F202" s="126">
        <f t="shared" si="55"/>
        <v>0</v>
      </c>
      <c r="G202" s="126">
        <f t="shared" si="55"/>
        <v>0</v>
      </c>
      <c r="H202" s="126">
        <f t="shared" si="55"/>
        <v>0</v>
      </c>
      <c r="I202" s="126">
        <f t="shared" si="55"/>
        <v>0</v>
      </c>
      <c r="J202" s="126">
        <f t="shared" si="55"/>
        <v>0</v>
      </c>
      <c r="K202" s="126">
        <f t="shared" si="55"/>
        <v>0</v>
      </c>
      <c r="L202" s="127">
        <f t="shared" si="55"/>
        <v>0</v>
      </c>
    </row>
    <row r="203" spans="3:12" ht="15.6">
      <c r="C203" s="39" t="str">
        <f t="shared" si="53"/>
        <v/>
      </c>
      <c r="D203" s="45" t="str">
        <f>Parameter!C$32</f>
        <v>Reverb G2</v>
      </c>
      <c r="E203" s="125">
        <f t="shared" si="55"/>
        <v>0</v>
      </c>
      <c r="F203" s="126">
        <f t="shared" si="55"/>
        <v>4.553999999999999E-3</v>
      </c>
      <c r="G203" s="126">
        <f t="shared" si="55"/>
        <v>2.2000000000000001E-4</v>
      </c>
      <c r="H203" s="126">
        <f t="shared" si="55"/>
        <v>0</v>
      </c>
      <c r="I203" s="126">
        <f t="shared" si="55"/>
        <v>0</v>
      </c>
      <c r="J203" s="126">
        <f t="shared" si="55"/>
        <v>0</v>
      </c>
      <c r="K203" s="126">
        <f t="shared" si="55"/>
        <v>0</v>
      </c>
      <c r="L203" s="127">
        <f t="shared" si="55"/>
        <v>0</v>
      </c>
    </row>
    <row r="204" spans="3:12" ht="15.6" hidden="1">
      <c r="C204" s="39" t="str">
        <f t="shared" si="53"/>
        <v>H</v>
      </c>
      <c r="D204" s="45" t="str">
        <f>Parameter!C$33</f>
        <v>Rift S</v>
      </c>
      <c r="E204" s="125">
        <f t="shared" si="55"/>
        <v>0</v>
      </c>
      <c r="F204" s="126">
        <f t="shared" si="55"/>
        <v>0</v>
      </c>
      <c r="G204" s="126">
        <f t="shared" si="55"/>
        <v>0</v>
      </c>
      <c r="H204" s="126">
        <f t="shared" si="55"/>
        <v>0</v>
      </c>
      <c r="I204" s="126">
        <f t="shared" si="55"/>
        <v>0</v>
      </c>
      <c r="J204" s="126">
        <f t="shared" si="55"/>
        <v>0</v>
      </c>
      <c r="K204" s="126">
        <f t="shared" si="55"/>
        <v>0</v>
      </c>
      <c r="L204" s="127">
        <f t="shared" si="55"/>
        <v>0</v>
      </c>
    </row>
    <row r="205" spans="3:12" ht="15.6" hidden="1">
      <c r="C205" s="39" t="str">
        <f t="shared" si="53"/>
        <v>H</v>
      </c>
      <c r="D205" s="45" t="str">
        <f>Parameter!C$34</f>
        <v>Single LCD VR headset</v>
      </c>
      <c r="E205" s="125">
        <f t="shared" si="55"/>
        <v>0</v>
      </c>
      <c r="F205" s="126">
        <f t="shared" si="55"/>
        <v>0</v>
      </c>
      <c r="G205" s="126">
        <f t="shared" si="55"/>
        <v>0</v>
      </c>
      <c r="H205" s="126">
        <f t="shared" si="55"/>
        <v>0</v>
      </c>
      <c r="I205" s="126">
        <f t="shared" si="55"/>
        <v>0</v>
      </c>
      <c r="J205" s="126">
        <f t="shared" si="55"/>
        <v>0</v>
      </c>
      <c r="K205" s="126">
        <f t="shared" si="55"/>
        <v>0</v>
      </c>
      <c r="L205" s="127">
        <f t="shared" si="55"/>
        <v>0</v>
      </c>
    </row>
    <row r="206" spans="3:12" ht="15.6">
      <c r="C206" s="39" t="str">
        <f t="shared" si="53"/>
        <v/>
      </c>
      <c r="D206" s="45" t="str">
        <f>Parameter!C$35</f>
        <v>ThinkReality VRX</v>
      </c>
      <c r="E206" s="125">
        <f t="shared" si="55"/>
        <v>2.1999999999999999E-2</v>
      </c>
      <c r="F206" s="126">
        <f t="shared" si="55"/>
        <v>2.8600000000000004E-2</v>
      </c>
      <c r="G206" s="126">
        <f t="shared" si="55"/>
        <v>2.64E-3</v>
      </c>
      <c r="H206" s="126">
        <f t="shared" si="55"/>
        <v>0</v>
      </c>
      <c r="I206" s="126">
        <f t="shared" si="55"/>
        <v>0</v>
      </c>
      <c r="J206" s="126">
        <f t="shared" si="55"/>
        <v>0</v>
      </c>
      <c r="K206" s="126">
        <f t="shared" si="55"/>
        <v>0</v>
      </c>
      <c r="L206" s="127">
        <f t="shared" si="55"/>
        <v>0</v>
      </c>
    </row>
    <row r="207" spans="3:12" ht="15.6" hidden="1">
      <c r="C207" s="39" t="str">
        <f t="shared" si="53"/>
        <v>H</v>
      </c>
      <c r="D207" s="45" t="str">
        <f>Parameter!C$36</f>
        <v>Vision Pro</v>
      </c>
      <c r="E207" s="125">
        <f t="shared" si="55"/>
        <v>0</v>
      </c>
      <c r="F207" s="126">
        <f t="shared" si="55"/>
        <v>0</v>
      </c>
      <c r="G207" s="126">
        <f t="shared" si="55"/>
        <v>0</v>
      </c>
      <c r="H207" s="126">
        <f t="shared" si="55"/>
        <v>0</v>
      </c>
      <c r="I207" s="126">
        <f t="shared" si="55"/>
        <v>0</v>
      </c>
      <c r="J207" s="126">
        <f t="shared" si="55"/>
        <v>0</v>
      </c>
      <c r="K207" s="126">
        <f t="shared" si="55"/>
        <v>0</v>
      </c>
      <c r="L207" s="127">
        <f t="shared" si="55"/>
        <v>0</v>
      </c>
    </row>
    <row r="208" spans="3:12" ht="15.6">
      <c r="C208" s="39" t="str">
        <f t="shared" si="53"/>
        <v/>
      </c>
      <c r="D208" s="45" t="str">
        <f>Parameter!C$37</f>
        <v>Vive LCD headsets</v>
      </c>
      <c r="E208" s="125">
        <f t="shared" si="55"/>
        <v>7.6999999999999999E-2</v>
      </c>
      <c r="F208" s="126">
        <f t="shared" si="55"/>
        <v>2.1780000000000001E-2</v>
      </c>
      <c r="G208" s="126">
        <f t="shared" si="55"/>
        <v>3.8500000000000001E-3</v>
      </c>
      <c r="H208" s="126">
        <f t="shared" si="55"/>
        <v>0</v>
      </c>
      <c r="I208" s="126">
        <f t="shared" si="55"/>
        <v>0</v>
      </c>
      <c r="J208" s="126">
        <f t="shared" si="55"/>
        <v>0</v>
      </c>
      <c r="K208" s="126">
        <f t="shared" si="55"/>
        <v>0</v>
      </c>
      <c r="L208" s="127">
        <f t="shared" si="55"/>
        <v>0</v>
      </c>
    </row>
    <row r="209" spans="3:12" ht="15.6">
      <c r="C209" s="39" t="str">
        <f t="shared" si="53"/>
        <v/>
      </c>
      <c r="D209" s="45" t="str">
        <f>Parameter!C$38</f>
        <v>VR1</v>
      </c>
      <c r="E209" s="125">
        <f t="shared" ref="E209:L218" si="56">SUMIF(ARVR_Y_PC_PR, "VR_"&amp;E$178&amp;"_"&amp;$D$177&amp;"_"&amp;$D209, PanelQ)</f>
        <v>0</v>
      </c>
      <c r="F209" s="126">
        <f t="shared" si="56"/>
        <v>0</v>
      </c>
      <c r="G209" s="126">
        <f t="shared" si="56"/>
        <v>1.5E-3</v>
      </c>
      <c r="H209" s="126">
        <f t="shared" si="56"/>
        <v>1.5E-3</v>
      </c>
      <c r="I209" s="126">
        <f t="shared" si="56"/>
        <v>0</v>
      </c>
      <c r="J209" s="126">
        <f t="shared" si="56"/>
        <v>0</v>
      </c>
      <c r="K209" s="126">
        <f t="shared" si="56"/>
        <v>0</v>
      </c>
      <c r="L209" s="127">
        <f t="shared" si="56"/>
        <v>0</v>
      </c>
    </row>
    <row r="210" spans="3:12" ht="16.2" thickBot="1">
      <c r="C210" s="39" t="str">
        <f t="shared" si="53"/>
        <v/>
      </c>
      <c r="D210" s="45" t="str">
        <f>Parameter!C$39</f>
        <v>XR-4</v>
      </c>
      <c r="E210" s="125">
        <f t="shared" si="56"/>
        <v>0</v>
      </c>
      <c r="F210" s="126">
        <f t="shared" si="56"/>
        <v>3.5200000000000001E-3</v>
      </c>
      <c r="G210" s="126">
        <f t="shared" si="56"/>
        <v>7.2000000000000007E-3</v>
      </c>
      <c r="H210" s="126">
        <f t="shared" si="56"/>
        <v>1E-3</v>
      </c>
      <c r="I210" s="126">
        <f t="shared" si="56"/>
        <v>0</v>
      </c>
      <c r="J210" s="126">
        <f t="shared" si="56"/>
        <v>0</v>
      </c>
      <c r="K210" s="126">
        <f t="shared" si="56"/>
        <v>0</v>
      </c>
      <c r="L210" s="127">
        <f t="shared" si="56"/>
        <v>0</v>
      </c>
    </row>
    <row r="211" spans="3:12" ht="15.6" hidden="1">
      <c r="C211" s="39" t="str">
        <f t="shared" si="53"/>
        <v>H</v>
      </c>
      <c r="D211" s="45">
        <f>Parameter!C$40</f>
        <v>0</v>
      </c>
      <c r="E211" s="125">
        <f t="shared" si="56"/>
        <v>0</v>
      </c>
      <c r="F211" s="126">
        <f t="shared" si="56"/>
        <v>0</v>
      </c>
      <c r="G211" s="126">
        <f t="shared" si="56"/>
        <v>0</v>
      </c>
      <c r="H211" s="126">
        <f t="shared" si="56"/>
        <v>0</v>
      </c>
      <c r="I211" s="126">
        <f t="shared" si="56"/>
        <v>0</v>
      </c>
      <c r="J211" s="126">
        <f t="shared" si="56"/>
        <v>0</v>
      </c>
      <c r="K211" s="126">
        <f t="shared" si="56"/>
        <v>0</v>
      </c>
      <c r="L211" s="127">
        <f t="shared" si="56"/>
        <v>0</v>
      </c>
    </row>
    <row r="212" spans="3:12" ht="15.6" hidden="1">
      <c r="C212" s="39" t="str">
        <f t="shared" si="53"/>
        <v>H</v>
      </c>
      <c r="D212" s="45">
        <f>Parameter!C$41</f>
        <v>0</v>
      </c>
      <c r="E212" s="125">
        <f t="shared" si="56"/>
        <v>0</v>
      </c>
      <c r="F212" s="126">
        <f t="shared" si="56"/>
        <v>0</v>
      </c>
      <c r="G212" s="126">
        <f t="shared" si="56"/>
        <v>0</v>
      </c>
      <c r="H212" s="126">
        <f t="shared" si="56"/>
        <v>0</v>
      </c>
      <c r="I212" s="126">
        <f t="shared" si="56"/>
        <v>0</v>
      </c>
      <c r="J212" s="126">
        <f t="shared" si="56"/>
        <v>0</v>
      </c>
      <c r="K212" s="126">
        <f t="shared" si="56"/>
        <v>0</v>
      </c>
      <c r="L212" s="127">
        <f t="shared" si="56"/>
        <v>0</v>
      </c>
    </row>
    <row r="213" spans="3:12" ht="15.6" hidden="1">
      <c r="C213" s="39" t="str">
        <f t="shared" si="53"/>
        <v>H</v>
      </c>
      <c r="D213" s="45">
        <f>Parameter!C$42</f>
        <v>0</v>
      </c>
      <c r="E213" s="125">
        <f t="shared" si="56"/>
        <v>0</v>
      </c>
      <c r="F213" s="126">
        <f t="shared" si="56"/>
        <v>0</v>
      </c>
      <c r="G213" s="126">
        <f t="shared" si="56"/>
        <v>0</v>
      </c>
      <c r="H213" s="126">
        <f t="shared" si="56"/>
        <v>0</v>
      </c>
      <c r="I213" s="126">
        <f t="shared" si="56"/>
        <v>0</v>
      </c>
      <c r="J213" s="126">
        <f t="shared" si="56"/>
        <v>0</v>
      </c>
      <c r="K213" s="126">
        <f t="shared" si="56"/>
        <v>0</v>
      </c>
      <c r="L213" s="127">
        <f t="shared" si="56"/>
        <v>0</v>
      </c>
    </row>
    <row r="214" spans="3:12" ht="15.6" hidden="1">
      <c r="C214" s="39" t="str">
        <f t="shared" si="53"/>
        <v>H</v>
      </c>
      <c r="D214" s="45">
        <f>Parameter!C$43</f>
        <v>0</v>
      </c>
      <c r="E214" s="125">
        <f t="shared" si="56"/>
        <v>0</v>
      </c>
      <c r="F214" s="126">
        <f t="shared" si="56"/>
        <v>0</v>
      </c>
      <c r="G214" s="126">
        <f t="shared" si="56"/>
        <v>0</v>
      </c>
      <c r="H214" s="126">
        <f t="shared" si="56"/>
        <v>0</v>
      </c>
      <c r="I214" s="126">
        <f t="shared" si="56"/>
        <v>0</v>
      </c>
      <c r="J214" s="126">
        <f t="shared" si="56"/>
        <v>0</v>
      </c>
      <c r="K214" s="126">
        <f t="shared" si="56"/>
        <v>0</v>
      </c>
      <c r="L214" s="127">
        <f t="shared" si="56"/>
        <v>0</v>
      </c>
    </row>
    <row r="215" spans="3:12" ht="15.6" hidden="1">
      <c r="C215" s="39" t="str">
        <f t="shared" si="53"/>
        <v>H</v>
      </c>
      <c r="D215" s="45">
        <f>Parameter!C$44</f>
        <v>0</v>
      </c>
      <c r="E215" s="125">
        <f t="shared" si="56"/>
        <v>0</v>
      </c>
      <c r="F215" s="126">
        <f t="shared" si="56"/>
        <v>0</v>
      </c>
      <c r="G215" s="126">
        <f t="shared" si="56"/>
        <v>0</v>
      </c>
      <c r="H215" s="126">
        <f t="shared" si="56"/>
        <v>0</v>
      </c>
      <c r="I215" s="126">
        <f t="shared" si="56"/>
        <v>0</v>
      </c>
      <c r="J215" s="126">
        <f t="shared" si="56"/>
        <v>0</v>
      </c>
      <c r="K215" s="126">
        <f t="shared" si="56"/>
        <v>0</v>
      </c>
      <c r="L215" s="127">
        <f t="shared" si="56"/>
        <v>0</v>
      </c>
    </row>
    <row r="216" spans="3:12" ht="15.6" hidden="1">
      <c r="C216" s="39" t="str">
        <f t="shared" si="53"/>
        <v>H</v>
      </c>
      <c r="D216" s="45">
        <f>Parameter!C$45</f>
        <v>0</v>
      </c>
      <c r="E216" s="125">
        <f t="shared" si="56"/>
        <v>0</v>
      </c>
      <c r="F216" s="126">
        <f t="shared" si="56"/>
        <v>0</v>
      </c>
      <c r="G216" s="126">
        <f t="shared" si="56"/>
        <v>0</v>
      </c>
      <c r="H216" s="126">
        <f t="shared" si="56"/>
        <v>0</v>
      </c>
      <c r="I216" s="126">
        <f t="shared" si="56"/>
        <v>0</v>
      </c>
      <c r="J216" s="126">
        <f t="shared" si="56"/>
        <v>0</v>
      </c>
      <c r="K216" s="126">
        <f t="shared" si="56"/>
        <v>0</v>
      </c>
      <c r="L216" s="127">
        <f t="shared" si="56"/>
        <v>0</v>
      </c>
    </row>
    <row r="217" spans="3:12" ht="15.6" hidden="1">
      <c r="C217" s="39" t="str">
        <f t="shared" si="53"/>
        <v>H</v>
      </c>
      <c r="D217" s="45">
        <f>Parameter!C$46</f>
        <v>0</v>
      </c>
      <c r="E217" s="125">
        <f t="shared" si="56"/>
        <v>0</v>
      </c>
      <c r="F217" s="126">
        <f t="shared" si="56"/>
        <v>0</v>
      </c>
      <c r="G217" s="126">
        <f t="shared" si="56"/>
        <v>0</v>
      </c>
      <c r="H217" s="126">
        <f t="shared" si="56"/>
        <v>0</v>
      </c>
      <c r="I217" s="126">
        <f t="shared" si="56"/>
        <v>0</v>
      </c>
      <c r="J217" s="126">
        <f t="shared" si="56"/>
        <v>0</v>
      </c>
      <c r="K217" s="126">
        <f t="shared" si="56"/>
        <v>0</v>
      </c>
      <c r="L217" s="127">
        <f t="shared" si="56"/>
        <v>0</v>
      </c>
    </row>
    <row r="218" spans="3:12" ht="15.6" hidden="1">
      <c r="C218" s="39" t="str">
        <f t="shared" si="53"/>
        <v>H</v>
      </c>
      <c r="D218" s="45">
        <f>Parameter!C$47</f>
        <v>0</v>
      </c>
      <c r="E218" s="125">
        <f t="shared" si="56"/>
        <v>0</v>
      </c>
      <c r="F218" s="126">
        <f t="shared" si="56"/>
        <v>0</v>
      </c>
      <c r="G218" s="126">
        <f t="shared" si="56"/>
        <v>0</v>
      </c>
      <c r="H218" s="126">
        <f t="shared" si="56"/>
        <v>0</v>
      </c>
      <c r="I218" s="126">
        <f t="shared" si="56"/>
        <v>0</v>
      </c>
      <c r="J218" s="126">
        <f t="shared" si="56"/>
        <v>0</v>
      </c>
      <c r="K218" s="126">
        <f t="shared" si="56"/>
        <v>0</v>
      </c>
      <c r="L218" s="127">
        <f t="shared" si="56"/>
        <v>0</v>
      </c>
    </row>
    <row r="219" spans="3:12" ht="15.6" hidden="1">
      <c r="C219" s="39" t="str">
        <f t="shared" si="53"/>
        <v>H</v>
      </c>
      <c r="D219" s="45">
        <f>Parameter!C$48</f>
        <v>0</v>
      </c>
      <c r="E219" s="125">
        <f t="shared" ref="E219:L228" si="57">SUMIF(ARVR_Y_PC_PR, "VR_"&amp;E$178&amp;"_"&amp;$D$177&amp;"_"&amp;$D219, PanelQ)</f>
        <v>0</v>
      </c>
      <c r="F219" s="126">
        <f t="shared" si="57"/>
        <v>0</v>
      </c>
      <c r="G219" s="126">
        <f t="shared" si="57"/>
        <v>0</v>
      </c>
      <c r="H219" s="126">
        <f t="shared" si="57"/>
        <v>0</v>
      </c>
      <c r="I219" s="126">
        <f t="shared" si="57"/>
        <v>0</v>
      </c>
      <c r="J219" s="126">
        <f t="shared" si="57"/>
        <v>0</v>
      </c>
      <c r="K219" s="126">
        <f t="shared" si="57"/>
        <v>0</v>
      </c>
      <c r="L219" s="127">
        <f t="shared" si="57"/>
        <v>0</v>
      </c>
    </row>
    <row r="220" spans="3:12" ht="15.6" hidden="1">
      <c r="C220" s="39" t="str">
        <f t="shared" si="53"/>
        <v>H</v>
      </c>
      <c r="D220" s="45">
        <f>Parameter!C$49</f>
        <v>0</v>
      </c>
      <c r="E220" s="125">
        <f t="shared" si="57"/>
        <v>0</v>
      </c>
      <c r="F220" s="126">
        <f t="shared" si="57"/>
        <v>0</v>
      </c>
      <c r="G220" s="126">
        <f t="shared" si="57"/>
        <v>0</v>
      </c>
      <c r="H220" s="126">
        <f t="shared" si="57"/>
        <v>0</v>
      </c>
      <c r="I220" s="126">
        <f t="shared" si="57"/>
        <v>0</v>
      </c>
      <c r="J220" s="126">
        <f t="shared" si="57"/>
        <v>0</v>
      </c>
      <c r="K220" s="126">
        <f t="shared" si="57"/>
        <v>0</v>
      </c>
      <c r="L220" s="127">
        <f t="shared" si="57"/>
        <v>0</v>
      </c>
    </row>
    <row r="221" spans="3:12" ht="15.6" hidden="1">
      <c r="C221" s="39" t="str">
        <f t="shared" si="53"/>
        <v>H</v>
      </c>
      <c r="D221" s="45">
        <f>Parameter!C$50</f>
        <v>0</v>
      </c>
      <c r="E221" s="125">
        <f t="shared" si="57"/>
        <v>0</v>
      </c>
      <c r="F221" s="126">
        <f t="shared" si="57"/>
        <v>0</v>
      </c>
      <c r="G221" s="126">
        <f t="shared" si="57"/>
        <v>0</v>
      </c>
      <c r="H221" s="126">
        <f t="shared" si="57"/>
        <v>0</v>
      </c>
      <c r="I221" s="126">
        <f t="shared" si="57"/>
        <v>0</v>
      </c>
      <c r="J221" s="126">
        <f t="shared" si="57"/>
        <v>0</v>
      </c>
      <c r="K221" s="126">
        <f t="shared" si="57"/>
        <v>0</v>
      </c>
      <c r="L221" s="127">
        <f t="shared" si="57"/>
        <v>0</v>
      </c>
    </row>
    <row r="222" spans="3:12" ht="15.6" hidden="1">
      <c r="C222" s="39" t="str">
        <f t="shared" si="53"/>
        <v>H</v>
      </c>
      <c r="D222" s="45">
        <f>Parameter!C$51</f>
        <v>0</v>
      </c>
      <c r="E222" s="125">
        <f t="shared" si="57"/>
        <v>0</v>
      </c>
      <c r="F222" s="126">
        <f t="shared" si="57"/>
        <v>0</v>
      </c>
      <c r="G222" s="126">
        <f t="shared" si="57"/>
        <v>0</v>
      </c>
      <c r="H222" s="126">
        <f t="shared" si="57"/>
        <v>0</v>
      </c>
      <c r="I222" s="126">
        <f t="shared" si="57"/>
        <v>0</v>
      </c>
      <c r="J222" s="126">
        <f t="shared" si="57"/>
        <v>0</v>
      </c>
      <c r="K222" s="126">
        <f t="shared" si="57"/>
        <v>0</v>
      </c>
      <c r="L222" s="127">
        <f t="shared" si="57"/>
        <v>0</v>
      </c>
    </row>
    <row r="223" spans="3:12" ht="15.6" hidden="1">
      <c r="C223" s="39" t="str">
        <f t="shared" si="53"/>
        <v>H</v>
      </c>
      <c r="D223" s="45">
        <f>Parameter!C$52</f>
        <v>0</v>
      </c>
      <c r="E223" s="125">
        <f t="shared" si="57"/>
        <v>0</v>
      </c>
      <c r="F223" s="126">
        <f t="shared" si="57"/>
        <v>0</v>
      </c>
      <c r="G223" s="126">
        <f t="shared" si="57"/>
        <v>0</v>
      </c>
      <c r="H223" s="126">
        <f t="shared" si="57"/>
        <v>0</v>
      </c>
      <c r="I223" s="126">
        <f t="shared" si="57"/>
        <v>0</v>
      </c>
      <c r="J223" s="126">
        <f t="shared" si="57"/>
        <v>0</v>
      </c>
      <c r="K223" s="126">
        <f t="shared" si="57"/>
        <v>0</v>
      </c>
      <c r="L223" s="127">
        <f t="shared" si="57"/>
        <v>0</v>
      </c>
    </row>
    <row r="224" spans="3:12" ht="15.6" hidden="1">
      <c r="C224" s="39" t="str">
        <f t="shared" si="53"/>
        <v>H</v>
      </c>
      <c r="D224" s="45">
        <f>Parameter!C$53</f>
        <v>0</v>
      </c>
      <c r="E224" s="125">
        <f t="shared" si="57"/>
        <v>0</v>
      </c>
      <c r="F224" s="126">
        <f t="shared" si="57"/>
        <v>0</v>
      </c>
      <c r="G224" s="126">
        <f t="shared" si="57"/>
        <v>0</v>
      </c>
      <c r="H224" s="126">
        <f t="shared" si="57"/>
        <v>0</v>
      </c>
      <c r="I224" s="126">
        <f t="shared" si="57"/>
        <v>0</v>
      </c>
      <c r="J224" s="126">
        <f t="shared" si="57"/>
        <v>0</v>
      </c>
      <c r="K224" s="126">
        <f t="shared" si="57"/>
        <v>0</v>
      </c>
      <c r="L224" s="127">
        <f t="shared" si="57"/>
        <v>0</v>
      </c>
    </row>
    <row r="225" spans="3:12" ht="15.6" hidden="1">
      <c r="C225" s="39" t="str">
        <f t="shared" si="53"/>
        <v>H</v>
      </c>
      <c r="D225" s="45">
        <f>Parameter!C$54</f>
        <v>0</v>
      </c>
      <c r="E225" s="125">
        <f t="shared" si="57"/>
        <v>0</v>
      </c>
      <c r="F225" s="126">
        <f t="shared" si="57"/>
        <v>0</v>
      </c>
      <c r="G225" s="126">
        <f t="shared" si="57"/>
        <v>0</v>
      </c>
      <c r="H225" s="126">
        <f t="shared" si="57"/>
        <v>0</v>
      </c>
      <c r="I225" s="126">
        <f t="shared" si="57"/>
        <v>0</v>
      </c>
      <c r="J225" s="126">
        <f t="shared" si="57"/>
        <v>0</v>
      </c>
      <c r="K225" s="126">
        <f t="shared" si="57"/>
        <v>0</v>
      </c>
      <c r="L225" s="127">
        <f t="shared" si="57"/>
        <v>0</v>
      </c>
    </row>
    <row r="226" spans="3:12" ht="15.6" hidden="1">
      <c r="C226" s="39" t="str">
        <f t="shared" si="53"/>
        <v>H</v>
      </c>
      <c r="D226" s="45">
        <f>Parameter!C$55</f>
        <v>0</v>
      </c>
      <c r="E226" s="125">
        <f t="shared" si="57"/>
        <v>0</v>
      </c>
      <c r="F226" s="126">
        <f t="shared" si="57"/>
        <v>0</v>
      </c>
      <c r="G226" s="126">
        <f t="shared" si="57"/>
        <v>0</v>
      </c>
      <c r="H226" s="126">
        <f t="shared" si="57"/>
        <v>0</v>
      </c>
      <c r="I226" s="126">
        <f t="shared" si="57"/>
        <v>0</v>
      </c>
      <c r="J226" s="126">
        <f t="shared" si="57"/>
        <v>0</v>
      </c>
      <c r="K226" s="126">
        <f t="shared" si="57"/>
        <v>0</v>
      </c>
      <c r="L226" s="127">
        <f t="shared" si="57"/>
        <v>0</v>
      </c>
    </row>
    <row r="227" spans="3:12" ht="15.6" hidden="1">
      <c r="C227" s="39" t="str">
        <f t="shared" si="53"/>
        <v>H</v>
      </c>
      <c r="D227" s="45">
        <f>Parameter!C$56</f>
        <v>0</v>
      </c>
      <c r="E227" s="125">
        <f t="shared" si="57"/>
        <v>0</v>
      </c>
      <c r="F227" s="126">
        <f t="shared" si="57"/>
        <v>0</v>
      </c>
      <c r="G227" s="126">
        <f t="shared" si="57"/>
        <v>0</v>
      </c>
      <c r="H227" s="126">
        <f t="shared" si="57"/>
        <v>0</v>
      </c>
      <c r="I227" s="126">
        <f t="shared" si="57"/>
        <v>0</v>
      </c>
      <c r="J227" s="126">
        <f t="shared" si="57"/>
        <v>0</v>
      </c>
      <c r="K227" s="126">
        <f t="shared" si="57"/>
        <v>0</v>
      </c>
      <c r="L227" s="127">
        <f t="shared" si="57"/>
        <v>0</v>
      </c>
    </row>
    <row r="228" spans="3:12" ht="16.2" hidden="1" thickBot="1">
      <c r="C228" s="39" t="str">
        <f t="shared" si="53"/>
        <v>H</v>
      </c>
      <c r="D228" s="53" t="str">
        <f>Parameter!C$57</f>
        <v>ALL</v>
      </c>
      <c r="E228" s="128">
        <f t="shared" si="57"/>
        <v>0</v>
      </c>
      <c r="F228" s="129">
        <f t="shared" si="57"/>
        <v>0</v>
      </c>
      <c r="G228" s="129">
        <f t="shared" si="57"/>
        <v>0</v>
      </c>
      <c r="H228" s="129">
        <f t="shared" si="57"/>
        <v>0</v>
      </c>
      <c r="I228" s="129">
        <f t="shared" si="57"/>
        <v>0</v>
      </c>
      <c r="J228" s="129">
        <f t="shared" si="57"/>
        <v>0</v>
      </c>
      <c r="K228" s="129">
        <f t="shared" si="57"/>
        <v>0</v>
      </c>
      <c r="L228" s="130">
        <f t="shared" si="57"/>
        <v>0</v>
      </c>
    </row>
    <row r="229" spans="3:12" ht="15.6">
      <c r="C229" s="39" t="str">
        <f t="shared" si="53"/>
        <v/>
      </c>
      <c r="D229" s="54" t="s">
        <v>87</v>
      </c>
      <c r="E229" s="131">
        <f>SUM(E179:E228)</f>
        <v>0.71060000000000001</v>
      </c>
      <c r="F229" s="132">
        <f t="shared" ref="F229" si="58">SUM(F179:F228)</f>
        <v>6.9785099999999991</v>
      </c>
      <c r="G229" s="132">
        <f t="shared" ref="G229" si="59">SUM(G179:G228)</f>
        <v>3.8025900000000004</v>
      </c>
      <c r="H229" s="132">
        <f t="shared" ref="H229" si="60">SUM(H179:H228)</f>
        <v>3.1244999999999998</v>
      </c>
      <c r="I229" s="132">
        <f t="shared" ref="I229" si="61">SUM(I179:I228)</f>
        <v>6.3360000000000003</v>
      </c>
      <c r="J229" s="132">
        <f t="shared" ref="J229" si="62">SUM(J179:J228)</f>
        <v>9.8999999999999986</v>
      </c>
      <c r="K229" s="132">
        <f t="shared" ref="K229" si="63">SUM(K179:K228)</f>
        <v>8.8000000000000007</v>
      </c>
      <c r="L229" s="133">
        <f t="shared" ref="L229" si="64">SUM(L179:L228)</f>
        <v>9.68</v>
      </c>
    </row>
    <row r="230" spans="3:12" ht="16.2" thickBot="1">
      <c r="C230" s="39" t="str">
        <f t="shared" si="53"/>
        <v/>
      </c>
      <c r="D230" s="46" t="s">
        <v>88</v>
      </c>
      <c r="E230" s="47"/>
      <c r="F230" s="50">
        <f t="shared" ref="F230" si="65">IF(E229*F229=0, "", F229/E229-1)</f>
        <v>8.8205882352941156</v>
      </c>
      <c r="G230" s="50">
        <f t="shared" ref="G230" si="66">IF(F229*G229=0, "", G229/F229-1)</f>
        <v>-0.45510001418640933</v>
      </c>
      <c r="H230" s="50">
        <f>IF(G229*H229=0, "", H229/G229-1)</f>
        <v>-0.17832319550622089</v>
      </c>
      <c r="I230" s="50">
        <f t="shared" ref="I230" si="67">IF(H229*I229=0, "", I229/H229-1)</f>
        <v>1.0278444551128181</v>
      </c>
      <c r="J230" s="50">
        <f t="shared" ref="J230" si="68">IF(I229*J229=0, "", J229/I229-1)</f>
        <v>0.56249999999999978</v>
      </c>
      <c r="K230" s="50">
        <f t="shared" ref="K230" si="69">IF(J229*K229=0, "", K229/J229-1)</f>
        <v>-0.11111111111111094</v>
      </c>
      <c r="L230" s="51">
        <f t="shared" ref="L230" si="70">IF(K229*L229=0, "", L229/K229-1)</f>
        <v>9.9999999999999867E-2</v>
      </c>
    </row>
    <row r="231" spans="3:12">
      <c r="C231"/>
    </row>
    <row r="232" spans="3:12" ht="14.4" thickBot="1">
      <c r="C232"/>
    </row>
    <row r="233" spans="3:12" ht="15" thickBot="1">
      <c r="C233" s="57" t="str">
        <f>IF(SUM(E285:L285)=0, "H", "")</f>
        <v/>
      </c>
      <c r="D233" s="52" t="str">
        <f>Parameter!G12</f>
        <v>2x SiOLED</v>
      </c>
    </row>
    <row r="234" spans="3:12" ht="16.2" thickBot="1">
      <c r="C234" s="57" t="str">
        <f>IF(SUM(E285:L285)=0, "H", "")</f>
        <v/>
      </c>
      <c r="D234" s="40" t="s">
        <v>85</v>
      </c>
      <c r="E234" s="41" t="str">
        <f t="shared" ref="E234:L234" si="71">E10</f>
        <v>2022</v>
      </c>
      <c r="F234" s="42" t="str">
        <f t="shared" si="71"/>
        <v>2023</v>
      </c>
      <c r="G234" s="42" t="str">
        <f t="shared" si="71"/>
        <v>2024</v>
      </c>
      <c r="H234" s="42">
        <f t="shared" si="71"/>
        <v>2025</v>
      </c>
      <c r="I234" s="42" t="str">
        <f t="shared" si="71"/>
        <v>2026</v>
      </c>
      <c r="J234" s="42" t="str">
        <f t="shared" si="71"/>
        <v>2027</v>
      </c>
      <c r="K234" s="42" t="str">
        <f t="shared" si="71"/>
        <v>2028</v>
      </c>
      <c r="L234" s="43" t="str">
        <f t="shared" si="71"/>
        <v>2029</v>
      </c>
    </row>
    <row r="235" spans="3:12" ht="15.6">
      <c r="C235" s="39" t="str">
        <f>IF(SUM(E235:L235)=0, "H", "")</f>
        <v/>
      </c>
      <c r="D235" s="44" t="str">
        <f>Parameter!C$8</f>
        <v>5K VR</v>
      </c>
      <c r="E235" s="125">
        <f t="shared" ref="E235:L244" si="72">SUMIF(ARVR_Y_PC_PR, "VR_"&amp;E$234&amp;"_"&amp;$D$233&amp;"_"&amp;$D235, PanelQ)</f>
        <v>2.2000000000000001E-3</v>
      </c>
      <c r="F235" s="126">
        <f t="shared" si="72"/>
        <v>0</v>
      </c>
      <c r="G235" s="126">
        <f t="shared" si="72"/>
        <v>0</v>
      </c>
      <c r="H235" s="126">
        <f t="shared" si="72"/>
        <v>0</v>
      </c>
      <c r="I235" s="126">
        <f t="shared" si="72"/>
        <v>0</v>
      </c>
      <c r="J235" s="126">
        <f t="shared" si="72"/>
        <v>0</v>
      </c>
      <c r="K235" s="126">
        <f t="shared" si="72"/>
        <v>0</v>
      </c>
      <c r="L235" s="127">
        <f t="shared" si="72"/>
        <v>0</v>
      </c>
    </row>
    <row r="236" spans="3:12" ht="15.6" hidden="1">
      <c r="C236" s="39" t="str">
        <f t="shared" ref="C236:C288" si="73">IF(SUM(E236:L236)=0, "H", "")</f>
        <v>H</v>
      </c>
      <c r="D236" s="44" t="str">
        <f>Parameter!C$9</f>
        <v>Aero</v>
      </c>
      <c r="E236" s="125">
        <f t="shared" si="72"/>
        <v>0</v>
      </c>
      <c r="F236" s="126">
        <f t="shared" si="72"/>
        <v>0</v>
      </c>
      <c r="G236" s="126">
        <f t="shared" si="72"/>
        <v>0</v>
      </c>
      <c r="H236" s="126">
        <f t="shared" si="72"/>
        <v>0</v>
      </c>
      <c r="I236" s="126">
        <f t="shared" si="72"/>
        <v>0</v>
      </c>
      <c r="J236" s="126">
        <f t="shared" si="72"/>
        <v>0</v>
      </c>
      <c r="K236" s="126">
        <f t="shared" si="72"/>
        <v>0</v>
      </c>
      <c r="L236" s="127">
        <f t="shared" si="72"/>
        <v>0</v>
      </c>
    </row>
    <row r="237" spans="3:12" ht="15.6">
      <c r="C237" s="39" t="str">
        <f t="shared" si="73"/>
        <v/>
      </c>
      <c r="D237" s="45" t="str">
        <f>Parameter!C$10</f>
        <v>Beyond</v>
      </c>
      <c r="E237" s="125">
        <f t="shared" si="72"/>
        <v>0</v>
      </c>
      <c r="F237" s="126">
        <f t="shared" si="72"/>
        <v>3.9600000000000003E-2</v>
      </c>
      <c r="G237" s="126">
        <f t="shared" si="72"/>
        <v>0.13040000000000002</v>
      </c>
      <c r="H237" s="126">
        <f t="shared" si="72"/>
        <v>0.05</v>
      </c>
      <c r="I237" s="126">
        <f t="shared" si="72"/>
        <v>0</v>
      </c>
      <c r="J237" s="126">
        <f t="shared" si="72"/>
        <v>0</v>
      </c>
      <c r="K237" s="126">
        <f t="shared" si="72"/>
        <v>0</v>
      </c>
      <c r="L237" s="127">
        <f t="shared" si="72"/>
        <v>0</v>
      </c>
    </row>
    <row r="238" spans="3:12" ht="15.6">
      <c r="C238" s="39" t="str">
        <f t="shared" si="73"/>
        <v/>
      </c>
      <c r="D238" s="45" t="str">
        <f>Parameter!C$11</f>
        <v>Bionic models</v>
      </c>
      <c r="E238" s="125">
        <f t="shared" si="72"/>
        <v>0</v>
      </c>
      <c r="F238" s="126">
        <f t="shared" si="72"/>
        <v>1.9833E-2</v>
      </c>
      <c r="G238" s="126">
        <f t="shared" si="72"/>
        <v>5.8560000000000001E-3</v>
      </c>
      <c r="H238" s="126">
        <f t="shared" si="72"/>
        <v>0</v>
      </c>
      <c r="I238" s="126">
        <f t="shared" si="72"/>
        <v>0</v>
      </c>
      <c r="J238" s="126">
        <f t="shared" si="72"/>
        <v>0</v>
      </c>
      <c r="K238" s="126">
        <f t="shared" si="72"/>
        <v>0</v>
      </c>
      <c r="L238" s="127">
        <f t="shared" si="72"/>
        <v>0</v>
      </c>
    </row>
    <row r="239" spans="3:12" ht="15.6" hidden="1">
      <c r="C239" s="39" t="str">
        <f t="shared" si="73"/>
        <v>H</v>
      </c>
      <c r="D239" s="45" t="str">
        <f>Parameter!C$12</f>
        <v>Dual LCD VR headset</v>
      </c>
      <c r="E239" s="125">
        <f t="shared" si="72"/>
        <v>0</v>
      </c>
      <c r="F239" s="126">
        <f t="shared" si="72"/>
        <v>0</v>
      </c>
      <c r="G239" s="126">
        <f t="shared" si="72"/>
        <v>0</v>
      </c>
      <c r="H239" s="126">
        <f t="shared" si="72"/>
        <v>0</v>
      </c>
      <c r="I239" s="126">
        <f t="shared" si="72"/>
        <v>0</v>
      </c>
      <c r="J239" s="126">
        <f t="shared" si="72"/>
        <v>0</v>
      </c>
      <c r="K239" s="126">
        <f t="shared" si="72"/>
        <v>0</v>
      </c>
      <c r="L239" s="127">
        <f t="shared" si="72"/>
        <v>0</v>
      </c>
    </row>
    <row r="240" spans="3:12" ht="15.6">
      <c r="C240" s="39" t="str">
        <f t="shared" si="73"/>
        <v/>
      </c>
      <c r="D240" s="45" t="str">
        <f>Parameter!C$13</f>
        <v>Dual SiOLED headset</v>
      </c>
      <c r="E240" s="125">
        <f t="shared" si="72"/>
        <v>0</v>
      </c>
      <c r="F240" s="126">
        <f t="shared" si="72"/>
        <v>0</v>
      </c>
      <c r="G240" s="126">
        <f t="shared" si="72"/>
        <v>0</v>
      </c>
      <c r="H240" s="126">
        <f t="shared" si="72"/>
        <v>0.13</v>
      </c>
      <c r="I240" s="126">
        <f t="shared" si="72"/>
        <v>1.0780000000000001</v>
      </c>
      <c r="J240" s="126">
        <f t="shared" si="72"/>
        <v>5.1479999999999997</v>
      </c>
      <c r="K240" s="126">
        <f t="shared" si="72"/>
        <v>5.9399999999999995</v>
      </c>
      <c r="L240" s="127">
        <f t="shared" si="72"/>
        <v>9.4599999999999991</v>
      </c>
    </row>
    <row r="241" spans="3:12" ht="15.6" hidden="1">
      <c r="C241" s="39" t="str">
        <f t="shared" si="73"/>
        <v>H</v>
      </c>
      <c r="D241" s="45" t="str">
        <f>Parameter!C$14</f>
        <v>Index</v>
      </c>
      <c r="E241" s="125">
        <f t="shared" si="72"/>
        <v>0</v>
      </c>
      <c r="F241" s="126">
        <f t="shared" si="72"/>
        <v>0</v>
      </c>
      <c r="G241" s="126">
        <f t="shared" si="72"/>
        <v>0</v>
      </c>
      <c r="H241" s="126">
        <f t="shared" si="72"/>
        <v>0</v>
      </c>
      <c r="I241" s="126">
        <f t="shared" si="72"/>
        <v>0</v>
      </c>
      <c r="J241" s="126">
        <f t="shared" si="72"/>
        <v>0</v>
      </c>
      <c r="K241" s="126">
        <f t="shared" si="72"/>
        <v>0</v>
      </c>
      <c r="L241" s="127">
        <f t="shared" si="72"/>
        <v>0</v>
      </c>
    </row>
    <row r="242" spans="3:12" ht="15.6">
      <c r="C242" s="39" t="str">
        <f t="shared" si="73"/>
        <v/>
      </c>
      <c r="D242" s="45" t="str">
        <f>Parameter!C$15</f>
        <v>MeganeX</v>
      </c>
      <c r="E242" s="125">
        <f t="shared" si="72"/>
        <v>2.2000000000000001E-3</v>
      </c>
      <c r="F242" s="126">
        <f t="shared" si="72"/>
        <v>6.6E-3</v>
      </c>
      <c r="G242" s="126">
        <f t="shared" si="72"/>
        <v>0</v>
      </c>
      <c r="H242" s="126">
        <f t="shared" si="72"/>
        <v>0</v>
      </c>
      <c r="I242" s="126">
        <f t="shared" si="72"/>
        <v>0</v>
      </c>
      <c r="J242" s="126">
        <f t="shared" si="72"/>
        <v>0</v>
      </c>
      <c r="K242" s="126">
        <f t="shared" si="72"/>
        <v>0</v>
      </c>
      <c r="L242" s="127">
        <f t="shared" si="72"/>
        <v>0</v>
      </c>
    </row>
    <row r="243" spans="3:12" ht="15.6">
      <c r="C243" s="39" t="str">
        <f t="shared" si="73"/>
        <v/>
      </c>
      <c r="D243" s="45" t="str">
        <f>Parameter!C$16</f>
        <v>MeganeX Superlight 8K</v>
      </c>
      <c r="E243" s="125">
        <f t="shared" si="72"/>
        <v>0</v>
      </c>
      <c r="F243" s="126">
        <f t="shared" si="72"/>
        <v>0</v>
      </c>
      <c r="G243" s="126">
        <f t="shared" si="72"/>
        <v>1E-4</v>
      </c>
      <c r="H243" s="126">
        <f t="shared" si="72"/>
        <v>5.0000000000000001E-4</v>
      </c>
      <c r="I243" s="126">
        <f t="shared" si="72"/>
        <v>0</v>
      </c>
      <c r="J243" s="126">
        <f t="shared" si="72"/>
        <v>0</v>
      </c>
      <c r="K243" s="126">
        <f t="shared" si="72"/>
        <v>0</v>
      </c>
      <c r="L243" s="127">
        <f t="shared" si="72"/>
        <v>0</v>
      </c>
    </row>
    <row r="244" spans="3:12" ht="15.6" hidden="1">
      <c r="C244" s="39" t="str">
        <f t="shared" si="73"/>
        <v>H</v>
      </c>
      <c r="D244" s="45" t="str">
        <f>Parameter!C$17</f>
        <v>Neo 3 / G3</v>
      </c>
      <c r="E244" s="125">
        <f t="shared" si="72"/>
        <v>0</v>
      </c>
      <c r="F244" s="126">
        <f t="shared" si="72"/>
        <v>0</v>
      </c>
      <c r="G244" s="126">
        <f t="shared" si="72"/>
        <v>0</v>
      </c>
      <c r="H244" s="126">
        <f t="shared" si="72"/>
        <v>0</v>
      </c>
      <c r="I244" s="126">
        <f t="shared" si="72"/>
        <v>0</v>
      </c>
      <c r="J244" s="126">
        <f t="shared" si="72"/>
        <v>0</v>
      </c>
      <c r="K244" s="126">
        <f t="shared" si="72"/>
        <v>0</v>
      </c>
      <c r="L244" s="127">
        <f t="shared" si="72"/>
        <v>0</v>
      </c>
    </row>
    <row r="245" spans="3:12" ht="15.6" hidden="1">
      <c r="C245" s="39" t="str">
        <f t="shared" si="73"/>
        <v>H</v>
      </c>
      <c r="D245" s="45" t="str">
        <f>Parameter!C$18</f>
        <v>OLED VR headset</v>
      </c>
      <c r="E245" s="125">
        <f t="shared" ref="E245:L254" si="74">SUMIF(ARVR_Y_PC_PR, "VR_"&amp;E$234&amp;"_"&amp;$D$233&amp;"_"&amp;$D245, PanelQ)</f>
        <v>0</v>
      </c>
      <c r="F245" s="126">
        <f t="shared" si="74"/>
        <v>0</v>
      </c>
      <c r="G245" s="126">
        <f t="shared" si="74"/>
        <v>0</v>
      </c>
      <c r="H245" s="126">
        <f t="shared" si="74"/>
        <v>0</v>
      </c>
      <c r="I245" s="126">
        <f t="shared" si="74"/>
        <v>0</v>
      </c>
      <c r="J245" s="126">
        <f t="shared" si="74"/>
        <v>0</v>
      </c>
      <c r="K245" s="126">
        <f t="shared" si="74"/>
        <v>0</v>
      </c>
      <c r="L245" s="127">
        <f t="shared" si="74"/>
        <v>0</v>
      </c>
    </row>
    <row r="246" spans="3:12" ht="15.6" hidden="1">
      <c r="C246" s="39" t="str">
        <f t="shared" si="73"/>
        <v>H</v>
      </c>
      <c r="D246" s="45" t="str">
        <f>Parameter!C$19</f>
        <v>P1 family</v>
      </c>
      <c r="E246" s="125">
        <f t="shared" si="74"/>
        <v>0</v>
      </c>
      <c r="F246" s="126">
        <f t="shared" si="74"/>
        <v>0</v>
      </c>
      <c r="G246" s="126">
        <f t="shared" si="74"/>
        <v>0</v>
      </c>
      <c r="H246" s="126">
        <f t="shared" si="74"/>
        <v>0</v>
      </c>
      <c r="I246" s="126">
        <f t="shared" si="74"/>
        <v>0</v>
      </c>
      <c r="J246" s="126">
        <f t="shared" si="74"/>
        <v>0</v>
      </c>
      <c r="K246" s="126">
        <f t="shared" si="74"/>
        <v>0</v>
      </c>
      <c r="L246" s="127">
        <f t="shared" si="74"/>
        <v>0</v>
      </c>
    </row>
    <row r="247" spans="3:12" ht="15.6" hidden="1">
      <c r="C247" s="39" t="str">
        <f t="shared" si="73"/>
        <v>H</v>
      </c>
      <c r="D247" s="45" t="str">
        <f>Parameter!C$20</f>
        <v>Pico 4</v>
      </c>
      <c r="E247" s="125">
        <f t="shared" si="74"/>
        <v>0</v>
      </c>
      <c r="F247" s="126">
        <f t="shared" si="74"/>
        <v>0</v>
      </c>
      <c r="G247" s="126">
        <f t="shared" si="74"/>
        <v>0</v>
      </c>
      <c r="H247" s="126">
        <f t="shared" si="74"/>
        <v>0</v>
      </c>
      <c r="I247" s="126">
        <f t="shared" si="74"/>
        <v>0</v>
      </c>
      <c r="J247" s="126">
        <f t="shared" si="74"/>
        <v>0</v>
      </c>
      <c r="K247" s="126">
        <f t="shared" si="74"/>
        <v>0</v>
      </c>
      <c r="L247" s="127">
        <f t="shared" si="74"/>
        <v>0</v>
      </c>
    </row>
    <row r="248" spans="3:12" ht="15.6" hidden="1">
      <c r="C248" s="39" t="str">
        <f t="shared" si="73"/>
        <v>H</v>
      </c>
      <c r="D248" s="45" t="str">
        <f>Parameter!C$21</f>
        <v>Pimax VR</v>
      </c>
      <c r="E248" s="125">
        <f t="shared" si="74"/>
        <v>0</v>
      </c>
      <c r="F248" s="126">
        <f t="shared" si="74"/>
        <v>0</v>
      </c>
      <c r="G248" s="126">
        <f t="shared" si="74"/>
        <v>0</v>
      </c>
      <c r="H248" s="126">
        <f t="shared" si="74"/>
        <v>0</v>
      </c>
      <c r="I248" s="126">
        <f t="shared" si="74"/>
        <v>0</v>
      </c>
      <c r="J248" s="126">
        <f t="shared" si="74"/>
        <v>0</v>
      </c>
      <c r="K248" s="126">
        <f t="shared" si="74"/>
        <v>0</v>
      </c>
      <c r="L248" s="127">
        <f t="shared" si="74"/>
        <v>0</v>
      </c>
    </row>
    <row r="249" spans="3:12" ht="15.6" hidden="1">
      <c r="C249" s="39" t="str">
        <f t="shared" si="73"/>
        <v>H</v>
      </c>
      <c r="D249" s="45" t="str">
        <f>Parameter!C$22</f>
        <v>PlayStation VR</v>
      </c>
      <c r="E249" s="125">
        <f t="shared" si="74"/>
        <v>0</v>
      </c>
      <c r="F249" s="126">
        <f t="shared" si="74"/>
        <v>0</v>
      </c>
      <c r="G249" s="126">
        <f t="shared" si="74"/>
        <v>0</v>
      </c>
      <c r="H249" s="126">
        <f t="shared" si="74"/>
        <v>0</v>
      </c>
      <c r="I249" s="126">
        <f t="shared" si="74"/>
        <v>0</v>
      </c>
      <c r="J249" s="126">
        <f t="shared" si="74"/>
        <v>0</v>
      </c>
      <c r="K249" s="126">
        <f t="shared" si="74"/>
        <v>0</v>
      </c>
      <c r="L249" s="127">
        <f t="shared" si="74"/>
        <v>0</v>
      </c>
    </row>
    <row r="250" spans="3:12" ht="15.6" hidden="1">
      <c r="C250" s="39" t="str">
        <f t="shared" si="73"/>
        <v>H</v>
      </c>
      <c r="D250" s="45" t="str">
        <f>Parameter!C$23</f>
        <v>PlayStation VR2</v>
      </c>
      <c r="E250" s="125">
        <f t="shared" si="74"/>
        <v>0</v>
      </c>
      <c r="F250" s="126">
        <f t="shared" si="74"/>
        <v>0</v>
      </c>
      <c r="G250" s="126">
        <f t="shared" si="74"/>
        <v>0</v>
      </c>
      <c r="H250" s="126">
        <f t="shared" si="74"/>
        <v>0</v>
      </c>
      <c r="I250" s="126">
        <f t="shared" si="74"/>
        <v>0</v>
      </c>
      <c r="J250" s="126">
        <f t="shared" si="74"/>
        <v>0</v>
      </c>
      <c r="K250" s="126">
        <f t="shared" si="74"/>
        <v>0</v>
      </c>
      <c r="L250" s="127">
        <f t="shared" si="74"/>
        <v>0</v>
      </c>
    </row>
    <row r="251" spans="3:12" ht="15.6" hidden="1">
      <c r="C251" s="39" t="str">
        <f t="shared" si="73"/>
        <v>H</v>
      </c>
      <c r="D251" s="45" t="str">
        <f>Parameter!C$24</f>
        <v>Project Moohan</v>
      </c>
      <c r="E251" s="125">
        <f t="shared" si="74"/>
        <v>0</v>
      </c>
      <c r="F251" s="126">
        <f t="shared" si="74"/>
        <v>0</v>
      </c>
      <c r="G251" s="126">
        <f t="shared" si="74"/>
        <v>0</v>
      </c>
      <c r="H251" s="126">
        <f t="shared" si="74"/>
        <v>0</v>
      </c>
      <c r="I251" s="126">
        <f t="shared" si="74"/>
        <v>0</v>
      </c>
      <c r="J251" s="126">
        <f t="shared" si="74"/>
        <v>0</v>
      </c>
      <c r="K251" s="126">
        <f t="shared" si="74"/>
        <v>0</v>
      </c>
      <c r="L251" s="127">
        <f t="shared" si="74"/>
        <v>0</v>
      </c>
    </row>
    <row r="252" spans="3:12" ht="15.6" hidden="1">
      <c r="C252" s="39" t="str">
        <f t="shared" si="73"/>
        <v>H</v>
      </c>
      <c r="D252" s="45" t="str">
        <f>Parameter!C$25</f>
        <v>Quest</v>
      </c>
      <c r="E252" s="125">
        <f t="shared" si="74"/>
        <v>0</v>
      </c>
      <c r="F252" s="126">
        <f t="shared" si="74"/>
        <v>0</v>
      </c>
      <c r="G252" s="126">
        <f t="shared" si="74"/>
        <v>0</v>
      </c>
      <c r="H252" s="126">
        <f t="shared" si="74"/>
        <v>0</v>
      </c>
      <c r="I252" s="126">
        <f t="shared" si="74"/>
        <v>0</v>
      </c>
      <c r="J252" s="126">
        <f t="shared" si="74"/>
        <v>0</v>
      </c>
      <c r="K252" s="126">
        <f t="shared" si="74"/>
        <v>0</v>
      </c>
      <c r="L252" s="127">
        <f t="shared" si="74"/>
        <v>0</v>
      </c>
    </row>
    <row r="253" spans="3:12" ht="15.6" hidden="1">
      <c r="C253" s="39" t="str">
        <f t="shared" si="73"/>
        <v>H</v>
      </c>
      <c r="D253" s="45" t="str">
        <f>Parameter!C$26</f>
        <v>Quest 2</v>
      </c>
      <c r="E253" s="125">
        <f t="shared" si="74"/>
        <v>0</v>
      </c>
      <c r="F253" s="126">
        <f t="shared" si="74"/>
        <v>0</v>
      </c>
      <c r="G253" s="126">
        <f t="shared" si="74"/>
        <v>0</v>
      </c>
      <c r="H253" s="126">
        <f t="shared" si="74"/>
        <v>0</v>
      </c>
      <c r="I253" s="126">
        <f t="shared" si="74"/>
        <v>0</v>
      </c>
      <c r="J253" s="126">
        <f t="shared" si="74"/>
        <v>0</v>
      </c>
      <c r="K253" s="126">
        <f t="shared" si="74"/>
        <v>0</v>
      </c>
      <c r="L253" s="127">
        <f t="shared" si="74"/>
        <v>0</v>
      </c>
    </row>
    <row r="254" spans="3:12" ht="15.6" hidden="1">
      <c r="C254" s="39" t="str">
        <f t="shared" si="73"/>
        <v>H</v>
      </c>
      <c r="D254" s="45" t="str">
        <f>Parameter!C$27</f>
        <v>Quest 3</v>
      </c>
      <c r="E254" s="125">
        <f t="shared" si="74"/>
        <v>0</v>
      </c>
      <c r="F254" s="126">
        <f t="shared" si="74"/>
        <v>0</v>
      </c>
      <c r="G254" s="126">
        <f t="shared" si="74"/>
        <v>0</v>
      </c>
      <c r="H254" s="126">
        <f t="shared" si="74"/>
        <v>0</v>
      </c>
      <c r="I254" s="126">
        <f t="shared" si="74"/>
        <v>0</v>
      </c>
      <c r="J254" s="126">
        <f t="shared" si="74"/>
        <v>0</v>
      </c>
      <c r="K254" s="126">
        <f t="shared" si="74"/>
        <v>0</v>
      </c>
      <c r="L254" s="127">
        <f t="shared" si="74"/>
        <v>0</v>
      </c>
    </row>
    <row r="255" spans="3:12" ht="15.6" hidden="1">
      <c r="C255" s="39" t="str">
        <f t="shared" si="73"/>
        <v>H</v>
      </c>
      <c r="D255" s="45" t="str">
        <f>Parameter!C$28</f>
        <v>Quest 3S</v>
      </c>
      <c r="E255" s="125">
        <f t="shared" ref="E255:L264" si="75">SUMIF(ARVR_Y_PC_PR, "VR_"&amp;E$234&amp;"_"&amp;$D$233&amp;"_"&amp;$D255, PanelQ)</f>
        <v>0</v>
      </c>
      <c r="F255" s="126">
        <f t="shared" si="75"/>
        <v>0</v>
      </c>
      <c r="G255" s="126">
        <f t="shared" si="75"/>
        <v>0</v>
      </c>
      <c r="H255" s="126">
        <f t="shared" si="75"/>
        <v>0</v>
      </c>
      <c r="I255" s="126">
        <f t="shared" si="75"/>
        <v>0</v>
      </c>
      <c r="J255" s="126">
        <f t="shared" si="75"/>
        <v>0</v>
      </c>
      <c r="K255" s="126">
        <f t="shared" si="75"/>
        <v>0</v>
      </c>
      <c r="L255" s="127">
        <f t="shared" si="75"/>
        <v>0</v>
      </c>
    </row>
    <row r="256" spans="3:12" ht="15.6" hidden="1">
      <c r="C256" s="39" t="str">
        <f t="shared" si="73"/>
        <v>H</v>
      </c>
      <c r="D256" s="45" t="str">
        <f>Parameter!C$29</f>
        <v>Quest Pro</v>
      </c>
      <c r="E256" s="125">
        <f t="shared" si="75"/>
        <v>0</v>
      </c>
      <c r="F256" s="126">
        <f t="shared" si="75"/>
        <v>0</v>
      </c>
      <c r="G256" s="126">
        <f t="shared" si="75"/>
        <v>0</v>
      </c>
      <c r="H256" s="126">
        <f t="shared" si="75"/>
        <v>0</v>
      </c>
      <c r="I256" s="126">
        <f t="shared" si="75"/>
        <v>0</v>
      </c>
      <c r="J256" s="126">
        <f t="shared" si="75"/>
        <v>0</v>
      </c>
      <c r="K256" s="126">
        <f t="shared" si="75"/>
        <v>0</v>
      </c>
      <c r="L256" s="127">
        <f t="shared" si="75"/>
        <v>0</v>
      </c>
    </row>
    <row r="257" spans="3:12" ht="15.6" hidden="1">
      <c r="C257" s="39" t="str">
        <f t="shared" si="73"/>
        <v>H</v>
      </c>
      <c r="D257" s="45" t="str">
        <f>Parameter!C$30</f>
        <v>R1</v>
      </c>
      <c r="E257" s="125">
        <f t="shared" si="75"/>
        <v>0</v>
      </c>
      <c r="F257" s="126">
        <f t="shared" si="75"/>
        <v>0</v>
      </c>
      <c r="G257" s="126">
        <f t="shared" si="75"/>
        <v>0</v>
      </c>
      <c r="H257" s="126">
        <f t="shared" si="75"/>
        <v>0</v>
      </c>
      <c r="I257" s="126">
        <f t="shared" si="75"/>
        <v>0</v>
      </c>
      <c r="J257" s="126">
        <f t="shared" si="75"/>
        <v>0</v>
      </c>
      <c r="K257" s="126">
        <f t="shared" si="75"/>
        <v>0</v>
      </c>
      <c r="L257" s="127">
        <f t="shared" si="75"/>
        <v>0</v>
      </c>
    </row>
    <row r="258" spans="3:12" ht="15.6" hidden="1">
      <c r="C258" s="39" t="str">
        <f t="shared" si="73"/>
        <v>H</v>
      </c>
      <c r="D258" s="45" t="str">
        <f>Parameter!C$31</f>
        <v>Reverb</v>
      </c>
      <c r="E258" s="125">
        <f t="shared" si="75"/>
        <v>0</v>
      </c>
      <c r="F258" s="126">
        <f t="shared" si="75"/>
        <v>0</v>
      </c>
      <c r="G258" s="126">
        <f t="shared" si="75"/>
        <v>0</v>
      </c>
      <c r="H258" s="126">
        <f t="shared" si="75"/>
        <v>0</v>
      </c>
      <c r="I258" s="126">
        <f t="shared" si="75"/>
        <v>0</v>
      </c>
      <c r="J258" s="126">
        <f t="shared" si="75"/>
        <v>0</v>
      </c>
      <c r="K258" s="126">
        <f t="shared" si="75"/>
        <v>0</v>
      </c>
      <c r="L258" s="127">
        <f t="shared" si="75"/>
        <v>0</v>
      </c>
    </row>
    <row r="259" spans="3:12" ht="15.6" hidden="1">
      <c r="C259" s="39" t="str">
        <f t="shared" si="73"/>
        <v>H</v>
      </c>
      <c r="D259" s="45" t="str">
        <f>Parameter!C$32</f>
        <v>Reverb G2</v>
      </c>
      <c r="E259" s="125">
        <f t="shared" si="75"/>
        <v>0</v>
      </c>
      <c r="F259" s="126">
        <f t="shared" si="75"/>
        <v>0</v>
      </c>
      <c r="G259" s="126">
        <f t="shared" si="75"/>
        <v>0</v>
      </c>
      <c r="H259" s="126">
        <f t="shared" si="75"/>
        <v>0</v>
      </c>
      <c r="I259" s="126">
        <f t="shared" si="75"/>
        <v>0</v>
      </c>
      <c r="J259" s="126">
        <f t="shared" si="75"/>
        <v>0</v>
      </c>
      <c r="K259" s="126">
        <f t="shared" si="75"/>
        <v>0</v>
      </c>
      <c r="L259" s="127">
        <f t="shared" si="75"/>
        <v>0</v>
      </c>
    </row>
    <row r="260" spans="3:12" ht="15.6" hidden="1">
      <c r="C260" s="39" t="str">
        <f t="shared" si="73"/>
        <v>H</v>
      </c>
      <c r="D260" s="45" t="str">
        <f>Parameter!C$33</f>
        <v>Rift S</v>
      </c>
      <c r="E260" s="125">
        <f t="shared" si="75"/>
        <v>0</v>
      </c>
      <c r="F260" s="126">
        <f t="shared" si="75"/>
        <v>0</v>
      </c>
      <c r="G260" s="126">
        <f t="shared" si="75"/>
        <v>0</v>
      </c>
      <c r="H260" s="126">
        <f t="shared" si="75"/>
        <v>0</v>
      </c>
      <c r="I260" s="126">
        <f t="shared" si="75"/>
        <v>0</v>
      </c>
      <c r="J260" s="126">
        <f t="shared" si="75"/>
        <v>0</v>
      </c>
      <c r="K260" s="126">
        <f t="shared" si="75"/>
        <v>0</v>
      </c>
      <c r="L260" s="127">
        <f t="shared" si="75"/>
        <v>0</v>
      </c>
    </row>
    <row r="261" spans="3:12" ht="15.6" hidden="1">
      <c r="C261" s="39" t="str">
        <f t="shared" si="73"/>
        <v>H</v>
      </c>
      <c r="D261" s="45" t="str">
        <f>Parameter!C$34</f>
        <v>Single LCD VR headset</v>
      </c>
      <c r="E261" s="125">
        <f t="shared" si="75"/>
        <v>0</v>
      </c>
      <c r="F261" s="126">
        <f t="shared" si="75"/>
        <v>0</v>
      </c>
      <c r="G261" s="126">
        <f t="shared" si="75"/>
        <v>0</v>
      </c>
      <c r="H261" s="126">
        <f t="shared" si="75"/>
        <v>0</v>
      </c>
      <c r="I261" s="126">
        <f t="shared" si="75"/>
        <v>0</v>
      </c>
      <c r="J261" s="126">
        <f t="shared" si="75"/>
        <v>0</v>
      </c>
      <c r="K261" s="126">
        <f t="shared" si="75"/>
        <v>0</v>
      </c>
      <c r="L261" s="127">
        <f t="shared" si="75"/>
        <v>0</v>
      </c>
    </row>
    <row r="262" spans="3:12" ht="15.6" hidden="1">
      <c r="C262" s="39" t="str">
        <f t="shared" si="73"/>
        <v>H</v>
      </c>
      <c r="D262" s="45" t="str">
        <f>Parameter!C$35</f>
        <v>ThinkReality VRX</v>
      </c>
      <c r="E262" s="125">
        <f t="shared" si="75"/>
        <v>0</v>
      </c>
      <c r="F262" s="126">
        <f t="shared" si="75"/>
        <v>0</v>
      </c>
      <c r="G262" s="126">
        <f t="shared" si="75"/>
        <v>0</v>
      </c>
      <c r="H262" s="126">
        <f t="shared" si="75"/>
        <v>0</v>
      </c>
      <c r="I262" s="126">
        <f t="shared" si="75"/>
        <v>0</v>
      </c>
      <c r="J262" s="126">
        <f t="shared" si="75"/>
        <v>0</v>
      </c>
      <c r="K262" s="126">
        <f t="shared" si="75"/>
        <v>0</v>
      </c>
      <c r="L262" s="127">
        <f t="shared" si="75"/>
        <v>0</v>
      </c>
    </row>
    <row r="263" spans="3:12" ht="16.2" thickBot="1">
      <c r="C263" s="39" t="str">
        <f t="shared" si="73"/>
        <v/>
      </c>
      <c r="D263" s="45" t="str">
        <f>Parameter!C$36</f>
        <v>Vision Pro</v>
      </c>
      <c r="E263" s="125">
        <f t="shared" si="75"/>
        <v>0</v>
      </c>
      <c r="F263" s="126">
        <f t="shared" si="75"/>
        <v>0.37</v>
      </c>
      <c r="G263" s="126">
        <f t="shared" si="75"/>
        <v>0.7</v>
      </c>
      <c r="H263" s="126">
        <f t="shared" si="75"/>
        <v>0</v>
      </c>
      <c r="I263" s="126">
        <f t="shared" si="75"/>
        <v>0</v>
      </c>
      <c r="J263" s="126">
        <f t="shared" si="75"/>
        <v>0</v>
      </c>
      <c r="K263" s="126">
        <f t="shared" si="75"/>
        <v>0</v>
      </c>
      <c r="L263" s="127">
        <f t="shared" si="75"/>
        <v>0</v>
      </c>
    </row>
    <row r="264" spans="3:12" ht="15.6" hidden="1">
      <c r="C264" s="39" t="str">
        <f t="shared" si="73"/>
        <v>H</v>
      </c>
      <c r="D264" s="45" t="str">
        <f>Parameter!C$37</f>
        <v>Vive LCD headsets</v>
      </c>
      <c r="E264" s="125">
        <f t="shared" si="75"/>
        <v>0</v>
      </c>
      <c r="F264" s="126">
        <f t="shared" si="75"/>
        <v>0</v>
      </c>
      <c r="G264" s="126">
        <f t="shared" si="75"/>
        <v>0</v>
      </c>
      <c r="H264" s="126">
        <f t="shared" si="75"/>
        <v>0</v>
      </c>
      <c r="I264" s="126">
        <f t="shared" si="75"/>
        <v>0</v>
      </c>
      <c r="J264" s="126">
        <f t="shared" si="75"/>
        <v>0</v>
      </c>
      <c r="K264" s="126">
        <f t="shared" si="75"/>
        <v>0</v>
      </c>
      <c r="L264" s="127">
        <f t="shared" si="75"/>
        <v>0</v>
      </c>
    </row>
    <row r="265" spans="3:12" ht="15.6" hidden="1">
      <c r="C265" s="39" t="str">
        <f t="shared" si="73"/>
        <v>H</v>
      </c>
      <c r="D265" s="45" t="str">
        <f>Parameter!C$38</f>
        <v>VR1</v>
      </c>
      <c r="E265" s="125">
        <f t="shared" ref="E265:L274" si="76">SUMIF(ARVR_Y_PC_PR, "VR_"&amp;E$234&amp;"_"&amp;$D$233&amp;"_"&amp;$D265, PanelQ)</f>
        <v>0</v>
      </c>
      <c r="F265" s="126">
        <f t="shared" si="76"/>
        <v>0</v>
      </c>
      <c r="G265" s="126">
        <f t="shared" si="76"/>
        <v>0</v>
      </c>
      <c r="H265" s="126">
        <f t="shared" si="76"/>
        <v>0</v>
      </c>
      <c r="I265" s="126">
        <f t="shared" si="76"/>
        <v>0</v>
      </c>
      <c r="J265" s="126">
        <f t="shared" si="76"/>
        <v>0</v>
      </c>
      <c r="K265" s="126">
        <f t="shared" si="76"/>
        <v>0</v>
      </c>
      <c r="L265" s="127">
        <f t="shared" si="76"/>
        <v>0</v>
      </c>
    </row>
    <row r="266" spans="3:12" ht="15.6" hidden="1">
      <c r="C266" s="39" t="str">
        <f t="shared" si="73"/>
        <v>H</v>
      </c>
      <c r="D266" s="45" t="str">
        <f>Parameter!C$39</f>
        <v>XR-4</v>
      </c>
      <c r="E266" s="125">
        <f t="shared" si="76"/>
        <v>0</v>
      </c>
      <c r="F266" s="126">
        <f t="shared" si="76"/>
        <v>0</v>
      </c>
      <c r="G266" s="126">
        <f t="shared" si="76"/>
        <v>0</v>
      </c>
      <c r="H266" s="126">
        <f t="shared" si="76"/>
        <v>0</v>
      </c>
      <c r="I266" s="126">
        <f t="shared" si="76"/>
        <v>0</v>
      </c>
      <c r="J266" s="126">
        <f t="shared" si="76"/>
        <v>0</v>
      </c>
      <c r="K266" s="126">
        <f t="shared" si="76"/>
        <v>0</v>
      </c>
      <c r="L266" s="127">
        <f t="shared" si="76"/>
        <v>0</v>
      </c>
    </row>
    <row r="267" spans="3:12" ht="15.6" hidden="1">
      <c r="C267" s="39" t="str">
        <f t="shared" si="73"/>
        <v>H</v>
      </c>
      <c r="D267" s="45">
        <f>Parameter!C$40</f>
        <v>0</v>
      </c>
      <c r="E267" s="125">
        <f t="shared" si="76"/>
        <v>0</v>
      </c>
      <c r="F267" s="126">
        <f t="shared" si="76"/>
        <v>0</v>
      </c>
      <c r="G267" s="126">
        <f t="shared" si="76"/>
        <v>0</v>
      </c>
      <c r="H267" s="126">
        <f t="shared" si="76"/>
        <v>0</v>
      </c>
      <c r="I267" s="126">
        <f t="shared" si="76"/>
        <v>0</v>
      </c>
      <c r="J267" s="126">
        <f t="shared" si="76"/>
        <v>0</v>
      </c>
      <c r="K267" s="126">
        <f t="shared" si="76"/>
        <v>0</v>
      </c>
      <c r="L267" s="127">
        <f t="shared" si="76"/>
        <v>0</v>
      </c>
    </row>
    <row r="268" spans="3:12" ht="15.6" hidden="1">
      <c r="C268" s="39" t="str">
        <f t="shared" si="73"/>
        <v>H</v>
      </c>
      <c r="D268" s="45">
        <f>Parameter!C$41</f>
        <v>0</v>
      </c>
      <c r="E268" s="125">
        <f t="shared" si="76"/>
        <v>0</v>
      </c>
      <c r="F268" s="126">
        <f t="shared" si="76"/>
        <v>0</v>
      </c>
      <c r="G268" s="126">
        <f t="shared" si="76"/>
        <v>0</v>
      </c>
      <c r="H268" s="126">
        <f t="shared" si="76"/>
        <v>0</v>
      </c>
      <c r="I268" s="126">
        <f t="shared" si="76"/>
        <v>0</v>
      </c>
      <c r="J268" s="126">
        <f t="shared" si="76"/>
        <v>0</v>
      </c>
      <c r="K268" s="126">
        <f t="shared" si="76"/>
        <v>0</v>
      </c>
      <c r="L268" s="127">
        <f t="shared" si="76"/>
        <v>0</v>
      </c>
    </row>
    <row r="269" spans="3:12" ht="15.6" hidden="1">
      <c r="C269" s="39" t="str">
        <f t="shared" si="73"/>
        <v>H</v>
      </c>
      <c r="D269" s="45">
        <f>Parameter!C$42</f>
        <v>0</v>
      </c>
      <c r="E269" s="125">
        <f t="shared" si="76"/>
        <v>0</v>
      </c>
      <c r="F269" s="126">
        <f t="shared" si="76"/>
        <v>0</v>
      </c>
      <c r="G269" s="126">
        <f t="shared" si="76"/>
        <v>0</v>
      </c>
      <c r="H269" s="126">
        <f t="shared" si="76"/>
        <v>0</v>
      </c>
      <c r="I269" s="126">
        <f t="shared" si="76"/>
        <v>0</v>
      </c>
      <c r="J269" s="126">
        <f t="shared" si="76"/>
        <v>0</v>
      </c>
      <c r="K269" s="126">
        <f t="shared" si="76"/>
        <v>0</v>
      </c>
      <c r="L269" s="127">
        <f t="shared" si="76"/>
        <v>0</v>
      </c>
    </row>
    <row r="270" spans="3:12" ht="15.6" hidden="1">
      <c r="C270" s="39" t="str">
        <f t="shared" si="73"/>
        <v>H</v>
      </c>
      <c r="D270" s="45">
        <f>Parameter!C$43</f>
        <v>0</v>
      </c>
      <c r="E270" s="125">
        <f t="shared" si="76"/>
        <v>0</v>
      </c>
      <c r="F270" s="126">
        <f t="shared" si="76"/>
        <v>0</v>
      </c>
      <c r="G270" s="126">
        <f t="shared" si="76"/>
        <v>0</v>
      </c>
      <c r="H270" s="126">
        <f t="shared" si="76"/>
        <v>0</v>
      </c>
      <c r="I270" s="126">
        <f t="shared" si="76"/>
        <v>0</v>
      </c>
      <c r="J270" s="126">
        <f t="shared" si="76"/>
        <v>0</v>
      </c>
      <c r="K270" s="126">
        <f t="shared" si="76"/>
        <v>0</v>
      </c>
      <c r="L270" s="127">
        <f t="shared" si="76"/>
        <v>0</v>
      </c>
    </row>
    <row r="271" spans="3:12" ht="15.6" hidden="1">
      <c r="C271" s="39" t="str">
        <f t="shared" si="73"/>
        <v>H</v>
      </c>
      <c r="D271" s="45">
        <f>Parameter!C$44</f>
        <v>0</v>
      </c>
      <c r="E271" s="125">
        <f t="shared" si="76"/>
        <v>0</v>
      </c>
      <c r="F271" s="126">
        <f t="shared" si="76"/>
        <v>0</v>
      </c>
      <c r="G271" s="126">
        <f t="shared" si="76"/>
        <v>0</v>
      </c>
      <c r="H271" s="126">
        <f t="shared" si="76"/>
        <v>0</v>
      </c>
      <c r="I271" s="126">
        <f t="shared" si="76"/>
        <v>0</v>
      </c>
      <c r="J271" s="126">
        <f t="shared" si="76"/>
        <v>0</v>
      </c>
      <c r="K271" s="126">
        <f t="shared" si="76"/>
        <v>0</v>
      </c>
      <c r="L271" s="127">
        <f t="shared" si="76"/>
        <v>0</v>
      </c>
    </row>
    <row r="272" spans="3:12" ht="15.6" hidden="1">
      <c r="C272" s="39" t="str">
        <f t="shared" si="73"/>
        <v>H</v>
      </c>
      <c r="D272" s="45">
        <f>Parameter!C$45</f>
        <v>0</v>
      </c>
      <c r="E272" s="125">
        <f t="shared" si="76"/>
        <v>0</v>
      </c>
      <c r="F272" s="126">
        <f t="shared" si="76"/>
        <v>0</v>
      </c>
      <c r="G272" s="126">
        <f t="shared" si="76"/>
        <v>0</v>
      </c>
      <c r="H272" s="126">
        <f t="shared" si="76"/>
        <v>0</v>
      </c>
      <c r="I272" s="126">
        <f t="shared" si="76"/>
        <v>0</v>
      </c>
      <c r="J272" s="126">
        <f t="shared" si="76"/>
        <v>0</v>
      </c>
      <c r="K272" s="126">
        <f t="shared" si="76"/>
        <v>0</v>
      </c>
      <c r="L272" s="127">
        <f t="shared" si="76"/>
        <v>0</v>
      </c>
    </row>
    <row r="273" spans="3:12" ht="15.6" hidden="1">
      <c r="C273" s="39" t="str">
        <f t="shared" si="73"/>
        <v>H</v>
      </c>
      <c r="D273" s="45">
        <f>Parameter!C$46</f>
        <v>0</v>
      </c>
      <c r="E273" s="125">
        <f t="shared" si="76"/>
        <v>0</v>
      </c>
      <c r="F273" s="126">
        <f t="shared" si="76"/>
        <v>0</v>
      </c>
      <c r="G273" s="126">
        <f t="shared" si="76"/>
        <v>0</v>
      </c>
      <c r="H273" s="126">
        <f t="shared" si="76"/>
        <v>0</v>
      </c>
      <c r="I273" s="126">
        <f t="shared" si="76"/>
        <v>0</v>
      </c>
      <c r="J273" s="126">
        <f t="shared" si="76"/>
        <v>0</v>
      </c>
      <c r="K273" s="126">
        <f t="shared" si="76"/>
        <v>0</v>
      </c>
      <c r="L273" s="127">
        <f t="shared" si="76"/>
        <v>0</v>
      </c>
    </row>
    <row r="274" spans="3:12" ht="15.6" hidden="1">
      <c r="C274" s="39" t="str">
        <f t="shared" si="73"/>
        <v>H</v>
      </c>
      <c r="D274" s="45">
        <f>Parameter!C$47</f>
        <v>0</v>
      </c>
      <c r="E274" s="125">
        <f t="shared" si="76"/>
        <v>0</v>
      </c>
      <c r="F274" s="126">
        <f t="shared" si="76"/>
        <v>0</v>
      </c>
      <c r="G274" s="126">
        <f t="shared" si="76"/>
        <v>0</v>
      </c>
      <c r="H274" s="126">
        <f t="shared" si="76"/>
        <v>0</v>
      </c>
      <c r="I274" s="126">
        <f t="shared" si="76"/>
        <v>0</v>
      </c>
      <c r="J274" s="126">
        <f t="shared" si="76"/>
        <v>0</v>
      </c>
      <c r="K274" s="126">
        <f t="shared" si="76"/>
        <v>0</v>
      </c>
      <c r="L274" s="127">
        <f t="shared" si="76"/>
        <v>0</v>
      </c>
    </row>
    <row r="275" spans="3:12" ht="15.6" hidden="1">
      <c r="C275" s="39" t="str">
        <f t="shared" si="73"/>
        <v>H</v>
      </c>
      <c r="D275" s="45">
        <f>Parameter!C$48</f>
        <v>0</v>
      </c>
      <c r="E275" s="125">
        <f t="shared" ref="E275:L284" si="77">SUMIF(ARVR_Y_PC_PR, "VR_"&amp;E$234&amp;"_"&amp;$D$233&amp;"_"&amp;$D275, PanelQ)</f>
        <v>0</v>
      </c>
      <c r="F275" s="126">
        <f t="shared" si="77"/>
        <v>0</v>
      </c>
      <c r="G275" s="126">
        <f t="shared" si="77"/>
        <v>0</v>
      </c>
      <c r="H275" s="126">
        <f t="shared" si="77"/>
        <v>0</v>
      </c>
      <c r="I275" s="126">
        <f t="shared" si="77"/>
        <v>0</v>
      </c>
      <c r="J275" s="126">
        <f t="shared" si="77"/>
        <v>0</v>
      </c>
      <c r="K275" s="126">
        <f t="shared" si="77"/>
        <v>0</v>
      </c>
      <c r="L275" s="127">
        <f t="shared" si="77"/>
        <v>0</v>
      </c>
    </row>
    <row r="276" spans="3:12" ht="15.6" hidden="1">
      <c r="C276" s="39" t="str">
        <f t="shared" si="73"/>
        <v>H</v>
      </c>
      <c r="D276" s="45">
        <f>Parameter!C$49</f>
        <v>0</v>
      </c>
      <c r="E276" s="125">
        <f t="shared" si="77"/>
        <v>0</v>
      </c>
      <c r="F276" s="126">
        <f t="shared" si="77"/>
        <v>0</v>
      </c>
      <c r="G276" s="126">
        <f t="shared" si="77"/>
        <v>0</v>
      </c>
      <c r="H276" s="126">
        <f t="shared" si="77"/>
        <v>0</v>
      </c>
      <c r="I276" s="126">
        <f t="shared" si="77"/>
        <v>0</v>
      </c>
      <c r="J276" s="126">
        <f t="shared" si="77"/>
        <v>0</v>
      </c>
      <c r="K276" s="126">
        <f t="shared" si="77"/>
        <v>0</v>
      </c>
      <c r="L276" s="127">
        <f t="shared" si="77"/>
        <v>0</v>
      </c>
    </row>
    <row r="277" spans="3:12" ht="15.6" hidden="1">
      <c r="C277" s="39" t="str">
        <f t="shared" si="73"/>
        <v>H</v>
      </c>
      <c r="D277" s="45">
        <f>Parameter!C$50</f>
        <v>0</v>
      </c>
      <c r="E277" s="125">
        <f t="shared" si="77"/>
        <v>0</v>
      </c>
      <c r="F277" s="126">
        <f t="shared" si="77"/>
        <v>0</v>
      </c>
      <c r="G277" s="126">
        <f t="shared" si="77"/>
        <v>0</v>
      </c>
      <c r="H277" s="126">
        <f t="shared" si="77"/>
        <v>0</v>
      </c>
      <c r="I277" s="126">
        <f t="shared" si="77"/>
        <v>0</v>
      </c>
      <c r="J277" s="126">
        <f t="shared" si="77"/>
        <v>0</v>
      </c>
      <c r="K277" s="126">
        <f t="shared" si="77"/>
        <v>0</v>
      </c>
      <c r="L277" s="127">
        <f t="shared" si="77"/>
        <v>0</v>
      </c>
    </row>
    <row r="278" spans="3:12" ht="15.6" hidden="1">
      <c r="C278" s="39" t="str">
        <f t="shared" si="73"/>
        <v>H</v>
      </c>
      <c r="D278" s="45">
        <f>Parameter!C$51</f>
        <v>0</v>
      </c>
      <c r="E278" s="125">
        <f t="shared" si="77"/>
        <v>0</v>
      </c>
      <c r="F278" s="126">
        <f t="shared" si="77"/>
        <v>0</v>
      </c>
      <c r="G278" s="126">
        <f t="shared" si="77"/>
        <v>0</v>
      </c>
      <c r="H278" s="126">
        <f t="shared" si="77"/>
        <v>0</v>
      </c>
      <c r="I278" s="126">
        <f t="shared" si="77"/>
        <v>0</v>
      </c>
      <c r="J278" s="126">
        <f t="shared" si="77"/>
        <v>0</v>
      </c>
      <c r="K278" s="126">
        <f t="shared" si="77"/>
        <v>0</v>
      </c>
      <c r="L278" s="127">
        <f t="shared" si="77"/>
        <v>0</v>
      </c>
    </row>
    <row r="279" spans="3:12" ht="15.6" hidden="1">
      <c r="C279" s="39" t="str">
        <f t="shared" si="73"/>
        <v>H</v>
      </c>
      <c r="D279" s="45">
        <f>Parameter!C$52</f>
        <v>0</v>
      </c>
      <c r="E279" s="125">
        <f t="shared" si="77"/>
        <v>0</v>
      </c>
      <c r="F279" s="126">
        <f t="shared" si="77"/>
        <v>0</v>
      </c>
      <c r="G279" s="126">
        <f t="shared" si="77"/>
        <v>0</v>
      </c>
      <c r="H279" s="126">
        <f t="shared" si="77"/>
        <v>0</v>
      </c>
      <c r="I279" s="126">
        <f t="shared" si="77"/>
        <v>0</v>
      </c>
      <c r="J279" s="126">
        <f t="shared" si="77"/>
        <v>0</v>
      </c>
      <c r="K279" s="126">
        <f t="shared" si="77"/>
        <v>0</v>
      </c>
      <c r="L279" s="127">
        <f t="shared" si="77"/>
        <v>0</v>
      </c>
    </row>
    <row r="280" spans="3:12" ht="15.6" hidden="1">
      <c r="C280" s="39" t="str">
        <f t="shared" si="73"/>
        <v>H</v>
      </c>
      <c r="D280" s="45">
        <f>Parameter!C$53</f>
        <v>0</v>
      </c>
      <c r="E280" s="125">
        <f t="shared" si="77"/>
        <v>0</v>
      </c>
      <c r="F280" s="126">
        <f t="shared" si="77"/>
        <v>0</v>
      </c>
      <c r="G280" s="126">
        <f t="shared" si="77"/>
        <v>0</v>
      </c>
      <c r="H280" s="126">
        <f t="shared" si="77"/>
        <v>0</v>
      </c>
      <c r="I280" s="126">
        <f t="shared" si="77"/>
        <v>0</v>
      </c>
      <c r="J280" s="126">
        <f t="shared" si="77"/>
        <v>0</v>
      </c>
      <c r="K280" s="126">
        <f t="shared" si="77"/>
        <v>0</v>
      </c>
      <c r="L280" s="127">
        <f t="shared" si="77"/>
        <v>0</v>
      </c>
    </row>
    <row r="281" spans="3:12" ht="15.6" hidden="1">
      <c r="C281" s="39" t="str">
        <f t="shared" si="73"/>
        <v>H</v>
      </c>
      <c r="D281" s="45">
        <f>Parameter!C$54</f>
        <v>0</v>
      </c>
      <c r="E281" s="125">
        <f t="shared" si="77"/>
        <v>0</v>
      </c>
      <c r="F281" s="126">
        <f t="shared" si="77"/>
        <v>0</v>
      </c>
      <c r="G281" s="126">
        <f t="shared" si="77"/>
        <v>0</v>
      </c>
      <c r="H281" s="126">
        <f t="shared" si="77"/>
        <v>0</v>
      </c>
      <c r="I281" s="126">
        <f t="shared" si="77"/>
        <v>0</v>
      </c>
      <c r="J281" s="126">
        <f t="shared" si="77"/>
        <v>0</v>
      </c>
      <c r="K281" s="126">
        <f t="shared" si="77"/>
        <v>0</v>
      </c>
      <c r="L281" s="127">
        <f t="shared" si="77"/>
        <v>0</v>
      </c>
    </row>
    <row r="282" spans="3:12" ht="15.6" hidden="1">
      <c r="C282" s="39" t="str">
        <f t="shared" si="73"/>
        <v>H</v>
      </c>
      <c r="D282" s="45">
        <f>Parameter!C$55</f>
        <v>0</v>
      </c>
      <c r="E282" s="125">
        <f t="shared" si="77"/>
        <v>0</v>
      </c>
      <c r="F282" s="126">
        <f t="shared" si="77"/>
        <v>0</v>
      </c>
      <c r="G282" s="126">
        <f t="shared" si="77"/>
        <v>0</v>
      </c>
      <c r="H282" s="126">
        <f t="shared" si="77"/>
        <v>0</v>
      </c>
      <c r="I282" s="126">
        <f t="shared" si="77"/>
        <v>0</v>
      </c>
      <c r="J282" s="126">
        <f t="shared" si="77"/>
        <v>0</v>
      </c>
      <c r="K282" s="126">
        <f t="shared" si="77"/>
        <v>0</v>
      </c>
      <c r="L282" s="127">
        <f t="shared" si="77"/>
        <v>0</v>
      </c>
    </row>
    <row r="283" spans="3:12" ht="15.6" hidden="1">
      <c r="C283" s="39" t="str">
        <f t="shared" si="73"/>
        <v>H</v>
      </c>
      <c r="D283" s="45">
        <f>Parameter!C$56</f>
        <v>0</v>
      </c>
      <c r="E283" s="125">
        <f t="shared" si="77"/>
        <v>0</v>
      </c>
      <c r="F283" s="126">
        <f t="shared" si="77"/>
        <v>0</v>
      </c>
      <c r="G283" s="126">
        <f t="shared" si="77"/>
        <v>0</v>
      </c>
      <c r="H283" s="126">
        <f t="shared" si="77"/>
        <v>0</v>
      </c>
      <c r="I283" s="126">
        <f t="shared" si="77"/>
        <v>0</v>
      </c>
      <c r="J283" s="126">
        <f t="shared" si="77"/>
        <v>0</v>
      </c>
      <c r="K283" s="126">
        <f t="shared" si="77"/>
        <v>0</v>
      </c>
      <c r="L283" s="127">
        <f t="shared" si="77"/>
        <v>0</v>
      </c>
    </row>
    <row r="284" spans="3:12" ht="16.2" hidden="1" thickBot="1">
      <c r="C284" s="39" t="str">
        <f t="shared" si="73"/>
        <v>H</v>
      </c>
      <c r="D284" s="53" t="str">
        <f>Parameter!C$57</f>
        <v>ALL</v>
      </c>
      <c r="E284" s="128">
        <f t="shared" si="77"/>
        <v>0</v>
      </c>
      <c r="F284" s="129">
        <f t="shared" si="77"/>
        <v>0</v>
      </c>
      <c r="G284" s="129">
        <f t="shared" si="77"/>
        <v>0</v>
      </c>
      <c r="H284" s="129">
        <f t="shared" si="77"/>
        <v>0</v>
      </c>
      <c r="I284" s="129">
        <f t="shared" si="77"/>
        <v>0</v>
      </c>
      <c r="J284" s="129">
        <f t="shared" si="77"/>
        <v>0</v>
      </c>
      <c r="K284" s="129">
        <f t="shared" si="77"/>
        <v>0</v>
      </c>
      <c r="L284" s="130">
        <f t="shared" si="77"/>
        <v>0</v>
      </c>
    </row>
    <row r="285" spans="3:12" ht="15.6">
      <c r="C285" s="39" t="str">
        <f t="shared" si="73"/>
        <v/>
      </c>
      <c r="D285" s="54" t="s">
        <v>87</v>
      </c>
      <c r="E285" s="131">
        <f>SUM(E235:E284)</f>
        <v>4.4000000000000003E-3</v>
      </c>
      <c r="F285" s="132">
        <f t="shared" ref="F285" si="78">SUM(F235:F284)</f>
        <v>0.436033</v>
      </c>
      <c r="G285" s="132">
        <f t="shared" ref="G285" si="79">SUM(G235:G284)</f>
        <v>0.83635599999999999</v>
      </c>
      <c r="H285" s="132">
        <f t="shared" ref="H285" si="80">SUM(H235:H284)</f>
        <v>0.18049999999999999</v>
      </c>
      <c r="I285" s="132">
        <f t="shared" ref="I285" si="81">SUM(I235:I284)</f>
        <v>1.0780000000000001</v>
      </c>
      <c r="J285" s="132">
        <f t="shared" ref="J285" si="82">SUM(J235:J284)</f>
        <v>5.1479999999999997</v>
      </c>
      <c r="K285" s="132">
        <f t="shared" ref="K285" si="83">SUM(K235:K284)</f>
        <v>5.9399999999999995</v>
      </c>
      <c r="L285" s="133">
        <f t="shared" ref="L285" si="84">SUM(L235:L284)</f>
        <v>9.4599999999999991</v>
      </c>
    </row>
    <row r="286" spans="3:12" ht="16.2" thickBot="1">
      <c r="C286" s="39" t="str">
        <f t="shared" si="73"/>
        <v/>
      </c>
      <c r="D286" s="46" t="s">
        <v>88</v>
      </c>
      <c r="E286" s="47"/>
      <c r="F286" s="50">
        <f t="shared" ref="F286" si="85">IF(E285*F285=0, "", F285/E285-1)</f>
        <v>98.098409090909087</v>
      </c>
      <c r="G286" s="50">
        <f t="shared" ref="G286" si="86">IF(F285*G285=0, "", G285/F285-1)</f>
        <v>0.91810252893702993</v>
      </c>
      <c r="H286" s="50">
        <f>IF(G285*H285=0, "", H285/G285-1)</f>
        <v>-0.78418281210393659</v>
      </c>
      <c r="I286" s="50">
        <f t="shared" ref="I286" si="87">IF(H285*I285=0, "", I285/H285-1)</f>
        <v>4.97229916897507</v>
      </c>
      <c r="J286" s="50">
        <f t="shared" ref="J286" si="88">IF(I285*J285=0, "", J285/I285-1)</f>
        <v>3.7755102040816322</v>
      </c>
      <c r="K286" s="50">
        <f t="shared" ref="K286" si="89">IF(J285*K285=0, "", K285/J285-1)</f>
        <v>0.15384615384615374</v>
      </c>
      <c r="L286" s="51">
        <f t="shared" ref="L286" si="90">IF(K285*L285=0, "", L285/K285-1)</f>
        <v>0.59259259259259256</v>
      </c>
    </row>
    <row r="287" spans="3:12" ht="15" hidden="1">
      <c r="C287" s="39" t="str">
        <f t="shared" si="73"/>
        <v>H</v>
      </c>
    </row>
    <row r="288" spans="3:12" ht="15.6" hidden="1" thickBot="1">
      <c r="C288" s="39" t="str">
        <f t="shared" si="73"/>
        <v>H</v>
      </c>
    </row>
    <row r="289" spans="3:12" ht="15" hidden="1" thickBot="1">
      <c r="C289" s="57" t="str">
        <f>IF(SUM(E341:L341)=0, "H", "")</f>
        <v>H</v>
      </c>
      <c r="D289" s="52">
        <f>Parameter!G13</f>
        <v>0</v>
      </c>
    </row>
    <row r="290" spans="3:12" ht="16.2" hidden="1" thickBot="1">
      <c r="C290" s="57" t="str">
        <f>IF(SUM(E341:L341)=0, "H", "")</f>
        <v>H</v>
      </c>
      <c r="D290" s="40" t="s">
        <v>85</v>
      </c>
      <c r="E290" s="41" t="s">
        <v>8</v>
      </c>
      <c r="F290" s="42" t="s">
        <v>9</v>
      </c>
      <c r="G290" s="42" t="s">
        <v>10</v>
      </c>
      <c r="H290" s="42" t="s">
        <v>11</v>
      </c>
      <c r="I290" s="42" t="s">
        <v>12</v>
      </c>
      <c r="J290" s="42" t="s">
        <v>13</v>
      </c>
      <c r="K290" s="42" t="s">
        <v>14</v>
      </c>
      <c r="L290" s="43" t="s">
        <v>86</v>
      </c>
    </row>
    <row r="291" spans="3:12" ht="15.6" hidden="1">
      <c r="C291" s="39" t="str">
        <f>IF(SUM(E291:L291)=0, "H", "")</f>
        <v>H</v>
      </c>
      <c r="D291" s="44" t="str">
        <f>Parameter!C$8</f>
        <v>5K VR</v>
      </c>
      <c r="E291" s="125">
        <f t="shared" ref="E291:L291" si="91">SUMIF(Y_VRPC_PR, E$10&amp;"_"&amp;$D289&amp;"_"&amp;$D291, VRPanelQ)</f>
        <v>0</v>
      </c>
      <c r="F291" s="126">
        <f t="shared" si="91"/>
        <v>0</v>
      </c>
      <c r="G291" s="126">
        <f t="shared" si="91"/>
        <v>0</v>
      </c>
      <c r="H291" s="126">
        <f t="shared" si="91"/>
        <v>0</v>
      </c>
      <c r="I291" s="126">
        <f t="shared" si="91"/>
        <v>0</v>
      </c>
      <c r="J291" s="126">
        <f t="shared" si="91"/>
        <v>0</v>
      </c>
      <c r="K291" s="126">
        <f t="shared" si="91"/>
        <v>0</v>
      </c>
      <c r="L291" s="127">
        <f t="shared" si="91"/>
        <v>0</v>
      </c>
    </row>
    <row r="292" spans="3:12" ht="15.6" hidden="1">
      <c r="C292" s="39" t="str">
        <f t="shared" ref="C292:C344" si="92">IF(SUM(E292:L292)=0, "H", "")</f>
        <v>H</v>
      </c>
      <c r="D292" s="44" t="str">
        <f>Parameter!C$9</f>
        <v>Aero</v>
      </c>
      <c r="E292" s="125">
        <f t="shared" ref="E292:L292" si="93">SUMIF(Y_VRPC_PR, E$10&amp;"_"&amp;$D289&amp;"_"&amp;$D292, VRPanelQ)</f>
        <v>0</v>
      </c>
      <c r="F292" s="126">
        <f t="shared" si="93"/>
        <v>0</v>
      </c>
      <c r="G292" s="126">
        <f t="shared" si="93"/>
        <v>0</v>
      </c>
      <c r="H292" s="126">
        <f t="shared" si="93"/>
        <v>0</v>
      </c>
      <c r="I292" s="126">
        <f t="shared" si="93"/>
        <v>0</v>
      </c>
      <c r="J292" s="126">
        <f t="shared" si="93"/>
        <v>0</v>
      </c>
      <c r="K292" s="126">
        <f t="shared" si="93"/>
        <v>0</v>
      </c>
      <c r="L292" s="127">
        <f t="shared" si="93"/>
        <v>0</v>
      </c>
    </row>
    <row r="293" spans="3:12" ht="15.6" hidden="1">
      <c r="C293" s="39" t="str">
        <f t="shared" si="92"/>
        <v>H</v>
      </c>
      <c r="D293" s="45" t="str">
        <f>Parameter!C$10</f>
        <v>Beyond</v>
      </c>
      <c r="E293" s="125">
        <f t="shared" ref="E293:L293" si="94">SUMIF(Y_VRPC_PR, E$10&amp;"_"&amp;$D289&amp;"_"&amp;$D293, VRPanelQ)</f>
        <v>0</v>
      </c>
      <c r="F293" s="126">
        <f t="shared" si="94"/>
        <v>0</v>
      </c>
      <c r="G293" s="126">
        <f t="shared" si="94"/>
        <v>0</v>
      </c>
      <c r="H293" s="126">
        <f t="shared" si="94"/>
        <v>0</v>
      </c>
      <c r="I293" s="126">
        <f t="shared" si="94"/>
        <v>0</v>
      </c>
      <c r="J293" s="126">
        <f t="shared" si="94"/>
        <v>0</v>
      </c>
      <c r="K293" s="126">
        <f t="shared" si="94"/>
        <v>0</v>
      </c>
      <c r="L293" s="127">
        <f t="shared" si="94"/>
        <v>0</v>
      </c>
    </row>
    <row r="294" spans="3:12" ht="15.6" hidden="1">
      <c r="C294" s="39" t="str">
        <f t="shared" si="92"/>
        <v>H</v>
      </c>
      <c r="D294" s="45" t="str">
        <f>Parameter!C$11</f>
        <v>Bionic models</v>
      </c>
      <c r="E294" s="125">
        <f t="shared" ref="E294:L294" si="95">SUMIF(Y_VRPC_PR, E$10&amp;"_"&amp;$D289&amp;"_"&amp;$D294, VRPanelQ)</f>
        <v>0</v>
      </c>
      <c r="F294" s="126">
        <f t="shared" si="95"/>
        <v>0</v>
      </c>
      <c r="G294" s="126">
        <f t="shared" si="95"/>
        <v>0</v>
      </c>
      <c r="H294" s="126">
        <f t="shared" si="95"/>
        <v>0</v>
      </c>
      <c r="I294" s="126">
        <f t="shared" si="95"/>
        <v>0</v>
      </c>
      <c r="J294" s="126">
        <f t="shared" si="95"/>
        <v>0</v>
      </c>
      <c r="K294" s="126">
        <f t="shared" si="95"/>
        <v>0</v>
      </c>
      <c r="L294" s="127">
        <f t="shared" si="95"/>
        <v>0</v>
      </c>
    </row>
    <row r="295" spans="3:12" ht="15.6" hidden="1">
      <c r="C295" s="39" t="str">
        <f t="shared" si="92"/>
        <v>H</v>
      </c>
      <c r="D295" s="45" t="str">
        <f>Parameter!C$12</f>
        <v>Dual LCD VR headset</v>
      </c>
      <c r="E295" s="125">
        <f t="shared" ref="E295:L295" si="96">SUMIF(Y_VRPC_PR, E$10&amp;"_"&amp;$D289&amp;"_"&amp;$D295, VRPanelQ)</f>
        <v>0</v>
      </c>
      <c r="F295" s="126">
        <f t="shared" si="96"/>
        <v>0</v>
      </c>
      <c r="G295" s="126">
        <f t="shared" si="96"/>
        <v>0</v>
      </c>
      <c r="H295" s="126">
        <f t="shared" si="96"/>
        <v>0</v>
      </c>
      <c r="I295" s="126">
        <f t="shared" si="96"/>
        <v>0</v>
      </c>
      <c r="J295" s="126">
        <f t="shared" si="96"/>
        <v>0</v>
      </c>
      <c r="K295" s="126">
        <f t="shared" si="96"/>
        <v>0</v>
      </c>
      <c r="L295" s="127">
        <f t="shared" si="96"/>
        <v>0</v>
      </c>
    </row>
    <row r="296" spans="3:12" ht="15.6" hidden="1">
      <c r="C296" s="39" t="str">
        <f t="shared" si="92"/>
        <v>H</v>
      </c>
      <c r="D296" s="45" t="str">
        <f>Parameter!C$13</f>
        <v>Dual SiOLED headset</v>
      </c>
      <c r="E296" s="125">
        <f t="shared" ref="E296:L296" si="97">SUMIF(Y_VRPC_PR, E$10&amp;"_"&amp;$D289&amp;"_"&amp;$D296, VRPanelQ)</f>
        <v>0</v>
      </c>
      <c r="F296" s="126">
        <f t="shared" si="97"/>
        <v>0</v>
      </c>
      <c r="G296" s="126">
        <f t="shared" si="97"/>
        <v>0</v>
      </c>
      <c r="H296" s="126">
        <f t="shared" si="97"/>
        <v>0</v>
      </c>
      <c r="I296" s="126">
        <f t="shared" si="97"/>
        <v>0</v>
      </c>
      <c r="J296" s="126">
        <f t="shared" si="97"/>
        <v>0</v>
      </c>
      <c r="K296" s="126">
        <f t="shared" si="97"/>
        <v>0</v>
      </c>
      <c r="L296" s="127">
        <f t="shared" si="97"/>
        <v>0</v>
      </c>
    </row>
    <row r="297" spans="3:12" ht="15.6" hidden="1">
      <c r="C297" s="39" t="str">
        <f t="shared" si="92"/>
        <v>H</v>
      </c>
      <c r="D297" s="45" t="str">
        <f>Parameter!C$14</f>
        <v>Index</v>
      </c>
      <c r="E297" s="125">
        <f t="shared" ref="E297:L297" si="98">SUMIF(Y_VRPC_PR, E$10&amp;"_"&amp;$D289&amp;"_"&amp;$D297, VRPanelQ)</f>
        <v>0</v>
      </c>
      <c r="F297" s="126">
        <f t="shared" si="98"/>
        <v>0</v>
      </c>
      <c r="G297" s="126">
        <f t="shared" si="98"/>
        <v>0</v>
      </c>
      <c r="H297" s="126">
        <f t="shared" si="98"/>
        <v>0</v>
      </c>
      <c r="I297" s="126">
        <f t="shared" si="98"/>
        <v>0</v>
      </c>
      <c r="J297" s="126">
        <f t="shared" si="98"/>
        <v>0</v>
      </c>
      <c r="K297" s="126">
        <f t="shared" si="98"/>
        <v>0</v>
      </c>
      <c r="L297" s="127">
        <f t="shared" si="98"/>
        <v>0</v>
      </c>
    </row>
    <row r="298" spans="3:12" ht="15.6" hidden="1">
      <c r="C298" s="39" t="str">
        <f t="shared" si="92"/>
        <v>H</v>
      </c>
      <c r="D298" s="45" t="str">
        <f>Parameter!C$15</f>
        <v>MeganeX</v>
      </c>
      <c r="E298" s="125">
        <f t="shared" ref="E298:L298" si="99">SUMIF(Y_VRPC_PR, E$10&amp;"_"&amp;$D289&amp;"_"&amp;$D298, VRPanelQ)</f>
        <v>0</v>
      </c>
      <c r="F298" s="126">
        <f t="shared" si="99"/>
        <v>0</v>
      </c>
      <c r="G298" s="126">
        <f t="shared" si="99"/>
        <v>0</v>
      </c>
      <c r="H298" s="126">
        <f t="shared" si="99"/>
        <v>0</v>
      </c>
      <c r="I298" s="126">
        <f t="shared" si="99"/>
        <v>0</v>
      </c>
      <c r="J298" s="126">
        <f t="shared" si="99"/>
        <v>0</v>
      </c>
      <c r="K298" s="126">
        <f t="shared" si="99"/>
        <v>0</v>
      </c>
      <c r="L298" s="127">
        <f t="shared" si="99"/>
        <v>0</v>
      </c>
    </row>
    <row r="299" spans="3:12" ht="15.6" hidden="1">
      <c r="C299" s="39" t="str">
        <f t="shared" si="92"/>
        <v>H</v>
      </c>
      <c r="D299" s="45" t="str">
        <f>Parameter!C$16</f>
        <v>MeganeX Superlight 8K</v>
      </c>
      <c r="E299" s="125">
        <f t="shared" ref="E299:L299" si="100">SUMIF(Y_VRPC_PR, E$10&amp;"_"&amp;$D289&amp;"_"&amp;$D299, VRPanelQ)</f>
        <v>0</v>
      </c>
      <c r="F299" s="126">
        <f t="shared" si="100"/>
        <v>0</v>
      </c>
      <c r="G299" s="126">
        <f t="shared" si="100"/>
        <v>0</v>
      </c>
      <c r="H299" s="126">
        <f t="shared" si="100"/>
        <v>0</v>
      </c>
      <c r="I299" s="126">
        <f t="shared" si="100"/>
        <v>0</v>
      </c>
      <c r="J299" s="126">
        <f t="shared" si="100"/>
        <v>0</v>
      </c>
      <c r="K299" s="126">
        <f t="shared" si="100"/>
        <v>0</v>
      </c>
      <c r="L299" s="127">
        <f t="shared" si="100"/>
        <v>0</v>
      </c>
    </row>
    <row r="300" spans="3:12" ht="15.6" hidden="1">
      <c r="C300" s="39" t="str">
        <f t="shared" si="92"/>
        <v>H</v>
      </c>
      <c r="D300" s="45" t="str">
        <f>Parameter!C$17</f>
        <v>Neo 3 / G3</v>
      </c>
      <c r="E300" s="125">
        <f t="shared" ref="E300:L300" si="101">SUMIF(Y_VRPC_PR, E$10&amp;"_"&amp;$D289&amp;"_"&amp;$D300, VRPanelQ)</f>
        <v>0</v>
      </c>
      <c r="F300" s="126">
        <f t="shared" si="101"/>
        <v>0</v>
      </c>
      <c r="G300" s="126">
        <f t="shared" si="101"/>
        <v>0</v>
      </c>
      <c r="H300" s="126">
        <f t="shared" si="101"/>
        <v>0</v>
      </c>
      <c r="I300" s="126">
        <f t="shared" si="101"/>
        <v>0</v>
      </c>
      <c r="J300" s="126">
        <f t="shared" si="101"/>
        <v>0</v>
      </c>
      <c r="K300" s="126">
        <f t="shared" si="101"/>
        <v>0</v>
      </c>
      <c r="L300" s="127">
        <f t="shared" si="101"/>
        <v>0</v>
      </c>
    </row>
    <row r="301" spans="3:12" ht="15.6" hidden="1">
      <c r="C301" s="39" t="str">
        <f t="shared" si="92"/>
        <v>H</v>
      </c>
      <c r="D301" s="45" t="str">
        <f>Parameter!C$18</f>
        <v>OLED VR headset</v>
      </c>
      <c r="E301" s="125">
        <f t="shared" ref="E301:L301" si="102">SUMIF(Y_VRPC_PR, E$10&amp;"_"&amp;$D289&amp;"_"&amp;$D301, VRPanelQ)</f>
        <v>0</v>
      </c>
      <c r="F301" s="126">
        <f t="shared" si="102"/>
        <v>0</v>
      </c>
      <c r="G301" s="126">
        <f t="shared" si="102"/>
        <v>0</v>
      </c>
      <c r="H301" s="126">
        <f t="shared" si="102"/>
        <v>0</v>
      </c>
      <c r="I301" s="126">
        <f t="shared" si="102"/>
        <v>0</v>
      </c>
      <c r="J301" s="126">
        <f t="shared" si="102"/>
        <v>0</v>
      </c>
      <c r="K301" s="126">
        <f t="shared" si="102"/>
        <v>0</v>
      </c>
      <c r="L301" s="127">
        <f t="shared" si="102"/>
        <v>0</v>
      </c>
    </row>
    <row r="302" spans="3:12" ht="15.6" hidden="1">
      <c r="C302" s="39" t="str">
        <f t="shared" si="92"/>
        <v>H</v>
      </c>
      <c r="D302" s="45" t="str">
        <f>Parameter!C$19</f>
        <v>P1 family</v>
      </c>
      <c r="E302" s="125">
        <f t="shared" ref="E302:L302" si="103">SUMIF(Y_VRPC_PR, E$10&amp;"_"&amp;$D289&amp;"_"&amp;$D302, VRPanelQ)</f>
        <v>0</v>
      </c>
      <c r="F302" s="126">
        <f t="shared" si="103"/>
        <v>0</v>
      </c>
      <c r="G302" s="126">
        <f t="shared" si="103"/>
        <v>0</v>
      </c>
      <c r="H302" s="126">
        <f t="shared" si="103"/>
        <v>0</v>
      </c>
      <c r="I302" s="126">
        <f t="shared" si="103"/>
        <v>0</v>
      </c>
      <c r="J302" s="126">
        <f t="shared" si="103"/>
        <v>0</v>
      </c>
      <c r="K302" s="126">
        <f t="shared" si="103"/>
        <v>0</v>
      </c>
      <c r="L302" s="127">
        <f t="shared" si="103"/>
        <v>0</v>
      </c>
    </row>
    <row r="303" spans="3:12" ht="15.6" hidden="1">
      <c r="C303" s="39" t="str">
        <f t="shared" si="92"/>
        <v>H</v>
      </c>
      <c r="D303" s="45" t="str">
        <f>Parameter!C$20</f>
        <v>Pico 4</v>
      </c>
      <c r="E303" s="125">
        <f t="shared" ref="E303:L303" si="104">SUMIF(Y_VRPC_PR, E$10&amp;"_"&amp;$D289&amp;"_"&amp;$D303, VRPanelQ)</f>
        <v>0</v>
      </c>
      <c r="F303" s="126">
        <f t="shared" si="104"/>
        <v>0</v>
      </c>
      <c r="G303" s="126">
        <f t="shared" si="104"/>
        <v>0</v>
      </c>
      <c r="H303" s="126">
        <f t="shared" si="104"/>
        <v>0</v>
      </c>
      <c r="I303" s="126">
        <f t="shared" si="104"/>
        <v>0</v>
      </c>
      <c r="J303" s="126">
        <f t="shared" si="104"/>
        <v>0</v>
      </c>
      <c r="K303" s="126">
        <f t="shared" si="104"/>
        <v>0</v>
      </c>
      <c r="L303" s="127">
        <f t="shared" si="104"/>
        <v>0</v>
      </c>
    </row>
    <row r="304" spans="3:12" ht="15.6" hidden="1">
      <c r="C304" s="39" t="str">
        <f t="shared" si="92"/>
        <v>H</v>
      </c>
      <c r="D304" s="45" t="str">
        <f>Parameter!C$21</f>
        <v>Pimax VR</v>
      </c>
      <c r="E304" s="125">
        <f t="shared" ref="E304:L304" si="105">SUMIF(Y_VRPC_PR, E$10&amp;"_"&amp;$D289&amp;"_"&amp;$D304, VRPanelQ)</f>
        <v>0</v>
      </c>
      <c r="F304" s="126">
        <f t="shared" si="105"/>
        <v>0</v>
      </c>
      <c r="G304" s="126">
        <f t="shared" si="105"/>
        <v>0</v>
      </c>
      <c r="H304" s="126">
        <f t="shared" si="105"/>
        <v>0</v>
      </c>
      <c r="I304" s="126">
        <f t="shared" si="105"/>
        <v>0</v>
      </c>
      <c r="J304" s="126">
        <f t="shared" si="105"/>
        <v>0</v>
      </c>
      <c r="K304" s="126">
        <f t="shared" si="105"/>
        <v>0</v>
      </c>
      <c r="L304" s="127">
        <f t="shared" si="105"/>
        <v>0</v>
      </c>
    </row>
    <row r="305" spans="3:12" ht="15.6" hidden="1">
      <c r="C305" s="39" t="str">
        <f t="shared" si="92"/>
        <v>H</v>
      </c>
      <c r="D305" s="45" t="str">
        <f>Parameter!C$22</f>
        <v>PlayStation VR</v>
      </c>
      <c r="E305" s="125">
        <f t="shared" ref="E305:L305" si="106">SUMIF(Y_VRPC_PR, E$10&amp;"_"&amp;$D289&amp;"_"&amp;$D305, VRPanelQ)</f>
        <v>0</v>
      </c>
      <c r="F305" s="126">
        <f t="shared" si="106"/>
        <v>0</v>
      </c>
      <c r="G305" s="126">
        <f t="shared" si="106"/>
        <v>0</v>
      </c>
      <c r="H305" s="126">
        <f t="shared" si="106"/>
        <v>0</v>
      </c>
      <c r="I305" s="126">
        <f t="shared" si="106"/>
        <v>0</v>
      </c>
      <c r="J305" s="126">
        <f t="shared" si="106"/>
        <v>0</v>
      </c>
      <c r="K305" s="126">
        <f t="shared" si="106"/>
        <v>0</v>
      </c>
      <c r="L305" s="127">
        <f t="shared" si="106"/>
        <v>0</v>
      </c>
    </row>
    <row r="306" spans="3:12" ht="15.6" hidden="1">
      <c r="C306" s="39" t="str">
        <f t="shared" si="92"/>
        <v>H</v>
      </c>
      <c r="D306" s="45" t="str">
        <f>Parameter!C$23</f>
        <v>PlayStation VR2</v>
      </c>
      <c r="E306" s="125">
        <f t="shared" ref="E306:L306" si="107">SUMIF(Y_VRPC_PR, E$10&amp;"_"&amp;$D289&amp;"_"&amp;$D306, VRPanelQ)</f>
        <v>0</v>
      </c>
      <c r="F306" s="126">
        <f t="shared" si="107"/>
        <v>0</v>
      </c>
      <c r="G306" s="126">
        <f t="shared" si="107"/>
        <v>0</v>
      </c>
      <c r="H306" s="126">
        <f t="shared" si="107"/>
        <v>0</v>
      </c>
      <c r="I306" s="126">
        <f t="shared" si="107"/>
        <v>0</v>
      </c>
      <c r="J306" s="126">
        <f t="shared" si="107"/>
        <v>0</v>
      </c>
      <c r="K306" s="126">
        <f t="shared" si="107"/>
        <v>0</v>
      </c>
      <c r="L306" s="127">
        <f t="shared" si="107"/>
        <v>0</v>
      </c>
    </row>
    <row r="307" spans="3:12" ht="15.6" hidden="1">
      <c r="C307" s="39" t="str">
        <f t="shared" si="92"/>
        <v>H</v>
      </c>
      <c r="D307" s="45" t="str">
        <f>Parameter!C$24</f>
        <v>Project Moohan</v>
      </c>
      <c r="E307" s="125">
        <f t="shared" ref="E307:L307" si="108">SUMIF(Y_VRPC_PR, E$10&amp;"_"&amp;$D289&amp;"_"&amp;$D307, VRPanelQ)</f>
        <v>0</v>
      </c>
      <c r="F307" s="126">
        <f t="shared" si="108"/>
        <v>0</v>
      </c>
      <c r="G307" s="126">
        <f t="shared" si="108"/>
        <v>0</v>
      </c>
      <c r="H307" s="126">
        <f t="shared" si="108"/>
        <v>0</v>
      </c>
      <c r="I307" s="126">
        <f t="shared" si="108"/>
        <v>0</v>
      </c>
      <c r="J307" s="126">
        <f t="shared" si="108"/>
        <v>0</v>
      </c>
      <c r="K307" s="126">
        <f t="shared" si="108"/>
        <v>0</v>
      </c>
      <c r="L307" s="127">
        <f t="shared" si="108"/>
        <v>0</v>
      </c>
    </row>
    <row r="308" spans="3:12" ht="15.6" hidden="1">
      <c r="C308" s="39" t="str">
        <f t="shared" si="92"/>
        <v>H</v>
      </c>
      <c r="D308" s="45" t="str">
        <f>Parameter!C$25</f>
        <v>Quest</v>
      </c>
      <c r="E308" s="125">
        <f t="shared" ref="E308:L308" si="109">SUMIF(Y_VRPC_PR, E$10&amp;"_"&amp;$D289&amp;"_"&amp;$D308, VRPanelQ)</f>
        <v>0</v>
      </c>
      <c r="F308" s="126">
        <f t="shared" si="109"/>
        <v>0</v>
      </c>
      <c r="G308" s="126">
        <f t="shared" si="109"/>
        <v>0</v>
      </c>
      <c r="H308" s="126">
        <f t="shared" si="109"/>
        <v>0</v>
      </c>
      <c r="I308" s="126">
        <f t="shared" si="109"/>
        <v>0</v>
      </c>
      <c r="J308" s="126">
        <f t="shared" si="109"/>
        <v>0</v>
      </c>
      <c r="K308" s="126">
        <f t="shared" si="109"/>
        <v>0</v>
      </c>
      <c r="L308" s="127">
        <f t="shared" si="109"/>
        <v>0</v>
      </c>
    </row>
    <row r="309" spans="3:12" ht="15.6" hidden="1">
      <c r="C309" s="39" t="str">
        <f t="shared" si="92"/>
        <v>H</v>
      </c>
      <c r="D309" s="45" t="str">
        <f>Parameter!C$26</f>
        <v>Quest 2</v>
      </c>
      <c r="E309" s="125">
        <f t="shared" ref="E309:L309" si="110">SUMIF(Y_VRPC_PR, E$10&amp;"_"&amp;$D289&amp;"_"&amp;$D309, VRPanelQ)</f>
        <v>0</v>
      </c>
      <c r="F309" s="126">
        <f t="shared" si="110"/>
        <v>0</v>
      </c>
      <c r="G309" s="126">
        <f t="shared" si="110"/>
        <v>0</v>
      </c>
      <c r="H309" s="126">
        <f t="shared" si="110"/>
        <v>0</v>
      </c>
      <c r="I309" s="126">
        <f t="shared" si="110"/>
        <v>0</v>
      </c>
      <c r="J309" s="126">
        <f t="shared" si="110"/>
        <v>0</v>
      </c>
      <c r="K309" s="126">
        <f t="shared" si="110"/>
        <v>0</v>
      </c>
      <c r="L309" s="127">
        <f t="shared" si="110"/>
        <v>0</v>
      </c>
    </row>
    <row r="310" spans="3:12" ht="15.6" hidden="1">
      <c r="C310" s="39" t="str">
        <f t="shared" si="92"/>
        <v>H</v>
      </c>
      <c r="D310" s="45" t="str">
        <f>Parameter!C$27</f>
        <v>Quest 3</v>
      </c>
      <c r="E310" s="125">
        <f t="shared" ref="E310:L310" si="111">SUMIF(Y_VRPC_PR, E$10&amp;"_"&amp;$D289&amp;"_"&amp;$D310, VRPanelQ)</f>
        <v>0</v>
      </c>
      <c r="F310" s="126">
        <f t="shared" si="111"/>
        <v>0</v>
      </c>
      <c r="G310" s="126">
        <f t="shared" si="111"/>
        <v>0</v>
      </c>
      <c r="H310" s="126">
        <f t="shared" si="111"/>
        <v>0</v>
      </c>
      <c r="I310" s="126">
        <f t="shared" si="111"/>
        <v>0</v>
      </c>
      <c r="J310" s="126">
        <f t="shared" si="111"/>
        <v>0</v>
      </c>
      <c r="K310" s="126">
        <f t="shared" si="111"/>
        <v>0</v>
      </c>
      <c r="L310" s="127">
        <f t="shared" si="111"/>
        <v>0</v>
      </c>
    </row>
    <row r="311" spans="3:12" ht="15.6" hidden="1">
      <c r="C311" s="39" t="str">
        <f t="shared" si="92"/>
        <v>H</v>
      </c>
      <c r="D311" s="45" t="str">
        <f>Parameter!C$28</f>
        <v>Quest 3S</v>
      </c>
      <c r="E311" s="125">
        <f t="shared" ref="E311:L311" si="112">SUMIF(Y_VRPC_PR, E$10&amp;"_"&amp;$D289&amp;"_"&amp;$D311, VRPanelQ)</f>
        <v>0</v>
      </c>
      <c r="F311" s="126">
        <f t="shared" si="112"/>
        <v>0</v>
      </c>
      <c r="G311" s="126">
        <f t="shared" si="112"/>
        <v>0</v>
      </c>
      <c r="H311" s="126">
        <f t="shared" si="112"/>
        <v>0</v>
      </c>
      <c r="I311" s="126">
        <f t="shared" si="112"/>
        <v>0</v>
      </c>
      <c r="J311" s="126">
        <f t="shared" si="112"/>
        <v>0</v>
      </c>
      <c r="K311" s="126">
        <f t="shared" si="112"/>
        <v>0</v>
      </c>
      <c r="L311" s="127">
        <f t="shared" si="112"/>
        <v>0</v>
      </c>
    </row>
    <row r="312" spans="3:12" ht="15.6" hidden="1">
      <c r="C312" s="39" t="str">
        <f t="shared" si="92"/>
        <v>H</v>
      </c>
      <c r="D312" s="45" t="str">
        <f>Parameter!C$29</f>
        <v>Quest Pro</v>
      </c>
      <c r="E312" s="125">
        <f t="shared" ref="E312:L312" si="113">SUMIF(Y_VRPC_PR, E$10&amp;"_"&amp;$D289&amp;"_"&amp;$D312, VRPanelQ)</f>
        <v>0</v>
      </c>
      <c r="F312" s="126">
        <f t="shared" si="113"/>
        <v>0</v>
      </c>
      <c r="G312" s="126">
        <f t="shared" si="113"/>
        <v>0</v>
      </c>
      <c r="H312" s="126">
        <f t="shared" si="113"/>
        <v>0</v>
      </c>
      <c r="I312" s="126">
        <f t="shared" si="113"/>
        <v>0</v>
      </c>
      <c r="J312" s="126">
        <f t="shared" si="113"/>
        <v>0</v>
      </c>
      <c r="K312" s="126">
        <f t="shared" si="113"/>
        <v>0</v>
      </c>
      <c r="L312" s="127">
        <f t="shared" si="113"/>
        <v>0</v>
      </c>
    </row>
    <row r="313" spans="3:12" ht="15.6" hidden="1">
      <c r="C313" s="39" t="str">
        <f t="shared" si="92"/>
        <v>H</v>
      </c>
      <c r="D313" s="45" t="str">
        <f>Parameter!C$30</f>
        <v>R1</v>
      </c>
      <c r="E313" s="125">
        <f t="shared" ref="E313:L313" si="114">SUMIF(Y_VRPC_PR, E$10&amp;"_"&amp;$D289&amp;"_"&amp;$D313, VRPanelQ)</f>
        <v>0</v>
      </c>
      <c r="F313" s="126">
        <f t="shared" si="114"/>
        <v>0</v>
      </c>
      <c r="G313" s="126">
        <f t="shared" si="114"/>
        <v>0</v>
      </c>
      <c r="H313" s="126">
        <f t="shared" si="114"/>
        <v>0</v>
      </c>
      <c r="I313" s="126">
        <f t="shared" si="114"/>
        <v>0</v>
      </c>
      <c r="J313" s="126">
        <f t="shared" si="114"/>
        <v>0</v>
      </c>
      <c r="K313" s="126">
        <f t="shared" si="114"/>
        <v>0</v>
      </c>
      <c r="L313" s="127">
        <f t="shared" si="114"/>
        <v>0</v>
      </c>
    </row>
    <row r="314" spans="3:12" ht="15.6" hidden="1">
      <c r="C314" s="39" t="str">
        <f t="shared" si="92"/>
        <v>H</v>
      </c>
      <c r="D314" s="45" t="str">
        <f>Parameter!C$31</f>
        <v>Reverb</v>
      </c>
      <c r="E314" s="125">
        <f t="shared" ref="E314:L314" si="115">SUMIF(Y_VRPC_PR, E$10&amp;"_"&amp;$D289&amp;"_"&amp;$D314, VRPanelQ)</f>
        <v>0</v>
      </c>
      <c r="F314" s="126">
        <f t="shared" si="115"/>
        <v>0</v>
      </c>
      <c r="G314" s="126">
        <f t="shared" si="115"/>
        <v>0</v>
      </c>
      <c r="H314" s="126">
        <f t="shared" si="115"/>
        <v>0</v>
      </c>
      <c r="I314" s="126">
        <f t="shared" si="115"/>
        <v>0</v>
      </c>
      <c r="J314" s="126">
        <f t="shared" si="115"/>
        <v>0</v>
      </c>
      <c r="K314" s="126">
        <f t="shared" si="115"/>
        <v>0</v>
      </c>
      <c r="L314" s="127">
        <f t="shared" si="115"/>
        <v>0</v>
      </c>
    </row>
    <row r="315" spans="3:12" ht="15.6" hidden="1">
      <c r="C315" s="39" t="str">
        <f t="shared" si="92"/>
        <v>H</v>
      </c>
      <c r="D315" s="45" t="str">
        <f>Parameter!C$32</f>
        <v>Reverb G2</v>
      </c>
      <c r="E315" s="125">
        <f t="shared" ref="E315:L315" si="116">SUMIF(Y_VRPC_PR, E$10&amp;"_"&amp;$D289&amp;"_"&amp;$D315, VRPanelQ)</f>
        <v>0</v>
      </c>
      <c r="F315" s="126">
        <f t="shared" si="116"/>
        <v>0</v>
      </c>
      <c r="G315" s="126">
        <f t="shared" si="116"/>
        <v>0</v>
      </c>
      <c r="H315" s="126">
        <f t="shared" si="116"/>
        <v>0</v>
      </c>
      <c r="I315" s="126">
        <f t="shared" si="116"/>
        <v>0</v>
      </c>
      <c r="J315" s="126">
        <f t="shared" si="116"/>
        <v>0</v>
      </c>
      <c r="K315" s="126">
        <f t="shared" si="116"/>
        <v>0</v>
      </c>
      <c r="L315" s="127">
        <f t="shared" si="116"/>
        <v>0</v>
      </c>
    </row>
    <row r="316" spans="3:12" ht="15.6" hidden="1">
      <c r="C316" s="39" t="str">
        <f t="shared" si="92"/>
        <v>H</v>
      </c>
      <c r="D316" s="45" t="str">
        <f>Parameter!C$33</f>
        <v>Rift S</v>
      </c>
      <c r="E316" s="125">
        <f t="shared" ref="E316:L316" si="117">SUMIF(Y_VRPC_PR, E$10&amp;"_"&amp;$D289&amp;"_"&amp;$D316, VRPanelQ)</f>
        <v>0</v>
      </c>
      <c r="F316" s="126">
        <f t="shared" si="117"/>
        <v>0</v>
      </c>
      <c r="G316" s="126">
        <f t="shared" si="117"/>
        <v>0</v>
      </c>
      <c r="H316" s="126">
        <f t="shared" si="117"/>
        <v>0</v>
      </c>
      <c r="I316" s="126">
        <f t="shared" si="117"/>
        <v>0</v>
      </c>
      <c r="J316" s="126">
        <f t="shared" si="117"/>
        <v>0</v>
      </c>
      <c r="K316" s="126">
        <f t="shared" si="117"/>
        <v>0</v>
      </c>
      <c r="L316" s="127">
        <f t="shared" si="117"/>
        <v>0</v>
      </c>
    </row>
    <row r="317" spans="3:12" ht="15.6" hidden="1">
      <c r="C317" s="39" t="str">
        <f t="shared" si="92"/>
        <v>H</v>
      </c>
      <c r="D317" s="45" t="str">
        <f>Parameter!C$34</f>
        <v>Single LCD VR headset</v>
      </c>
      <c r="E317" s="125">
        <f t="shared" ref="E317:L317" si="118">SUMIF(Y_VRPC_PR, E$10&amp;"_"&amp;$D289&amp;"_"&amp;$D317, VRPanelQ)</f>
        <v>0</v>
      </c>
      <c r="F317" s="126">
        <f t="shared" si="118"/>
        <v>0</v>
      </c>
      <c r="G317" s="126">
        <f t="shared" si="118"/>
        <v>0</v>
      </c>
      <c r="H317" s="126">
        <f t="shared" si="118"/>
        <v>0</v>
      </c>
      <c r="I317" s="126">
        <f t="shared" si="118"/>
        <v>0</v>
      </c>
      <c r="J317" s="126">
        <f t="shared" si="118"/>
        <v>0</v>
      </c>
      <c r="K317" s="126">
        <f t="shared" si="118"/>
        <v>0</v>
      </c>
      <c r="L317" s="127">
        <f t="shared" si="118"/>
        <v>0</v>
      </c>
    </row>
    <row r="318" spans="3:12" ht="15.6" hidden="1">
      <c r="C318" s="39" t="str">
        <f t="shared" si="92"/>
        <v>H</v>
      </c>
      <c r="D318" s="45" t="str">
        <f>Parameter!C$35</f>
        <v>ThinkReality VRX</v>
      </c>
      <c r="E318" s="125">
        <f t="shared" ref="E318:L318" si="119">SUMIF(Y_VRPC_PR, E$10&amp;"_"&amp;$D289&amp;"_"&amp;$D318, VRPanelQ)</f>
        <v>0</v>
      </c>
      <c r="F318" s="126">
        <f t="shared" si="119"/>
        <v>0</v>
      </c>
      <c r="G318" s="126">
        <f t="shared" si="119"/>
        <v>0</v>
      </c>
      <c r="H318" s="126">
        <f t="shared" si="119"/>
        <v>0</v>
      </c>
      <c r="I318" s="126">
        <f t="shared" si="119"/>
        <v>0</v>
      </c>
      <c r="J318" s="126">
        <f t="shared" si="119"/>
        <v>0</v>
      </c>
      <c r="K318" s="126">
        <f t="shared" si="119"/>
        <v>0</v>
      </c>
      <c r="L318" s="127">
        <f t="shared" si="119"/>
        <v>0</v>
      </c>
    </row>
    <row r="319" spans="3:12" ht="15.6" hidden="1">
      <c r="C319" s="39" t="str">
        <f t="shared" si="92"/>
        <v>H</v>
      </c>
      <c r="D319" s="45" t="str">
        <f>Parameter!C$36</f>
        <v>Vision Pro</v>
      </c>
      <c r="E319" s="125">
        <f t="shared" ref="E319:L319" si="120">SUMIF(Y_VRPC_PR, E$10&amp;"_"&amp;$D289&amp;"_"&amp;$D319, VRPanelQ)</f>
        <v>0</v>
      </c>
      <c r="F319" s="126">
        <f t="shared" si="120"/>
        <v>0</v>
      </c>
      <c r="G319" s="126">
        <f t="shared" si="120"/>
        <v>0</v>
      </c>
      <c r="H319" s="126">
        <f t="shared" si="120"/>
        <v>0</v>
      </c>
      <c r="I319" s="126">
        <f t="shared" si="120"/>
        <v>0</v>
      </c>
      <c r="J319" s="126">
        <f t="shared" si="120"/>
        <v>0</v>
      </c>
      <c r="K319" s="126">
        <f t="shared" si="120"/>
        <v>0</v>
      </c>
      <c r="L319" s="127">
        <f t="shared" si="120"/>
        <v>0</v>
      </c>
    </row>
    <row r="320" spans="3:12" ht="15.6" hidden="1">
      <c r="C320" s="39" t="str">
        <f t="shared" si="92"/>
        <v>H</v>
      </c>
      <c r="D320" s="45" t="str">
        <f>Parameter!C$37</f>
        <v>Vive LCD headsets</v>
      </c>
      <c r="E320" s="125">
        <f t="shared" ref="E320:L320" si="121">SUMIF(Y_VRPC_PR, E$10&amp;"_"&amp;$D289&amp;"_"&amp;$D320, VRPanelQ)</f>
        <v>0</v>
      </c>
      <c r="F320" s="126">
        <f t="shared" si="121"/>
        <v>0</v>
      </c>
      <c r="G320" s="126">
        <f t="shared" si="121"/>
        <v>0</v>
      </c>
      <c r="H320" s="126">
        <f t="shared" si="121"/>
        <v>0</v>
      </c>
      <c r="I320" s="126">
        <f t="shared" si="121"/>
        <v>0</v>
      </c>
      <c r="J320" s="126">
        <f t="shared" si="121"/>
        <v>0</v>
      </c>
      <c r="K320" s="126">
        <f t="shared" si="121"/>
        <v>0</v>
      </c>
      <c r="L320" s="127">
        <f t="shared" si="121"/>
        <v>0</v>
      </c>
    </row>
    <row r="321" spans="3:12" ht="15.6" hidden="1">
      <c r="C321" s="39" t="str">
        <f t="shared" si="92"/>
        <v>H</v>
      </c>
      <c r="D321" s="45" t="str">
        <f>Parameter!C$38</f>
        <v>VR1</v>
      </c>
      <c r="E321" s="125">
        <f t="shared" ref="E321:L321" si="122">SUMIF(Y_VRPC_PR, E$10&amp;"_"&amp;$D289&amp;"_"&amp;$D321, VRPanelQ)</f>
        <v>0</v>
      </c>
      <c r="F321" s="126">
        <f t="shared" si="122"/>
        <v>0</v>
      </c>
      <c r="G321" s="126">
        <f t="shared" si="122"/>
        <v>0</v>
      </c>
      <c r="H321" s="126">
        <f t="shared" si="122"/>
        <v>0</v>
      </c>
      <c r="I321" s="126">
        <f t="shared" si="122"/>
        <v>0</v>
      </c>
      <c r="J321" s="126">
        <f t="shared" si="122"/>
        <v>0</v>
      </c>
      <c r="K321" s="126">
        <f t="shared" si="122"/>
        <v>0</v>
      </c>
      <c r="L321" s="127">
        <f t="shared" si="122"/>
        <v>0</v>
      </c>
    </row>
    <row r="322" spans="3:12" ht="15.6" hidden="1">
      <c r="C322" s="39" t="str">
        <f t="shared" si="92"/>
        <v>H</v>
      </c>
      <c r="D322" s="45" t="str">
        <f>Parameter!C$39</f>
        <v>XR-4</v>
      </c>
      <c r="E322" s="125">
        <f t="shared" ref="E322:L322" si="123">SUMIF(Y_VRPC_PR, E$10&amp;"_"&amp;$D289&amp;"_"&amp;$D322, VRPanelQ)</f>
        <v>0</v>
      </c>
      <c r="F322" s="126">
        <f t="shared" si="123"/>
        <v>0</v>
      </c>
      <c r="G322" s="126">
        <f t="shared" si="123"/>
        <v>0</v>
      </c>
      <c r="H322" s="126">
        <f t="shared" si="123"/>
        <v>0</v>
      </c>
      <c r="I322" s="126">
        <f t="shared" si="123"/>
        <v>0</v>
      </c>
      <c r="J322" s="126">
        <f t="shared" si="123"/>
        <v>0</v>
      </c>
      <c r="K322" s="126">
        <f t="shared" si="123"/>
        <v>0</v>
      </c>
      <c r="L322" s="127">
        <f t="shared" si="123"/>
        <v>0</v>
      </c>
    </row>
    <row r="323" spans="3:12" ht="15.6" hidden="1">
      <c r="C323" s="39" t="str">
        <f t="shared" si="92"/>
        <v>H</v>
      </c>
      <c r="D323" s="45">
        <f>Parameter!C$40</f>
        <v>0</v>
      </c>
      <c r="E323" s="125">
        <f t="shared" ref="E323:L323" si="124">SUMIF(Y_VRPC_PR, E$10&amp;"_"&amp;$D289&amp;"_"&amp;$D323, VRPanelQ)</f>
        <v>0</v>
      </c>
      <c r="F323" s="126">
        <f t="shared" si="124"/>
        <v>0</v>
      </c>
      <c r="G323" s="126">
        <f t="shared" si="124"/>
        <v>0</v>
      </c>
      <c r="H323" s="126">
        <f t="shared" si="124"/>
        <v>0</v>
      </c>
      <c r="I323" s="126">
        <f t="shared" si="124"/>
        <v>0</v>
      </c>
      <c r="J323" s="126">
        <f t="shared" si="124"/>
        <v>0</v>
      </c>
      <c r="K323" s="126">
        <f t="shared" si="124"/>
        <v>0</v>
      </c>
      <c r="L323" s="127">
        <f t="shared" si="124"/>
        <v>0</v>
      </c>
    </row>
    <row r="324" spans="3:12" ht="15.6" hidden="1">
      <c r="C324" s="39" t="str">
        <f t="shared" si="92"/>
        <v>H</v>
      </c>
      <c r="D324" s="45">
        <f>Parameter!C$41</f>
        <v>0</v>
      </c>
      <c r="E324" s="125">
        <f t="shared" ref="E324:L324" si="125">SUMIF(Y_VRPC_PR, E$10&amp;"_"&amp;$D289&amp;"_"&amp;$D324, VRPanelQ)</f>
        <v>0</v>
      </c>
      <c r="F324" s="126">
        <f t="shared" si="125"/>
        <v>0</v>
      </c>
      <c r="G324" s="126">
        <f t="shared" si="125"/>
        <v>0</v>
      </c>
      <c r="H324" s="126">
        <f t="shared" si="125"/>
        <v>0</v>
      </c>
      <c r="I324" s="126">
        <f t="shared" si="125"/>
        <v>0</v>
      </c>
      <c r="J324" s="126">
        <f t="shared" si="125"/>
        <v>0</v>
      </c>
      <c r="K324" s="126">
        <f t="shared" si="125"/>
        <v>0</v>
      </c>
      <c r="L324" s="127">
        <f t="shared" si="125"/>
        <v>0</v>
      </c>
    </row>
    <row r="325" spans="3:12" ht="15.6" hidden="1">
      <c r="C325" s="39" t="str">
        <f t="shared" si="92"/>
        <v>H</v>
      </c>
      <c r="D325" s="45">
        <f>Parameter!C$42</f>
        <v>0</v>
      </c>
      <c r="E325" s="125">
        <f t="shared" ref="E325:L325" si="126">SUMIF(Y_VRPC_PR, E$10&amp;"_"&amp;$D289&amp;"_"&amp;$D325, VRPanelQ)</f>
        <v>0</v>
      </c>
      <c r="F325" s="126">
        <f t="shared" si="126"/>
        <v>0</v>
      </c>
      <c r="G325" s="126">
        <f t="shared" si="126"/>
        <v>0</v>
      </c>
      <c r="H325" s="126">
        <f t="shared" si="126"/>
        <v>0</v>
      </c>
      <c r="I325" s="126">
        <f t="shared" si="126"/>
        <v>0</v>
      </c>
      <c r="J325" s="126">
        <f t="shared" si="126"/>
        <v>0</v>
      </c>
      <c r="K325" s="126">
        <f t="shared" si="126"/>
        <v>0</v>
      </c>
      <c r="L325" s="127">
        <f t="shared" si="126"/>
        <v>0</v>
      </c>
    </row>
    <row r="326" spans="3:12" ht="15.6" hidden="1">
      <c r="C326" s="39" t="str">
        <f t="shared" si="92"/>
        <v>H</v>
      </c>
      <c r="D326" s="45">
        <f>Parameter!C$43</f>
        <v>0</v>
      </c>
      <c r="E326" s="125">
        <f t="shared" ref="E326:L326" si="127">SUMIF(Y_VRPC_PR, E$10&amp;"_"&amp;$D289&amp;"_"&amp;$D326, VRPanelQ)</f>
        <v>0</v>
      </c>
      <c r="F326" s="126">
        <f t="shared" si="127"/>
        <v>0</v>
      </c>
      <c r="G326" s="126">
        <f t="shared" si="127"/>
        <v>0</v>
      </c>
      <c r="H326" s="126">
        <f t="shared" si="127"/>
        <v>0</v>
      </c>
      <c r="I326" s="126">
        <f t="shared" si="127"/>
        <v>0</v>
      </c>
      <c r="J326" s="126">
        <f t="shared" si="127"/>
        <v>0</v>
      </c>
      <c r="K326" s="126">
        <f t="shared" si="127"/>
        <v>0</v>
      </c>
      <c r="L326" s="127">
        <f t="shared" si="127"/>
        <v>0</v>
      </c>
    </row>
    <row r="327" spans="3:12" ht="15.6" hidden="1">
      <c r="C327" s="39" t="str">
        <f t="shared" si="92"/>
        <v>H</v>
      </c>
      <c r="D327" s="45">
        <f>Parameter!C$44</f>
        <v>0</v>
      </c>
      <c r="E327" s="125">
        <f t="shared" ref="E327:L327" si="128">SUMIF(Y_VRPC_PR, E$10&amp;"_"&amp;$D289&amp;"_"&amp;$D327, VRPanelQ)</f>
        <v>0</v>
      </c>
      <c r="F327" s="126">
        <f t="shared" si="128"/>
        <v>0</v>
      </c>
      <c r="G327" s="126">
        <f t="shared" si="128"/>
        <v>0</v>
      </c>
      <c r="H327" s="126">
        <f t="shared" si="128"/>
        <v>0</v>
      </c>
      <c r="I327" s="126">
        <f t="shared" si="128"/>
        <v>0</v>
      </c>
      <c r="J327" s="126">
        <f t="shared" si="128"/>
        <v>0</v>
      </c>
      <c r="K327" s="126">
        <f t="shared" si="128"/>
        <v>0</v>
      </c>
      <c r="L327" s="127">
        <f t="shared" si="128"/>
        <v>0</v>
      </c>
    </row>
    <row r="328" spans="3:12" ht="15.6" hidden="1">
      <c r="C328" s="39" t="str">
        <f t="shared" si="92"/>
        <v>H</v>
      </c>
      <c r="D328" s="45">
        <f>Parameter!C$45</f>
        <v>0</v>
      </c>
      <c r="E328" s="125">
        <f t="shared" ref="E328:L328" si="129">SUMIF(Y_VRPC_PR, E$10&amp;"_"&amp;$D289&amp;"_"&amp;$D328, VRPanelQ)</f>
        <v>0</v>
      </c>
      <c r="F328" s="126">
        <f t="shared" si="129"/>
        <v>0</v>
      </c>
      <c r="G328" s="126">
        <f t="shared" si="129"/>
        <v>0</v>
      </c>
      <c r="H328" s="126">
        <f t="shared" si="129"/>
        <v>0</v>
      </c>
      <c r="I328" s="126">
        <f t="shared" si="129"/>
        <v>0</v>
      </c>
      <c r="J328" s="126">
        <f t="shared" si="129"/>
        <v>0</v>
      </c>
      <c r="K328" s="126">
        <f t="shared" si="129"/>
        <v>0</v>
      </c>
      <c r="L328" s="127">
        <f t="shared" si="129"/>
        <v>0</v>
      </c>
    </row>
    <row r="329" spans="3:12" ht="15.6" hidden="1">
      <c r="C329" s="39" t="str">
        <f t="shared" si="92"/>
        <v>H</v>
      </c>
      <c r="D329" s="45">
        <f>Parameter!C$46</f>
        <v>0</v>
      </c>
      <c r="E329" s="125">
        <f t="shared" ref="E329:L329" si="130">SUMIF(Y_VRPC_PR, E$10&amp;"_"&amp;$D289&amp;"_"&amp;$D329, VRPanelQ)</f>
        <v>0</v>
      </c>
      <c r="F329" s="126">
        <f t="shared" si="130"/>
        <v>0</v>
      </c>
      <c r="G329" s="126">
        <f t="shared" si="130"/>
        <v>0</v>
      </c>
      <c r="H329" s="126">
        <f t="shared" si="130"/>
        <v>0</v>
      </c>
      <c r="I329" s="126">
        <f t="shared" si="130"/>
        <v>0</v>
      </c>
      <c r="J329" s="126">
        <f t="shared" si="130"/>
        <v>0</v>
      </c>
      <c r="K329" s="126">
        <f t="shared" si="130"/>
        <v>0</v>
      </c>
      <c r="L329" s="127">
        <f t="shared" si="130"/>
        <v>0</v>
      </c>
    </row>
    <row r="330" spans="3:12" ht="15.6" hidden="1">
      <c r="C330" s="39" t="str">
        <f t="shared" si="92"/>
        <v>H</v>
      </c>
      <c r="D330" s="45">
        <f>Parameter!C$47</f>
        <v>0</v>
      </c>
      <c r="E330" s="125">
        <f t="shared" ref="E330:L330" si="131">SUMIF(Y_VRPC_PR, E$10&amp;"_"&amp;$D289&amp;"_"&amp;$D330, VRPanelQ)</f>
        <v>0</v>
      </c>
      <c r="F330" s="126">
        <f t="shared" si="131"/>
        <v>0</v>
      </c>
      <c r="G330" s="126">
        <f t="shared" si="131"/>
        <v>0</v>
      </c>
      <c r="H330" s="126">
        <f t="shared" si="131"/>
        <v>0</v>
      </c>
      <c r="I330" s="126">
        <f t="shared" si="131"/>
        <v>0</v>
      </c>
      <c r="J330" s="126">
        <f t="shared" si="131"/>
        <v>0</v>
      </c>
      <c r="K330" s="126">
        <f t="shared" si="131"/>
        <v>0</v>
      </c>
      <c r="L330" s="127">
        <f t="shared" si="131"/>
        <v>0</v>
      </c>
    </row>
    <row r="331" spans="3:12" ht="15.6" hidden="1">
      <c r="C331" s="39" t="str">
        <f t="shared" si="92"/>
        <v>H</v>
      </c>
      <c r="D331" s="45">
        <f>Parameter!C$48</f>
        <v>0</v>
      </c>
      <c r="E331" s="125">
        <f t="shared" ref="E331:L331" si="132">SUMIF(Y_VRPC_PR, E$10&amp;"_"&amp;$D289&amp;"_"&amp;$D331, VRPanelQ)</f>
        <v>0</v>
      </c>
      <c r="F331" s="126">
        <f t="shared" si="132"/>
        <v>0</v>
      </c>
      <c r="G331" s="126">
        <f t="shared" si="132"/>
        <v>0</v>
      </c>
      <c r="H331" s="126">
        <f t="shared" si="132"/>
        <v>0</v>
      </c>
      <c r="I331" s="126">
        <f t="shared" si="132"/>
        <v>0</v>
      </c>
      <c r="J331" s="126">
        <f t="shared" si="132"/>
        <v>0</v>
      </c>
      <c r="K331" s="126">
        <f t="shared" si="132"/>
        <v>0</v>
      </c>
      <c r="L331" s="127">
        <f t="shared" si="132"/>
        <v>0</v>
      </c>
    </row>
    <row r="332" spans="3:12" ht="15.6" hidden="1">
      <c r="C332" s="39" t="str">
        <f t="shared" si="92"/>
        <v>H</v>
      </c>
      <c r="D332" s="45">
        <f>Parameter!C$49</f>
        <v>0</v>
      </c>
      <c r="E332" s="125">
        <f t="shared" ref="E332:L332" si="133">SUMIF(Y_VRPC_PR, E$10&amp;"_"&amp;$D289&amp;"_"&amp;$D332, VRPanelQ)</f>
        <v>0</v>
      </c>
      <c r="F332" s="126">
        <f t="shared" si="133"/>
        <v>0</v>
      </c>
      <c r="G332" s="126">
        <f t="shared" si="133"/>
        <v>0</v>
      </c>
      <c r="H332" s="126">
        <f t="shared" si="133"/>
        <v>0</v>
      </c>
      <c r="I332" s="126">
        <f t="shared" si="133"/>
        <v>0</v>
      </c>
      <c r="J332" s="126">
        <f t="shared" si="133"/>
        <v>0</v>
      </c>
      <c r="K332" s="126">
        <f t="shared" si="133"/>
        <v>0</v>
      </c>
      <c r="L332" s="127">
        <f t="shared" si="133"/>
        <v>0</v>
      </c>
    </row>
    <row r="333" spans="3:12" ht="15.6" hidden="1">
      <c r="C333" s="39" t="str">
        <f t="shared" si="92"/>
        <v>H</v>
      </c>
      <c r="D333" s="45">
        <f>Parameter!C$50</f>
        <v>0</v>
      </c>
      <c r="E333" s="125">
        <f t="shared" ref="E333:L333" si="134">SUMIF(Y_VRPC_PR, E$10&amp;"_"&amp;$D289&amp;"_"&amp;$D333, VRPanelQ)</f>
        <v>0</v>
      </c>
      <c r="F333" s="126">
        <f t="shared" si="134"/>
        <v>0</v>
      </c>
      <c r="G333" s="126">
        <f t="shared" si="134"/>
        <v>0</v>
      </c>
      <c r="H333" s="126">
        <f t="shared" si="134"/>
        <v>0</v>
      </c>
      <c r="I333" s="126">
        <f t="shared" si="134"/>
        <v>0</v>
      </c>
      <c r="J333" s="126">
        <f t="shared" si="134"/>
        <v>0</v>
      </c>
      <c r="K333" s="126">
        <f t="shared" si="134"/>
        <v>0</v>
      </c>
      <c r="L333" s="127">
        <f t="shared" si="134"/>
        <v>0</v>
      </c>
    </row>
    <row r="334" spans="3:12" ht="15.6" hidden="1">
      <c r="C334" s="39" t="str">
        <f t="shared" si="92"/>
        <v>H</v>
      </c>
      <c r="D334" s="45">
        <f>Parameter!C$51</f>
        <v>0</v>
      </c>
      <c r="E334" s="125">
        <f t="shared" ref="E334:L334" si="135">SUMIF(Y_VRPC_PR, E$10&amp;"_"&amp;$D289&amp;"_"&amp;$D334, VRPanelQ)</f>
        <v>0</v>
      </c>
      <c r="F334" s="126">
        <f t="shared" si="135"/>
        <v>0</v>
      </c>
      <c r="G334" s="126">
        <f t="shared" si="135"/>
        <v>0</v>
      </c>
      <c r="H334" s="126">
        <f t="shared" si="135"/>
        <v>0</v>
      </c>
      <c r="I334" s="126">
        <f t="shared" si="135"/>
        <v>0</v>
      </c>
      <c r="J334" s="126">
        <f t="shared" si="135"/>
        <v>0</v>
      </c>
      <c r="K334" s="126">
        <f t="shared" si="135"/>
        <v>0</v>
      </c>
      <c r="L334" s="127">
        <f t="shared" si="135"/>
        <v>0</v>
      </c>
    </row>
    <row r="335" spans="3:12" ht="15.6" hidden="1">
      <c r="C335" s="39" t="str">
        <f t="shared" si="92"/>
        <v>H</v>
      </c>
      <c r="D335" s="45">
        <f>Parameter!C$52</f>
        <v>0</v>
      </c>
      <c r="E335" s="125">
        <f t="shared" ref="E335:L335" si="136">SUMIF(Y_VRPC_PR, E$10&amp;"_"&amp;$D289&amp;"_"&amp;$D335, VRPanelQ)</f>
        <v>0</v>
      </c>
      <c r="F335" s="126">
        <f t="shared" si="136"/>
        <v>0</v>
      </c>
      <c r="G335" s="126">
        <f t="shared" si="136"/>
        <v>0</v>
      </c>
      <c r="H335" s="126">
        <f t="shared" si="136"/>
        <v>0</v>
      </c>
      <c r="I335" s="126">
        <f t="shared" si="136"/>
        <v>0</v>
      </c>
      <c r="J335" s="126">
        <f t="shared" si="136"/>
        <v>0</v>
      </c>
      <c r="K335" s="126">
        <f t="shared" si="136"/>
        <v>0</v>
      </c>
      <c r="L335" s="127">
        <f t="shared" si="136"/>
        <v>0</v>
      </c>
    </row>
    <row r="336" spans="3:12" ht="15.6" hidden="1">
      <c r="C336" s="39" t="str">
        <f t="shared" si="92"/>
        <v>H</v>
      </c>
      <c r="D336" s="45">
        <f>Parameter!C$53</f>
        <v>0</v>
      </c>
      <c r="E336" s="125">
        <f t="shared" ref="E336:L336" si="137">SUMIF(Y_VRPC_PR, E$10&amp;"_"&amp;$D289&amp;"_"&amp;$D336, VRPanelQ)</f>
        <v>0</v>
      </c>
      <c r="F336" s="126">
        <f t="shared" si="137"/>
        <v>0</v>
      </c>
      <c r="G336" s="126">
        <f t="shared" si="137"/>
        <v>0</v>
      </c>
      <c r="H336" s="126">
        <f t="shared" si="137"/>
        <v>0</v>
      </c>
      <c r="I336" s="126">
        <f t="shared" si="137"/>
        <v>0</v>
      </c>
      <c r="J336" s="126">
        <f t="shared" si="137"/>
        <v>0</v>
      </c>
      <c r="K336" s="126">
        <f t="shared" si="137"/>
        <v>0</v>
      </c>
      <c r="L336" s="127">
        <f t="shared" si="137"/>
        <v>0</v>
      </c>
    </row>
    <row r="337" spans="3:12" ht="15.6" hidden="1">
      <c r="C337" s="39" t="str">
        <f t="shared" si="92"/>
        <v>H</v>
      </c>
      <c r="D337" s="45">
        <f>Parameter!C$54</f>
        <v>0</v>
      </c>
      <c r="E337" s="125">
        <f t="shared" ref="E337:L337" si="138">SUMIF(Y_VRPC_PR, E$10&amp;"_"&amp;$D289&amp;"_"&amp;$D337, VRPanelQ)</f>
        <v>0</v>
      </c>
      <c r="F337" s="126">
        <f t="shared" si="138"/>
        <v>0</v>
      </c>
      <c r="G337" s="126">
        <f t="shared" si="138"/>
        <v>0</v>
      </c>
      <c r="H337" s="126">
        <f t="shared" si="138"/>
        <v>0</v>
      </c>
      <c r="I337" s="126">
        <f t="shared" si="138"/>
        <v>0</v>
      </c>
      <c r="J337" s="126">
        <f t="shared" si="138"/>
        <v>0</v>
      </c>
      <c r="K337" s="126">
        <f t="shared" si="138"/>
        <v>0</v>
      </c>
      <c r="L337" s="127">
        <f t="shared" si="138"/>
        <v>0</v>
      </c>
    </row>
    <row r="338" spans="3:12" ht="15.6" hidden="1">
      <c r="C338" s="39" t="str">
        <f t="shared" si="92"/>
        <v>H</v>
      </c>
      <c r="D338" s="45">
        <f>Parameter!C$55</f>
        <v>0</v>
      </c>
      <c r="E338" s="125">
        <f t="shared" ref="E338:L338" si="139">SUMIF(Y_VRPC_PR, E$10&amp;"_"&amp;$D289&amp;"_"&amp;$D338, VRPanelQ)</f>
        <v>0</v>
      </c>
      <c r="F338" s="126">
        <f t="shared" si="139"/>
        <v>0</v>
      </c>
      <c r="G338" s="126">
        <f t="shared" si="139"/>
        <v>0</v>
      </c>
      <c r="H338" s="126">
        <f t="shared" si="139"/>
        <v>0</v>
      </c>
      <c r="I338" s="126">
        <f t="shared" si="139"/>
        <v>0</v>
      </c>
      <c r="J338" s="126">
        <f t="shared" si="139"/>
        <v>0</v>
      </c>
      <c r="K338" s="126">
        <f t="shared" si="139"/>
        <v>0</v>
      </c>
      <c r="L338" s="127">
        <f t="shared" si="139"/>
        <v>0</v>
      </c>
    </row>
    <row r="339" spans="3:12" ht="15.6" hidden="1">
      <c r="C339" s="39" t="str">
        <f t="shared" si="92"/>
        <v>H</v>
      </c>
      <c r="D339" s="45">
        <f>Parameter!C$56</f>
        <v>0</v>
      </c>
      <c r="E339" s="125">
        <f t="shared" ref="E339:L339" si="140">SUMIF(Y_VRPC_PR, E$10&amp;"_"&amp;$D289&amp;"_"&amp;$D339, VRPanelQ)</f>
        <v>0</v>
      </c>
      <c r="F339" s="126">
        <f t="shared" si="140"/>
        <v>0</v>
      </c>
      <c r="G339" s="126">
        <f t="shared" si="140"/>
        <v>0</v>
      </c>
      <c r="H339" s="126">
        <f t="shared" si="140"/>
        <v>0</v>
      </c>
      <c r="I339" s="126">
        <f t="shared" si="140"/>
        <v>0</v>
      </c>
      <c r="J339" s="126">
        <f t="shared" si="140"/>
        <v>0</v>
      </c>
      <c r="K339" s="126">
        <f t="shared" si="140"/>
        <v>0</v>
      </c>
      <c r="L339" s="127">
        <f t="shared" si="140"/>
        <v>0</v>
      </c>
    </row>
    <row r="340" spans="3:12" ht="16.2" hidden="1" thickBot="1">
      <c r="C340" s="39" t="str">
        <f t="shared" si="92"/>
        <v>H</v>
      </c>
      <c r="D340" s="53" t="str">
        <f>Parameter!C$57</f>
        <v>ALL</v>
      </c>
      <c r="E340" s="128">
        <f t="shared" ref="E340:L340" si="141">SUMIF(Y_VRPC_PR, E$10&amp;"_"&amp;$D289&amp;"_"&amp;$D340, VRPanelQ)</f>
        <v>0</v>
      </c>
      <c r="F340" s="129">
        <f t="shared" si="141"/>
        <v>0</v>
      </c>
      <c r="G340" s="129">
        <f t="shared" si="141"/>
        <v>0</v>
      </c>
      <c r="H340" s="129">
        <f t="shared" si="141"/>
        <v>0</v>
      </c>
      <c r="I340" s="129">
        <f t="shared" si="141"/>
        <v>0</v>
      </c>
      <c r="J340" s="129">
        <f t="shared" si="141"/>
        <v>0</v>
      </c>
      <c r="K340" s="129">
        <f t="shared" si="141"/>
        <v>0</v>
      </c>
      <c r="L340" s="130">
        <f t="shared" si="141"/>
        <v>0</v>
      </c>
    </row>
    <row r="341" spans="3:12" ht="15.6" hidden="1">
      <c r="C341" s="39" t="str">
        <f t="shared" si="92"/>
        <v>H</v>
      </c>
      <c r="D341" s="54" t="s">
        <v>87</v>
      </c>
      <c r="E341" s="131">
        <f>SUM(E291:E340)</f>
        <v>0</v>
      </c>
      <c r="F341" s="132">
        <f t="shared" ref="F341" si="142">SUM(F291:F340)</f>
        <v>0</v>
      </c>
      <c r="G341" s="132">
        <f t="shared" ref="G341" si="143">SUM(G291:G340)</f>
        <v>0</v>
      </c>
      <c r="H341" s="132">
        <f t="shared" ref="H341" si="144">SUM(H291:H340)</f>
        <v>0</v>
      </c>
      <c r="I341" s="132">
        <f t="shared" ref="I341" si="145">SUM(I291:I340)</f>
        <v>0</v>
      </c>
      <c r="J341" s="132">
        <f t="shared" ref="J341" si="146">SUM(J291:J340)</f>
        <v>0</v>
      </c>
      <c r="K341" s="132">
        <f t="shared" ref="K341" si="147">SUM(K291:K340)</f>
        <v>0</v>
      </c>
      <c r="L341" s="133">
        <f t="shared" ref="L341" si="148">SUM(L291:L340)</f>
        <v>0</v>
      </c>
    </row>
    <row r="342" spans="3:12" ht="16.2" hidden="1" thickBot="1">
      <c r="C342" s="39" t="str">
        <f t="shared" si="92"/>
        <v>H</v>
      </c>
      <c r="D342" s="46" t="s">
        <v>88</v>
      </c>
      <c r="E342" s="47"/>
      <c r="F342" s="50" t="str">
        <f t="shared" ref="F342" si="149">IF(E341*F341=0, "", F341/E341-1)</f>
        <v/>
      </c>
      <c r="G342" s="50" t="str">
        <f t="shared" ref="G342" si="150">IF(F341*G341=0, "", G341/F341-1)</f>
        <v/>
      </c>
      <c r="H342" s="50" t="str">
        <f>IF(G341*H341=0, "", H341/G341-1)</f>
        <v/>
      </c>
      <c r="I342" s="50" t="str">
        <f t="shared" ref="I342" si="151">IF(H341*I341=0, "", I341/H341-1)</f>
        <v/>
      </c>
      <c r="J342" s="50" t="str">
        <f t="shared" ref="J342" si="152">IF(I341*J341=0, "", J341/I341-1)</f>
        <v/>
      </c>
      <c r="K342" s="50" t="str">
        <f t="shared" ref="K342" si="153">IF(J341*K341=0, "", K341/J341-1)</f>
        <v/>
      </c>
      <c r="L342" s="51" t="str">
        <f t="shared" ref="L342" si="154">IF(K341*L341=0, "", L341/K341-1)</f>
        <v/>
      </c>
    </row>
    <row r="343" spans="3:12" ht="15" hidden="1">
      <c r="C343" s="39" t="str">
        <f t="shared" si="92"/>
        <v>H</v>
      </c>
    </row>
    <row r="344" spans="3:12" ht="15.6" hidden="1" thickBot="1">
      <c r="C344" s="39" t="str">
        <f t="shared" si="92"/>
        <v>H</v>
      </c>
    </row>
    <row r="345" spans="3:12" ht="15" hidden="1" thickBot="1">
      <c r="C345" s="57" t="str">
        <f>IF(SUM(E397:L397)=0, "H", "")</f>
        <v>H</v>
      </c>
      <c r="D345" s="52">
        <f>Parameter!G14</f>
        <v>0</v>
      </c>
    </row>
    <row r="346" spans="3:12" ht="16.2" hidden="1" thickBot="1">
      <c r="C346" s="57" t="str">
        <f>IF(SUM(E397:L397)=0, "H", "")</f>
        <v>H</v>
      </c>
      <c r="D346" s="40" t="s">
        <v>85</v>
      </c>
      <c r="E346" s="41" t="s">
        <v>8</v>
      </c>
      <c r="F346" s="42" t="s">
        <v>9</v>
      </c>
      <c r="G346" s="42" t="s">
        <v>10</v>
      </c>
      <c r="H346" s="42" t="s">
        <v>11</v>
      </c>
      <c r="I346" s="42" t="s">
        <v>12</v>
      </c>
      <c r="J346" s="42" t="s">
        <v>13</v>
      </c>
      <c r="K346" s="42" t="s">
        <v>14</v>
      </c>
      <c r="L346" s="43" t="s">
        <v>86</v>
      </c>
    </row>
    <row r="347" spans="3:12" ht="15.6" hidden="1">
      <c r="C347" s="39" t="str">
        <f>IF(SUM(E347:L347)=0, "H", "")</f>
        <v>H</v>
      </c>
      <c r="D347" s="44" t="str">
        <f>Parameter!C$8</f>
        <v>5K VR</v>
      </c>
      <c r="E347" s="125">
        <f t="shared" ref="E347:L347" si="155">SUMIF(Y_VRPC_PR, E$10&amp;"_"&amp;$D345&amp;"_"&amp;$D347, VRPanelQ)</f>
        <v>0</v>
      </c>
      <c r="F347" s="126">
        <f t="shared" si="155"/>
        <v>0</v>
      </c>
      <c r="G347" s="126">
        <f t="shared" si="155"/>
        <v>0</v>
      </c>
      <c r="H347" s="126">
        <f t="shared" si="155"/>
        <v>0</v>
      </c>
      <c r="I347" s="126">
        <f t="shared" si="155"/>
        <v>0</v>
      </c>
      <c r="J347" s="126">
        <f t="shared" si="155"/>
        <v>0</v>
      </c>
      <c r="K347" s="126">
        <f t="shared" si="155"/>
        <v>0</v>
      </c>
      <c r="L347" s="127">
        <f t="shared" si="155"/>
        <v>0</v>
      </c>
    </row>
    <row r="348" spans="3:12" ht="15.6" hidden="1">
      <c r="C348" s="39" t="str">
        <f t="shared" ref="C348:C400" si="156">IF(SUM(E348:L348)=0, "H", "")</f>
        <v>H</v>
      </c>
      <c r="D348" s="44" t="str">
        <f>Parameter!C$9</f>
        <v>Aero</v>
      </c>
      <c r="E348" s="125">
        <f t="shared" ref="E348:L348" si="157">SUMIF(Y_VRPC_PR, E$10&amp;"_"&amp;$D345&amp;"_"&amp;$D348, VRPanelQ)</f>
        <v>0</v>
      </c>
      <c r="F348" s="126">
        <f t="shared" si="157"/>
        <v>0</v>
      </c>
      <c r="G348" s="126">
        <f t="shared" si="157"/>
        <v>0</v>
      </c>
      <c r="H348" s="126">
        <f t="shared" si="157"/>
        <v>0</v>
      </c>
      <c r="I348" s="126">
        <f t="shared" si="157"/>
        <v>0</v>
      </c>
      <c r="J348" s="126">
        <f t="shared" si="157"/>
        <v>0</v>
      </c>
      <c r="K348" s="126">
        <f t="shared" si="157"/>
        <v>0</v>
      </c>
      <c r="L348" s="127">
        <f t="shared" si="157"/>
        <v>0</v>
      </c>
    </row>
    <row r="349" spans="3:12" ht="15.6" hidden="1">
      <c r="C349" s="39" t="str">
        <f t="shared" si="156"/>
        <v>H</v>
      </c>
      <c r="D349" s="45" t="str">
        <f>Parameter!C$10</f>
        <v>Beyond</v>
      </c>
      <c r="E349" s="125">
        <f t="shared" ref="E349:L349" si="158">SUMIF(Y_VRPC_PR, E$10&amp;"_"&amp;$D345&amp;"_"&amp;$D349, VRPanelQ)</f>
        <v>0</v>
      </c>
      <c r="F349" s="126">
        <f t="shared" si="158"/>
        <v>0</v>
      </c>
      <c r="G349" s="126">
        <f t="shared" si="158"/>
        <v>0</v>
      </c>
      <c r="H349" s="126">
        <f t="shared" si="158"/>
        <v>0</v>
      </c>
      <c r="I349" s="126">
        <f t="shared" si="158"/>
        <v>0</v>
      </c>
      <c r="J349" s="126">
        <f t="shared" si="158"/>
        <v>0</v>
      </c>
      <c r="K349" s="126">
        <f t="shared" si="158"/>
        <v>0</v>
      </c>
      <c r="L349" s="127">
        <f t="shared" si="158"/>
        <v>0</v>
      </c>
    </row>
    <row r="350" spans="3:12" ht="15.6" hidden="1">
      <c r="C350" s="39" t="str">
        <f t="shared" si="156"/>
        <v>H</v>
      </c>
      <c r="D350" s="45" t="str">
        <f>Parameter!C$11</f>
        <v>Bionic models</v>
      </c>
      <c r="E350" s="125">
        <f t="shared" ref="E350:L350" si="159">SUMIF(Y_VRPC_PR, E$10&amp;"_"&amp;$D345&amp;"_"&amp;$D350, VRPanelQ)</f>
        <v>0</v>
      </c>
      <c r="F350" s="126">
        <f t="shared" si="159"/>
        <v>0</v>
      </c>
      <c r="G350" s="126">
        <f t="shared" si="159"/>
        <v>0</v>
      </c>
      <c r="H350" s="126">
        <f t="shared" si="159"/>
        <v>0</v>
      </c>
      <c r="I350" s="126">
        <f t="shared" si="159"/>
        <v>0</v>
      </c>
      <c r="J350" s="126">
        <f t="shared" si="159"/>
        <v>0</v>
      </c>
      <c r="K350" s="126">
        <f t="shared" si="159"/>
        <v>0</v>
      </c>
      <c r="L350" s="127">
        <f t="shared" si="159"/>
        <v>0</v>
      </c>
    </row>
    <row r="351" spans="3:12" ht="15.6" hidden="1">
      <c r="C351" s="39" t="str">
        <f t="shared" si="156"/>
        <v>H</v>
      </c>
      <c r="D351" s="45" t="str">
        <f>Parameter!C$12</f>
        <v>Dual LCD VR headset</v>
      </c>
      <c r="E351" s="125">
        <f t="shared" ref="E351:L351" si="160">SUMIF(Y_VRPC_PR, E$10&amp;"_"&amp;$D345&amp;"_"&amp;$D351, VRPanelQ)</f>
        <v>0</v>
      </c>
      <c r="F351" s="126">
        <f t="shared" si="160"/>
        <v>0</v>
      </c>
      <c r="G351" s="126">
        <f t="shared" si="160"/>
        <v>0</v>
      </c>
      <c r="H351" s="126">
        <f t="shared" si="160"/>
        <v>0</v>
      </c>
      <c r="I351" s="126">
        <f t="shared" si="160"/>
        <v>0</v>
      </c>
      <c r="J351" s="126">
        <f t="shared" si="160"/>
        <v>0</v>
      </c>
      <c r="K351" s="126">
        <f t="shared" si="160"/>
        <v>0</v>
      </c>
      <c r="L351" s="127">
        <f t="shared" si="160"/>
        <v>0</v>
      </c>
    </row>
    <row r="352" spans="3:12" ht="15.6" hidden="1">
      <c r="C352" s="39" t="str">
        <f t="shared" si="156"/>
        <v>H</v>
      </c>
      <c r="D352" s="45" t="str">
        <f>Parameter!C$13</f>
        <v>Dual SiOLED headset</v>
      </c>
      <c r="E352" s="125">
        <f t="shared" ref="E352:L352" si="161">SUMIF(Y_VRPC_PR, E$10&amp;"_"&amp;$D345&amp;"_"&amp;$D352, VRPanelQ)</f>
        <v>0</v>
      </c>
      <c r="F352" s="126">
        <f t="shared" si="161"/>
        <v>0</v>
      </c>
      <c r="G352" s="126">
        <f t="shared" si="161"/>
        <v>0</v>
      </c>
      <c r="H352" s="126">
        <f t="shared" si="161"/>
        <v>0</v>
      </c>
      <c r="I352" s="126">
        <f t="shared" si="161"/>
        <v>0</v>
      </c>
      <c r="J352" s="126">
        <f t="shared" si="161"/>
        <v>0</v>
      </c>
      <c r="K352" s="126">
        <f t="shared" si="161"/>
        <v>0</v>
      </c>
      <c r="L352" s="127">
        <f t="shared" si="161"/>
        <v>0</v>
      </c>
    </row>
    <row r="353" spans="3:12" ht="15.6" hidden="1">
      <c r="C353" s="39" t="str">
        <f t="shared" si="156"/>
        <v>H</v>
      </c>
      <c r="D353" s="45" t="str">
        <f>Parameter!C$14</f>
        <v>Index</v>
      </c>
      <c r="E353" s="125">
        <f t="shared" ref="E353:L353" si="162">SUMIF(Y_VRPC_PR, E$10&amp;"_"&amp;$D345&amp;"_"&amp;$D353, VRPanelQ)</f>
        <v>0</v>
      </c>
      <c r="F353" s="126">
        <f t="shared" si="162"/>
        <v>0</v>
      </c>
      <c r="G353" s="126">
        <f t="shared" si="162"/>
        <v>0</v>
      </c>
      <c r="H353" s="126">
        <f t="shared" si="162"/>
        <v>0</v>
      </c>
      <c r="I353" s="126">
        <f t="shared" si="162"/>
        <v>0</v>
      </c>
      <c r="J353" s="126">
        <f t="shared" si="162"/>
        <v>0</v>
      </c>
      <c r="K353" s="126">
        <f t="shared" si="162"/>
        <v>0</v>
      </c>
      <c r="L353" s="127">
        <f t="shared" si="162"/>
        <v>0</v>
      </c>
    </row>
    <row r="354" spans="3:12" ht="15.6" hidden="1">
      <c r="C354" s="39" t="str">
        <f t="shared" si="156"/>
        <v>H</v>
      </c>
      <c r="D354" s="45" t="str">
        <f>Parameter!C$15</f>
        <v>MeganeX</v>
      </c>
      <c r="E354" s="125">
        <f t="shared" ref="E354:L354" si="163">SUMIF(Y_VRPC_PR, E$10&amp;"_"&amp;$D345&amp;"_"&amp;$D354, VRPanelQ)</f>
        <v>0</v>
      </c>
      <c r="F354" s="126">
        <f t="shared" si="163"/>
        <v>0</v>
      </c>
      <c r="G354" s="126">
        <f t="shared" si="163"/>
        <v>0</v>
      </c>
      <c r="H354" s="126">
        <f t="shared" si="163"/>
        <v>0</v>
      </c>
      <c r="I354" s="126">
        <f t="shared" si="163"/>
        <v>0</v>
      </c>
      <c r="J354" s="126">
        <f t="shared" si="163"/>
        <v>0</v>
      </c>
      <c r="K354" s="126">
        <f t="shared" si="163"/>
        <v>0</v>
      </c>
      <c r="L354" s="127">
        <f t="shared" si="163"/>
        <v>0</v>
      </c>
    </row>
    <row r="355" spans="3:12" ht="15.6" hidden="1">
      <c r="C355" s="39" t="str">
        <f t="shared" si="156"/>
        <v>H</v>
      </c>
      <c r="D355" s="45" t="str">
        <f>Parameter!C$16</f>
        <v>MeganeX Superlight 8K</v>
      </c>
      <c r="E355" s="125">
        <f t="shared" ref="E355:L355" si="164">SUMIF(Y_VRPC_PR, E$10&amp;"_"&amp;$D345&amp;"_"&amp;$D355, VRPanelQ)</f>
        <v>0</v>
      </c>
      <c r="F355" s="126">
        <f t="shared" si="164"/>
        <v>0</v>
      </c>
      <c r="G355" s="126">
        <f t="shared" si="164"/>
        <v>0</v>
      </c>
      <c r="H355" s="126">
        <f t="shared" si="164"/>
        <v>0</v>
      </c>
      <c r="I355" s="126">
        <f t="shared" si="164"/>
        <v>0</v>
      </c>
      <c r="J355" s="126">
        <f t="shared" si="164"/>
        <v>0</v>
      </c>
      <c r="K355" s="126">
        <f t="shared" si="164"/>
        <v>0</v>
      </c>
      <c r="L355" s="127">
        <f t="shared" si="164"/>
        <v>0</v>
      </c>
    </row>
    <row r="356" spans="3:12" ht="15.6" hidden="1">
      <c r="C356" s="39" t="str">
        <f t="shared" si="156"/>
        <v>H</v>
      </c>
      <c r="D356" s="45" t="str">
        <f>Parameter!C$17</f>
        <v>Neo 3 / G3</v>
      </c>
      <c r="E356" s="125">
        <f t="shared" ref="E356:L356" si="165">SUMIF(Y_VRPC_PR, E$10&amp;"_"&amp;$D345&amp;"_"&amp;$D356, VRPanelQ)</f>
        <v>0</v>
      </c>
      <c r="F356" s="126">
        <f t="shared" si="165"/>
        <v>0</v>
      </c>
      <c r="G356" s="126">
        <f t="shared" si="165"/>
        <v>0</v>
      </c>
      <c r="H356" s="126">
        <f t="shared" si="165"/>
        <v>0</v>
      </c>
      <c r="I356" s="126">
        <f t="shared" si="165"/>
        <v>0</v>
      </c>
      <c r="J356" s="126">
        <f t="shared" si="165"/>
        <v>0</v>
      </c>
      <c r="K356" s="126">
        <f t="shared" si="165"/>
        <v>0</v>
      </c>
      <c r="L356" s="127">
        <f t="shared" si="165"/>
        <v>0</v>
      </c>
    </row>
    <row r="357" spans="3:12" ht="15.6" hidden="1">
      <c r="C357" s="39" t="str">
        <f t="shared" si="156"/>
        <v>H</v>
      </c>
      <c r="D357" s="45" t="str">
        <f>Parameter!C$18</f>
        <v>OLED VR headset</v>
      </c>
      <c r="E357" s="125">
        <f t="shared" ref="E357:L357" si="166">SUMIF(Y_VRPC_PR, E$10&amp;"_"&amp;$D345&amp;"_"&amp;$D357, VRPanelQ)</f>
        <v>0</v>
      </c>
      <c r="F357" s="126">
        <f t="shared" si="166"/>
        <v>0</v>
      </c>
      <c r="G357" s="126">
        <f t="shared" si="166"/>
        <v>0</v>
      </c>
      <c r="H357" s="126">
        <f t="shared" si="166"/>
        <v>0</v>
      </c>
      <c r="I357" s="126">
        <f t="shared" si="166"/>
        <v>0</v>
      </c>
      <c r="J357" s="126">
        <f t="shared" si="166"/>
        <v>0</v>
      </c>
      <c r="K357" s="126">
        <f t="shared" si="166"/>
        <v>0</v>
      </c>
      <c r="L357" s="127">
        <f t="shared" si="166"/>
        <v>0</v>
      </c>
    </row>
    <row r="358" spans="3:12" ht="15.6" hidden="1">
      <c r="C358" s="39" t="str">
        <f t="shared" si="156"/>
        <v>H</v>
      </c>
      <c r="D358" s="45" t="str">
        <f>Parameter!C$19</f>
        <v>P1 family</v>
      </c>
      <c r="E358" s="125">
        <f t="shared" ref="E358:L358" si="167">SUMIF(Y_VRPC_PR, E$10&amp;"_"&amp;$D345&amp;"_"&amp;$D358, VRPanelQ)</f>
        <v>0</v>
      </c>
      <c r="F358" s="126">
        <f t="shared" si="167"/>
        <v>0</v>
      </c>
      <c r="G358" s="126">
        <f t="shared" si="167"/>
        <v>0</v>
      </c>
      <c r="H358" s="126">
        <f t="shared" si="167"/>
        <v>0</v>
      </c>
      <c r="I358" s="126">
        <f t="shared" si="167"/>
        <v>0</v>
      </c>
      <c r="J358" s="126">
        <f t="shared" si="167"/>
        <v>0</v>
      </c>
      <c r="K358" s="126">
        <f t="shared" si="167"/>
        <v>0</v>
      </c>
      <c r="L358" s="127">
        <f t="shared" si="167"/>
        <v>0</v>
      </c>
    </row>
    <row r="359" spans="3:12" ht="15.6" hidden="1">
      <c r="C359" s="39" t="str">
        <f t="shared" si="156"/>
        <v>H</v>
      </c>
      <c r="D359" s="45" t="str">
        <f>Parameter!C$20</f>
        <v>Pico 4</v>
      </c>
      <c r="E359" s="125">
        <f t="shared" ref="E359:L359" si="168">SUMIF(Y_VRPC_PR, E$10&amp;"_"&amp;$D345&amp;"_"&amp;$D359, VRPanelQ)</f>
        <v>0</v>
      </c>
      <c r="F359" s="126">
        <f t="shared" si="168"/>
        <v>0</v>
      </c>
      <c r="G359" s="126">
        <f t="shared" si="168"/>
        <v>0</v>
      </c>
      <c r="H359" s="126">
        <f t="shared" si="168"/>
        <v>0</v>
      </c>
      <c r="I359" s="126">
        <f t="shared" si="168"/>
        <v>0</v>
      </c>
      <c r="J359" s="126">
        <f t="shared" si="168"/>
        <v>0</v>
      </c>
      <c r="K359" s="126">
        <f t="shared" si="168"/>
        <v>0</v>
      </c>
      <c r="L359" s="127">
        <f t="shared" si="168"/>
        <v>0</v>
      </c>
    </row>
    <row r="360" spans="3:12" ht="15.6" hidden="1">
      <c r="C360" s="39" t="str">
        <f t="shared" si="156"/>
        <v>H</v>
      </c>
      <c r="D360" s="45" t="str">
        <f>Parameter!C$21</f>
        <v>Pimax VR</v>
      </c>
      <c r="E360" s="125">
        <f t="shared" ref="E360:L360" si="169">SUMIF(Y_VRPC_PR, E$10&amp;"_"&amp;$D345&amp;"_"&amp;$D360, VRPanelQ)</f>
        <v>0</v>
      </c>
      <c r="F360" s="126">
        <f t="shared" si="169"/>
        <v>0</v>
      </c>
      <c r="G360" s="126">
        <f t="shared" si="169"/>
        <v>0</v>
      </c>
      <c r="H360" s="126">
        <f t="shared" si="169"/>
        <v>0</v>
      </c>
      <c r="I360" s="126">
        <f t="shared" si="169"/>
        <v>0</v>
      </c>
      <c r="J360" s="126">
        <f t="shared" si="169"/>
        <v>0</v>
      </c>
      <c r="K360" s="126">
        <f t="shared" si="169"/>
        <v>0</v>
      </c>
      <c r="L360" s="127">
        <f t="shared" si="169"/>
        <v>0</v>
      </c>
    </row>
    <row r="361" spans="3:12" ht="15.6" hidden="1">
      <c r="C361" s="39" t="str">
        <f t="shared" si="156"/>
        <v>H</v>
      </c>
      <c r="D361" s="45" t="str">
        <f>Parameter!C$22</f>
        <v>PlayStation VR</v>
      </c>
      <c r="E361" s="125">
        <f t="shared" ref="E361:L361" si="170">SUMIF(Y_VRPC_PR, E$10&amp;"_"&amp;$D345&amp;"_"&amp;$D361, VRPanelQ)</f>
        <v>0</v>
      </c>
      <c r="F361" s="126">
        <f t="shared" si="170"/>
        <v>0</v>
      </c>
      <c r="G361" s="126">
        <f t="shared" si="170"/>
        <v>0</v>
      </c>
      <c r="H361" s="126">
        <f t="shared" si="170"/>
        <v>0</v>
      </c>
      <c r="I361" s="126">
        <f t="shared" si="170"/>
        <v>0</v>
      </c>
      <c r="J361" s="126">
        <f t="shared" si="170"/>
        <v>0</v>
      </c>
      <c r="K361" s="126">
        <f t="shared" si="170"/>
        <v>0</v>
      </c>
      <c r="L361" s="127">
        <f t="shared" si="170"/>
        <v>0</v>
      </c>
    </row>
    <row r="362" spans="3:12" ht="15.6" hidden="1">
      <c r="C362" s="39" t="str">
        <f t="shared" si="156"/>
        <v>H</v>
      </c>
      <c r="D362" s="45" t="str">
        <f>Parameter!C$23</f>
        <v>PlayStation VR2</v>
      </c>
      <c r="E362" s="125">
        <f t="shared" ref="E362:L362" si="171">SUMIF(Y_VRPC_PR, E$10&amp;"_"&amp;$D345&amp;"_"&amp;$D362, VRPanelQ)</f>
        <v>0</v>
      </c>
      <c r="F362" s="126">
        <f t="shared" si="171"/>
        <v>0</v>
      </c>
      <c r="G362" s="126">
        <f t="shared" si="171"/>
        <v>0</v>
      </c>
      <c r="H362" s="126">
        <f t="shared" si="171"/>
        <v>0</v>
      </c>
      <c r="I362" s="126">
        <f t="shared" si="171"/>
        <v>0</v>
      </c>
      <c r="J362" s="126">
        <f t="shared" si="171"/>
        <v>0</v>
      </c>
      <c r="K362" s="126">
        <f t="shared" si="171"/>
        <v>0</v>
      </c>
      <c r="L362" s="127">
        <f t="shared" si="171"/>
        <v>0</v>
      </c>
    </row>
    <row r="363" spans="3:12" ht="15.6" hidden="1">
      <c r="C363" s="39" t="str">
        <f t="shared" si="156"/>
        <v>H</v>
      </c>
      <c r="D363" s="45" t="str">
        <f>Parameter!C$24</f>
        <v>Project Moohan</v>
      </c>
      <c r="E363" s="125">
        <f t="shared" ref="E363:L363" si="172">SUMIF(Y_VRPC_PR, E$10&amp;"_"&amp;$D345&amp;"_"&amp;$D363, VRPanelQ)</f>
        <v>0</v>
      </c>
      <c r="F363" s="126">
        <f t="shared" si="172"/>
        <v>0</v>
      </c>
      <c r="G363" s="126">
        <f t="shared" si="172"/>
        <v>0</v>
      </c>
      <c r="H363" s="126">
        <f t="shared" si="172"/>
        <v>0</v>
      </c>
      <c r="I363" s="126">
        <f t="shared" si="172"/>
        <v>0</v>
      </c>
      <c r="J363" s="126">
        <f t="shared" si="172"/>
        <v>0</v>
      </c>
      <c r="K363" s="126">
        <f t="shared" si="172"/>
        <v>0</v>
      </c>
      <c r="L363" s="127">
        <f t="shared" si="172"/>
        <v>0</v>
      </c>
    </row>
    <row r="364" spans="3:12" ht="15.6" hidden="1">
      <c r="C364" s="39" t="str">
        <f t="shared" si="156"/>
        <v>H</v>
      </c>
      <c r="D364" s="45" t="str">
        <f>Parameter!C$25</f>
        <v>Quest</v>
      </c>
      <c r="E364" s="125">
        <f t="shared" ref="E364:L364" si="173">SUMIF(Y_VRPC_PR, E$10&amp;"_"&amp;$D345&amp;"_"&amp;$D364, VRPanelQ)</f>
        <v>0</v>
      </c>
      <c r="F364" s="126">
        <f t="shared" si="173"/>
        <v>0</v>
      </c>
      <c r="G364" s="126">
        <f t="shared" si="173"/>
        <v>0</v>
      </c>
      <c r="H364" s="126">
        <f t="shared" si="173"/>
        <v>0</v>
      </c>
      <c r="I364" s="126">
        <f t="shared" si="173"/>
        <v>0</v>
      </c>
      <c r="J364" s="126">
        <f t="shared" si="173"/>
        <v>0</v>
      </c>
      <c r="K364" s="126">
        <f t="shared" si="173"/>
        <v>0</v>
      </c>
      <c r="L364" s="127">
        <f t="shared" si="173"/>
        <v>0</v>
      </c>
    </row>
    <row r="365" spans="3:12" ht="15.6" hidden="1">
      <c r="C365" s="39" t="str">
        <f t="shared" si="156"/>
        <v>H</v>
      </c>
      <c r="D365" s="45" t="str">
        <f>Parameter!C$26</f>
        <v>Quest 2</v>
      </c>
      <c r="E365" s="125">
        <f t="shared" ref="E365:L365" si="174">SUMIF(Y_VRPC_PR, E$10&amp;"_"&amp;$D345&amp;"_"&amp;$D365, VRPanelQ)</f>
        <v>0</v>
      </c>
      <c r="F365" s="126">
        <f t="shared" si="174"/>
        <v>0</v>
      </c>
      <c r="G365" s="126">
        <f t="shared" si="174"/>
        <v>0</v>
      </c>
      <c r="H365" s="126">
        <f t="shared" si="174"/>
        <v>0</v>
      </c>
      <c r="I365" s="126">
        <f t="shared" si="174"/>
        <v>0</v>
      </c>
      <c r="J365" s="126">
        <f t="shared" si="174"/>
        <v>0</v>
      </c>
      <c r="K365" s="126">
        <f t="shared" si="174"/>
        <v>0</v>
      </c>
      <c r="L365" s="127">
        <f t="shared" si="174"/>
        <v>0</v>
      </c>
    </row>
    <row r="366" spans="3:12" ht="15.6" hidden="1">
      <c r="C366" s="39" t="str">
        <f t="shared" si="156"/>
        <v>H</v>
      </c>
      <c r="D366" s="45" t="str">
        <f>Parameter!C$27</f>
        <v>Quest 3</v>
      </c>
      <c r="E366" s="125">
        <f t="shared" ref="E366:L366" si="175">SUMIF(Y_VRPC_PR, E$10&amp;"_"&amp;$D345&amp;"_"&amp;$D366, VRPanelQ)</f>
        <v>0</v>
      </c>
      <c r="F366" s="126">
        <f t="shared" si="175"/>
        <v>0</v>
      </c>
      <c r="G366" s="126">
        <f t="shared" si="175"/>
        <v>0</v>
      </c>
      <c r="H366" s="126">
        <f t="shared" si="175"/>
        <v>0</v>
      </c>
      <c r="I366" s="126">
        <f t="shared" si="175"/>
        <v>0</v>
      </c>
      <c r="J366" s="126">
        <f t="shared" si="175"/>
        <v>0</v>
      </c>
      <c r="K366" s="126">
        <f t="shared" si="175"/>
        <v>0</v>
      </c>
      <c r="L366" s="127">
        <f t="shared" si="175"/>
        <v>0</v>
      </c>
    </row>
    <row r="367" spans="3:12" ht="15.6" hidden="1">
      <c r="C367" s="39" t="str">
        <f t="shared" si="156"/>
        <v>H</v>
      </c>
      <c r="D367" s="45" t="str">
        <f>Parameter!C$28</f>
        <v>Quest 3S</v>
      </c>
      <c r="E367" s="125">
        <f t="shared" ref="E367:L367" si="176">SUMIF(Y_VRPC_PR, E$10&amp;"_"&amp;$D345&amp;"_"&amp;$D367, VRPanelQ)</f>
        <v>0</v>
      </c>
      <c r="F367" s="126">
        <f t="shared" si="176"/>
        <v>0</v>
      </c>
      <c r="G367" s="126">
        <f t="shared" si="176"/>
        <v>0</v>
      </c>
      <c r="H367" s="126">
        <f t="shared" si="176"/>
        <v>0</v>
      </c>
      <c r="I367" s="126">
        <f t="shared" si="176"/>
        <v>0</v>
      </c>
      <c r="J367" s="126">
        <f t="shared" si="176"/>
        <v>0</v>
      </c>
      <c r="K367" s="126">
        <f t="shared" si="176"/>
        <v>0</v>
      </c>
      <c r="L367" s="127">
        <f t="shared" si="176"/>
        <v>0</v>
      </c>
    </row>
    <row r="368" spans="3:12" ht="15.6" hidden="1">
      <c r="C368" s="39" t="str">
        <f t="shared" si="156"/>
        <v>H</v>
      </c>
      <c r="D368" s="45" t="str">
        <f>Parameter!C$29</f>
        <v>Quest Pro</v>
      </c>
      <c r="E368" s="125">
        <f t="shared" ref="E368:L368" si="177">SUMIF(Y_VRPC_PR, E$10&amp;"_"&amp;$D345&amp;"_"&amp;$D368, VRPanelQ)</f>
        <v>0</v>
      </c>
      <c r="F368" s="126">
        <f t="shared" si="177"/>
        <v>0</v>
      </c>
      <c r="G368" s="126">
        <f t="shared" si="177"/>
        <v>0</v>
      </c>
      <c r="H368" s="126">
        <f t="shared" si="177"/>
        <v>0</v>
      </c>
      <c r="I368" s="126">
        <f t="shared" si="177"/>
        <v>0</v>
      </c>
      <c r="J368" s="126">
        <f t="shared" si="177"/>
        <v>0</v>
      </c>
      <c r="K368" s="126">
        <f t="shared" si="177"/>
        <v>0</v>
      </c>
      <c r="L368" s="127">
        <f t="shared" si="177"/>
        <v>0</v>
      </c>
    </row>
    <row r="369" spans="3:12" ht="15.6" hidden="1">
      <c r="C369" s="39" t="str">
        <f t="shared" si="156"/>
        <v>H</v>
      </c>
      <c r="D369" s="45" t="str">
        <f>Parameter!C$30</f>
        <v>R1</v>
      </c>
      <c r="E369" s="125">
        <f t="shared" ref="E369:L369" si="178">SUMIF(Y_VRPC_PR, E$10&amp;"_"&amp;$D345&amp;"_"&amp;$D369, VRPanelQ)</f>
        <v>0</v>
      </c>
      <c r="F369" s="126">
        <f t="shared" si="178"/>
        <v>0</v>
      </c>
      <c r="G369" s="126">
        <f t="shared" si="178"/>
        <v>0</v>
      </c>
      <c r="H369" s="126">
        <f t="shared" si="178"/>
        <v>0</v>
      </c>
      <c r="I369" s="126">
        <f t="shared" si="178"/>
        <v>0</v>
      </c>
      <c r="J369" s="126">
        <f t="shared" si="178"/>
        <v>0</v>
      </c>
      <c r="K369" s="126">
        <f t="shared" si="178"/>
        <v>0</v>
      </c>
      <c r="L369" s="127">
        <f t="shared" si="178"/>
        <v>0</v>
      </c>
    </row>
    <row r="370" spans="3:12" ht="15.6" hidden="1">
      <c r="C370" s="39" t="str">
        <f t="shared" si="156"/>
        <v>H</v>
      </c>
      <c r="D370" s="45" t="str">
        <f>Parameter!C$31</f>
        <v>Reverb</v>
      </c>
      <c r="E370" s="125">
        <f t="shared" ref="E370:L370" si="179">SUMIF(Y_VRPC_PR, E$10&amp;"_"&amp;$D345&amp;"_"&amp;$D370, VRPanelQ)</f>
        <v>0</v>
      </c>
      <c r="F370" s="126">
        <f t="shared" si="179"/>
        <v>0</v>
      </c>
      <c r="G370" s="126">
        <f t="shared" si="179"/>
        <v>0</v>
      </c>
      <c r="H370" s="126">
        <f t="shared" si="179"/>
        <v>0</v>
      </c>
      <c r="I370" s="126">
        <f t="shared" si="179"/>
        <v>0</v>
      </c>
      <c r="J370" s="126">
        <f t="shared" si="179"/>
        <v>0</v>
      </c>
      <c r="K370" s="126">
        <f t="shared" si="179"/>
        <v>0</v>
      </c>
      <c r="L370" s="127">
        <f t="shared" si="179"/>
        <v>0</v>
      </c>
    </row>
    <row r="371" spans="3:12" ht="15.6" hidden="1">
      <c r="C371" s="39" t="str">
        <f t="shared" si="156"/>
        <v>H</v>
      </c>
      <c r="D371" s="45" t="str">
        <f>Parameter!C$32</f>
        <v>Reverb G2</v>
      </c>
      <c r="E371" s="125">
        <f t="shared" ref="E371:L371" si="180">SUMIF(Y_VRPC_PR, E$10&amp;"_"&amp;$D345&amp;"_"&amp;$D371, VRPanelQ)</f>
        <v>0</v>
      </c>
      <c r="F371" s="126">
        <f t="shared" si="180"/>
        <v>0</v>
      </c>
      <c r="G371" s="126">
        <f t="shared" si="180"/>
        <v>0</v>
      </c>
      <c r="H371" s="126">
        <f t="shared" si="180"/>
        <v>0</v>
      </c>
      <c r="I371" s="126">
        <f t="shared" si="180"/>
        <v>0</v>
      </c>
      <c r="J371" s="126">
        <f t="shared" si="180"/>
        <v>0</v>
      </c>
      <c r="K371" s="126">
        <f t="shared" si="180"/>
        <v>0</v>
      </c>
      <c r="L371" s="127">
        <f t="shared" si="180"/>
        <v>0</v>
      </c>
    </row>
    <row r="372" spans="3:12" ht="15.6" hidden="1">
      <c r="C372" s="39" t="str">
        <f t="shared" si="156"/>
        <v>H</v>
      </c>
      <c r="D372" s="45" t="str">
        <f>Parameter!C$33</f>
        <v>Rift S</v>
      </c>
      <c r="E372" s="125">
        <f t="shared" ref="E372:L372" si="181">SUMIF(Y_VRPC_PR, E$10&amp;"_"&amp;$D345&amp;"_"&amp;$D372, VRPanelQ)</f>
        <v>0</v>
      </c>
      <c r="F372" s="126">
        <f t="shared" si="181"/>
        <v>0</v>
      </c>
      <c r="G372" s="126">
        <f t="shared" si="181"/>
        <v>0</v>
      </c>
      <c r="H372" s="126">
        <f t="shared" si="181"/>
        <v>0</v>
      </c>
      <c r="I372" s="126">
        <f t="shared" si="181"/>
        <v>0</v>
      </c>
      <c r="J372" s="126">
        <f t="shared" si="181"/>
        <v>0</v>
      </c>
      <c r="K372" s="126">
        <f t="shared" si="181"/>
        <v>0</v>
      </c>
      <c r="L372" s="127">
        <f t="shared" si="181"/>
        <v>0</v>
      </c>
    </row>
    <row r="373" spans="3:12" ht="15.6" hidden="1">
      <c r="C373" s="39" t="str">
        <f t="shared" si="156"/>
        <v>H</v>
      </c>
      <c r="D373" s="45" t="str">
        <f>Parameter!C$34</f>
        <v>Single LCD VR headset</v>
      </c>
      <c r="E373" s="125">
        <f t="shared" ref="E373:L373" si="182">SUMIF(Y_VRPC_PR, E$10&amp;"_"&amp;$D345&amp;"_"&amp;$D373, VRPanelQ)</f>
        <v>0</v>
      </c>
      <c r="F373" s="126">
        <f t="shared" si="182"/>
        <v>0</v>
      </c>
      <c r="G373" s="126">
        <f t="shared" si="182"/>
        <v>0</v>
      </c>
      <c r="H373" s="126">
        <f t="shared" si="182"/>
        <v>0</v>
      </c>
      <c r="I373" s="126">
        <f t="shared" si="182"/>
        <v>0</v>
      </c>
      <c r="J373" s="126">
        <f t="shared" si="182"/>
        <v>0</v>
      </c>
      <c r="K373" s="126">
        <f t="shared" si="182"/>
        <v>0</v>
      </c>
      <c r="L373" s="127">
        <f t="shared" si="182"/>
        <v>0</v>
      </c>
    </row>
    <row r="374" spans="3:12" ht="15.6" hidden="1">
      <c r="C374" s="39" t="str">
        <f t="shared" si="156"/>
        <v>H</v>
      </c>
      <c r="D374" s="45" t="str">
        <f>Parameter!C$35</f>
        <v>ThinkReality VRX</v>
      </c>
      <c r="E374" s="125">
        <f t="shared" ref="E374:L374" si="183">SUMIF(Y_VRPC_PR, E$10&amp;"_"&amp;$D345&amp;"_"&amp;$D374, VRPanelQ)</f>
        <v>0</v>
      </c>
      <c r="F374" s="126">
        <f t="shared" si="183"/>
        <v>0</v>
      </c>
      <c r="G374" s="126">
        <f t="shared" si="183"/>
        <v>0</v>
      </c>
      <c r="H374" s="126">
        <f t="shared" si="183"/>
        <v>0</v>
      </c>
      <c r="I374" s="126">
        <f t="shared" si="183"/>
        <v>0</v>
      </c>
      <c r="J374" s="126">
        <f t="shared" si="183"/>
        <v>0</v>
      </c>
      <c r="K374" s="126">
        <f t="shared" si="183"/>
        <v>0</v>
      </c>
      <c r="L374" s="127">
        <f t="shared" si="183"/>
        <v>0</v>
      </c>
    </row>
    <row r="375" spans="3:12" ht="15.6" hidden="1">
      <c r="C375" s="39" t="str">
        <f t="shared" si="156"/>
        <v>H</v>
      </c>
      <c r="D375" s="45" t="str">
        <f>Parameter!C$36</f>
        <v>Vision Pro</v>
      </c>
      <c r="E375" s="125">
        <f t="shared" ref="E375:L375" si="184">SUMIF(Y_VRPC_PR, E$10&amp;"_"&amp;$D345&amp;"_"&amp;$D375, VRPanelQ)</f>
        <v>0</v>
      </c>
      <c r="F375" s="126">
        <f t="shared" si="184"/>
        <v>0</v>
      </c>
      <c r="G375" s="126">
        <f t="shared" si="184"/>
        <v>0</v>
      </c>
      <c r="H375" s="126">
        <f t="shared" si="184"/>
        <v>0</v>
      </c>
      <c r="I375" s="126">
        <f t="shared" si="184"/>
        <v>0</v>
      </c>
      <c r="J375" s="126">
        <f t="shared" si="184"/>
        <v>0</v>
      </c>
      <c r="K375" s="126">
        <f t="shared" si="184"/>
        <v>0</v>
      </c>
      <c r="L375" s="127">
        <f t="shared" si="184"/>
        <v>0</v>
      </c>
    </row>
    <row r="376" spans="3:12" ht="15.6" hidden="1">
      <c r="C376" s="39" t="str">
        <f t="shared" si="156"/>
        <v>H</v>
      </c>
      <c r="D376" s="45" t="str">
        <f>Parameter!C$37</f>
        <v>Vive LCD headsets</v>
      </c>
      <c r="E376" s="125">
        <f t="shared" ref="E376:L376" si="185">SUMIF(Y_VRPC_PR, E$10&amp;"_"&amp;$D345&amp;"_"&amp;$D376, VRPanelQ)</f>
        <v>0</v>
      </c>
      <c r="F376" s="126">
        <f t="shared" si="185"/>
        <v>0</v>
      </c>
      <c r="G376" s="126">
        <f t="shared" si="185"/>
        <v>0</v>
      </c>
      <c r="H376" s="126">
        <f t="shared" si="185"/>
        <v>0</v>
      </c>
      <c r="I376" s="126">
        <f t="shared" si="185"/>
        <v>0</v>
      </c>
      <c r="J376" s="126">
        <f t="shared" si="185"/>
        <v>0</v>
      </c>
      <c r="K376" s="126">
        <f t="shared" si="185"/>
        <v>0</v>
      </c>
      <c r="L376" s="127">
        <f t="shared" si="185"/>
        <v>0</v>
      </c>
    </row>
    <row r="377" spans="3:12" ht="15.6" hidden="1">
      <c r="C377" s="39" t="str">
        <f t="shared" si="156"/>
        <v>H</v>
      </c>
      <c r="D377" s="45" t="str">
        <f>Parameter!C$38</f>
        <v>VR1</v>
      </c>
      <c r="E377" s="125">
        <f t="shared" ref="E377:L377" si="186">SUMIF(Y_VRPC_PR, E$10&amp;"_"&amp;$D345&amp;"_"&amp;$D377, VRPanelQ)</f>
        <v>0</v>
      </c>
      <c r="F377" s="126">
        <f t="shared" si="186"/>
        <v>0</v>
      </c>
      <c r="G377" s="126">
        <f t="shared" si="186"/>
        <v>0</v>
      </c>
      <c r="H377" s="126">
        <f t="shared" si="186"/>
        <v>0</v>
      </c>
      <c r="I377" s="126">
        <f t="shared" si="186"/>
        <v>0</v>
      </c>
      <c r="J377" s="126">
        <f t="shared" si="186"/>
        <v>0</v>
      </c>
      <c r="K377" s="126">
        <f t="shared" si="186"/>
        <v>0</v>
      </c>
      <c r="L377" s="127">
        <f t="shared" si="186"/>
        <v>0</v>
      </c>
    </row>
    <row r="378" spans="3:12" ht="15.6" hidden="1">
      <c r="C378" s="39" t="str">
        <f t="shared" si="156"/>
        <v>H</v>
      </c>
      <c r="D378" s="45" t="str">
        <f>Parameter!C$39</f>
        <v>XR-4</v>
      </c>
      <c r="E378" s="125">
        <f t="shared" ref="E378:L378" si="187">SUMIF(Y_VRPC_PR, E$10&amp;"_"&amp;$D345&amp;"_"&amp;$D378, VRPanelQ)</f>
        <v>0</v>
      </c>
      <c r="F378" s="126">
        <f t="shared" si="187"/>
        <v>0</v>
      </c>
      <c r="G378" s="126">
        <f t="shared" si="187"/>
        <v>0</v>
      </c>
      <c r="H378" s="126">
        <f t="shared" si="187"/>
        <v>0</v>
      </c>
      <c r="I378" s="126">
        <f t="shared" si="187"/>
        <v>0</v>
      </c>
      <c r="J378" s="126">
        <f t="shared" si="187"/>
        <v>0</v>
      </c>
      <c r="K378" s="126">
        <f t="shared" si="187"/>
        <v>0</v>
      </c>
      <c r="L378" s="127">
        <f t="shared" si="187"/>
        <v>0</v>
      </c>
    </row>
    <row r="379" spans="3:12" ht="15.6" hidden="1">
      <c r="C379" s="39" t="str">
        <f t="shared" si="156"/>
        <v>H</v>
      </c>
      <c r="D379" s="45">
        <f>Parameter!C$40</f>
        <v>0</v>
      </c>
      <c r="E379" s="125">
        <f t="shared" ref="E379:L379" si="188">SUMIF(Y_VRPC_PR, E$10&amp;"_"&amp;$D345&amp;"_"&amp;$D379, VRPanelQ)</f>
        <v>0</v>
      </c>
      <c r="F379" s="126">
        <f t="shared" si="188"/>
        <v>0</v>
      </c>
      <c r="G379" s="126">
        <f t="shared" si="188"/>
        <v>0</v>
      </c>
      <c r="H379" s="126">
        <f t="shared" si="188"/>
        <v>0</v>
      </c>
      <c r="I379" s="126">
        <f t="shared" si="188"/>
        <v>0</v>
      </c>
      <c r="J379" s="126">
        <f t="shared" si="188"/>
        <v>0</v>
      </c>
      <c r="K379" s="126">
        <f t="shared" si="188"/>
        <v>0</v>
      </c>
      <c r="L379" s="127">
        <f t="shared" si="188"/>
        <v>0</v>
      </c>
    </row>
    <row r="380" spans="3:12" ht="15.6" hidden="1">
      <c r="C380" s="39" t="str">
        <f t="shared" si="156"/>
        <v>H</v>
      </c>
      <c r="D380" s="45">
        <f>Parameter!C$41</f>
        <v>0</v>
      </c>
      <c r="E380" s="125">
        <f t="shared" ref="E380:L380" si="189">SUMIF(Y_VRPC_PR, E$10&amp;"_"&amp;$D345&amp;"_"&amp;$D380, VRPanelQ)</f>
        <v>0</v>
      </c>
      <c r="F380" s="126">
        <f t="shared" si="189"/>
        <v>0</v>
      </c>
      <c r="G380" s="126">
        <f t="shared" si="189"/>
        <v>0</v>
      </c>
      <c r="H380" s="126">
        <f t="shared" si="189"/>
        <v>0</v>
      </c>
      <c r="I380" s="126">
        <f t="shared" si="189"/>
        <v>0</v>
      </c>
      <c r="J380" s="126">
        <f t="shared" si="189"/>
        <v>0</v>
      </c>
      <c r="K380" s="126">
        <f t="shared" si="189"/>
        <v>0</v>
      </c>
      <c r="L380" s="127">
        <f t="shared" si="189"/>
        <v>0</v>
      </c>
    </row>
    <row r="381" spans="3:12" ht="15.6" hidden="1">
      <c r="C381" s="39" t="str">
        <f t="shared" si="156"/>
        <v>H</v>
      </c>
      <c r="D381" s="45">
        <f>Parameter!C$42</f>
        <v>0</v>
      </c>
      <c r="E381" s="125">
        <f t="shared" ref="E381:L381" si="190">SUMIF(Y_VRPC_PR, E$10&amp;"_"&amp;$D345&amp;"_"&amp;$D381, VRPanelQ)</f>
        <v>0</v>
      </c>
      <c r="F381" s="126">
        <f t="shared" si="190"/>
        <v>0</v>
      </c>
      <c r="G381" s="126">
        <f t="shared" si="190"/>
        <v>0</v>
      </c>
      <c r="H381" s="126">
        <f t="shared" si="190"/>
        <v>0</v>
      </c>
      <c r="I381" s="126">
        <f t="shared" si="190"/>
        <v>0</v>
      </c>
      <c r="J381" s="126">
        <f t="shared" si="190"/>
        <v>0</v>
      </c>
      <c r="K381" s="126">
        <f t="shared" si="190"/>
        <v>0</v>
      </c>
      <c r="L381" s="127">
        <f t="shared" si="190"/>
        <v>0</v>
      </c>
    </row>
    <row r="382" spans="3:12" ht="15.6" hidden="1">
      <c r="C382" s="39" t="str">
        <f t="shared" si="156"/>
        <v>H</v>
      </c>
      <c r="D382" s="45">
        <f>Parameter!C$43</f>
        <v>0</v>
      </c>
      <c r="E382" s="125">
        <f t="shared" ref="E382:L382" si="191">SUMIF(Y_VRPC_PR, E$10&amp;"_"&amp;$D345&amp;"_"&amp;$D382, VRPanelQ)</f>
        <v>0</v>
      </c>
      <c r="F382" s="126">
        <f t="shared" si="191"/>
        <v>0</v>
      </c>
      <c r="G382" s="126">
        <f t="shared" si="191"/>
        <v>0</v>
      </c>
      <c r="H382" s="126">
        <f t="shared" si="191"/>
        <v>0</v>
      </c>
      <c r="I382" s="126">
        <f t="shared" si="191"/>
        <v>0</v>
      </c>
      <c r="J382" s="126">
        <f t="shared" si="191"/>
        <v>0</v>
      </c>
      <c r="K382" s="126">
        <f t="shared" si="191"/>
        <v>0</v>
      </c>
      <c r="L382" s="127">
        <f t="shared" si="191"/>
        <v>0</v>
      </c>
    </row>
    <row r="383" spans="3:12" ht="15.6" hidden="1">
      <c r="C383" s="39" t="str">
        <f t="shared" si="156"/>
        <v>H</v>
      </c>
      <c r="D383" s="45">
        <f>Parameter!C$44</f>
        <v>0</v>
      </c>
      <c r="E383" s="125">
        <f t="shared" ref="E383:L383" si="192">SUMIF(Y_VRPC_PR, E$10&amp;"_"&amp;$D345&amp;"_"&amp;$D383, VRPanelQ)</f>
        <v>0</v>
      </c>
      <c r="F383" s="126">
        <f t="shared" si="192"/>
        <v>0</v>
      </c>
      <c r="G383" s="126">
        <f t="shared" si="192"/>
        <v>0</v>
      </c>
      <c r="H383" s="126">
        <f t="shared" si="192"/>
        <v>0</v>
      </c>
      <c r="I383" s="126">
        <f t="shared" si="192"/>
        <v>0</v>
      </c>
      <c r="J383" s="126">
        <f t="shared" si="192"/>
        <v>0</v>
      </c>
      <c r="K383" s="126">
        <f t="shared" si="192"/>
        <v>0</v>
      </c>
      <c r="L383" s="127">
        <f t="shared" si="192"/>
        <v>0</v>
      </c>
    </row>
    <row r="384" spans="3:12" ht="15.6" hidden="1">
      <c r="C384" s="39" t="str">
        <f t="shared" si="156"/>
        <v>H</v>
      </c>
      <c r="D384" s="45">
        <f>Parameter!C$45</f>
        <v>0</v>
      </c>
      <c r="E384" s="125">
        <f t="shared" ref="E384:L384" si="193">SUMIF(Y_VRPC_PR, E$10&amp;"_"&amp;$D345&amp;"_"&amp;$D384, VRPanelQ)</f>
        <v>0</v>
      </c>
      <c r="F384" s="126">
        <f t="shared" si="193"/>
        <v>0</v>
      </c>
      <c r="G384" s="126">
        <f t="shared" si="193"/>
        <v>0</v>
      </c>
      <c r="H384" s="126">
        <f t="shared" si="193"/>
        <v>0</v>
      </c>
      <c r="I384" s="126">
        <f t="shared" si="193"/>
        <v>0</v>
      </c>
      <c r="J384" s="126">
        <f t="shared" si="193"/>
        <v>0</v>
      </c>
      <c r="K384" s="126">
        <f t="shared" si="193"/>
        <v>0</v>
      </c>
      <c r="L384" s="127">
        <f t="shared" si="193"/>
        <v>0</v>
      </c>
    </row>
    <row r="385" spans="3:12" ht="15.6" hidden="1">
      <c r="C385" s="39" t="str">
        <f t="shared" si="156"/>
        <v>H</v>
      </c>
      <c r="D385" s="45">
        <f>Parameter!C$46</f>
        <v>0</v>
      </c>
      <c r="E385" s="125">
        <f t="shared" ref="E385:L385" si="194">SUMIF(Y_VRPC_PR, E$10&amp;"_"&amp;$D345&amp;"_"&amp;$D385, VRPanelQ)</f>
        <v>0</v>
      </c>
      <c r="F385" s="126">
        <f t="shared" si="194"/>
        <v>0</v>
      </c>
      <c r="G385" s="126">
        <f t="shared" si="194"/>
        <v>0</v>
      </c>
      <c r="H385" s="126">
        <f t="shared" si="194"/>
        <v>0</v>
      </c>
      <c r="I385" s="126">
        <f t="shared" si="194"/>
        <v>0</v>
      </c>
      <c r="J385" s="126">
        <f t="shared" si="194"/>
        <v>0</v>
      </c>
      <c r="K385" s="126">
        <f t="shared" si="194"/>
        <v>0</v>
      </c>
      <c r="L385" s="127">
        <f t="shared" si="194"/>
        <v>0</v>
      </c>
    </row>
    <row r="386" spans="3:12" ht="15.6" hidden="1">
      <c r="C386" s="39" t="str">
        <f t="shared" si="156"/>
        <v>H</v>
      </c>
      <c r="D386" s="45">
        <f>Parameter!C$47</f>
        <v>0</v>
      </c>
      <c r="E386" s="125">
        <f t="shared" ref="E386:L386" si="195">SUMIF(Y_VRPC_PR, E$10&amp;"_"&amp;$D345&amp;"_"&amp;$D386, VRPanelQ)</f>
        <v>0</v>
      </c>
      <c r="F386" s="126">
        <f t="shared" si="195"/>
        <v>0</v>
      </c>
      <c r="G386" s="126">
        <f t="shared" si="195"/>
        <v>0</v>
      </c>
      <c r="H386" s="126">
        <f t="shared" si="195"/>
        <v>0</v>
      </c>
      <c r="I386" s="126">
        <f t="shared" si="195"/>
        <v>0</v>
      </c>
      <c r="J386" s="126">
        <f t="shared" si="195"/>
        <v>0</v>
      </c>
      <c r="K386" s="126">
        <f t="shared" si="195"/>
        <v>0</v>
      </c>
      <c r="L386" s="127">
        <f t="shared" si="195"/>
        <v>0</v>
      </c>
    </row>
    <row r="387" spans="3:12" ht="15.6" hidden="1">
      <c r="C387" s="39" t="str">
        <f t="shared" si="156"/>
        <v>H</v>
      </c>
      <c r="D387" s="45">
        <f>Parameter!C$48</f>
        <v>0</v>
      </c>
      <c r="E387" s="125">
        <f t="shared" ref="E387:L387" si="196">SUMIF(Y_VRPC_PR, E$10&amp;"_"&amp;$D345&amp;"_"&amp;$D387, VRPanelQ)</f>
        <v>0</v>
      </c>
      <c r="F387" s="126">
        <f t="shared" si="196"/>
        <v>0</v>
      </c>
      <c r="G387" s="126">
        <f t="shared" si="196"/>
        <v>0</v>
      </c>
      <c r="H387" s="126">
        <f t="shared" si="196"/>
        <v>0</v>
      </c>
      <c r="I387" s="126">
        <f t="shared" si="196"/>
        <v>0</v>
      </c>
      <c r="J387" s="126">
        <f t="shared" si="196"/>
        <v>0</v>
      </c>
      <c r="K387" s="126">
        <f t="shared" si="196"/>
        <v>0</v>
      </c>
      <c r="L387" s="127">
        <f t="shared" si="196"/>
        <v>0</v>
      </c>
    </row>
    <row r="388" spans="3:12" ht="15.6" hidden="1">
      <c r="C388" s="39" t="str">
        <f t="shared" si="156"/>
        <v>H</v>
      </c>
      <c r="D388" s="45">
        <f>Parameter!C$49</f>
        <v>0</v>
      </c>
      <c r="E388" s="125">
        <f t="shared" ref="E388:L388" si="197">SUMIF(Y_VRPC_PR, E$10&amp;"_"&amp;$D345&amp;"_"&amp;$D388, VRPanelQ)</f>
        <v>0</v>
      </c>
      <c r="F388" s="126">
        <f t="shared" si="197"/>
        <v>0</v>
      </c>
      <c r="G388" s="126">
        <f t="shared" si="197"/>
        <v>0</v>
      </c>
      <c r="H388" s="126">
        <f t="shared" si="197"/>
        <v>0</v>
      </c>
      <c r="I388" s="126">
        <f t="shared" si="197"/>
        <v>0</v>
      </c>
      <c r="J388" s="126">
        <f t="shared" si="197"/>
        <v>0</v>
      </c>
      <c r="K388" s="126">
        <f t="shared" si="197"/>
        <v>0</v>
      </c>
      <c r="L388" s="127">
        <f t="shared" si="197"/>
        <v>0</v>
      </c>
    </row>
    <row r="389" spans="3:12" ht="15.6" hidden="1">
      <c r="C389" s="39" t="str">
        <f t="shared" si="156"/>
        <v>H</v>
      </c>
      <c r="D389" s="45">
        <f>Parameter!C$50</f>
        <v>0</v>
      </c>
      <c r="E389" s="125">
        <f t="shared" ref="E389:L389" si="198">SUMIF(Y_VRPC_PR, E$10&amp;"_"&amp;$D345&amp;"_"&amp;$D389, VRPanelQ)</f>
        <v>0</v>
      </c>
      <c r="F389" s="126">
        <f t="shared" si="198"/>
        <v>0</v>
      </c>
      <c r="G389" s="126">
        <f t="shared" si="198"/>
        <v>0</v>
      </c>
      <c r="H389" s="126">
        <f t="shared" si="198"/>
        <v>0</v>
      </c>
      <c r="I389" s="126">
        <f t="shared" si="198"/>
        <v>0</v>
      </c>
      <c r="J389" s="126">
        <f t="shared" si="198"/>
        <v>0</v>
      </c>
      <c r="K389" s="126">
        <f t="shared" si="198"/>
        <v>0</v>
      </c>
      <c r="L389" s="127">
        <f t="shared" si="198"/>
        <v>0</v>
      </c>
    </row>
    <row r="390" spans="3:12" ht="15.6" hidden="1">
      <c r="C390" s="39" t="str">
        <f t="shared" si="156"/>
        <v>H</v>
      </c>
      <c r="D390" s="45">
        <f>Parameter!C$51</f>
        <v>0</v>
      </c>
      <c r="E390" s="125">
        <f t="shared" ref="E390:L390" si="199">SUMIF(Y_VRPC_PR, E$10&amp;"_"&amp;$D345&amp;"_"&amp;$D390, VRPanelQ)</f>
        <v>0</v>
      </c>
      <c r="F390" s="126">
        <f t="shared" si="199"/>
        <v>0</v>
      </c>
      <c r="G390" s="126">
        <f t="shared" si="199"/>
        <v>0</v>
      </c>
      <c r="H390" s="126">
        <f t="shared" si="199"/>
        <v>0</v>
      </c>
      <c r="I390" s="126">
        <f t="shared" si="199"/>
        <v>0</v>
      </c>
      <c r="J390" s="126">
        <f t="shared" si="199"/>
        <v>0</v>
      </c>
      <c r="K390" s="126">
        <f t="shared" si="199"/>
        <v>0</v>
      </c>
      <c r="L390" s="127">
        <f t="shared" si="199"/>
        <v>0</v>
      </c>
    </row>
    <row r="391" spans="3:12" ht="15.6" hidden="1">
      <c r="C391" s="39" t="str">
        <f t="shared" si="156"/>
        <v>H</v>
      </c>
      <c r="D391" s="45">
        <f>Parameter!C$52</f>
        <v>0</v>
      </c>
      <c r="E391" s="125">
        <f t="shared" ref="E391:L391" si="200">SUMIF(Y_VRPC_PR, E$10&amp;"_"&amp;$D345&amp;"_"&amp;$D391, VRPanelQ)</f>
        <v>0</v>
      </c>
      <c r="F391" s="126">
        <f t="shared" si="200"/>
        <v>0</v>
      </c>
      <c r="G391" s="126">
        <f t="shared" si="200"/>
        <v>0</v>
      </c>
      <c r="H391" s="126">
        <f t="shared" si="200"/>
        <v>0</v>
      </c>
      <c r="I391" s="126">
        <f t="shared" si="200"/>
        <v>0</v>
      </c>
      <c r="J391" s="126">
        <f t="shared" si="200"/>
        <v>0</v>
      </c>
      <c r="K391" s="126">
        <f t="shared" si="200"/>
        <v>0</v>
      </c>
      <c r="L391" s="127">
        <f t="shared" si="200"/>
        <v>0</v>
      </c>
    </row>
    <row r="392" spans="3:12" ht="15.6" hidden="1">
      <c r="C392" s="39" t="str">
        <f t="shared" si="156"/>
        <v>H</v>
      </c>
      <c r="D392" s="45">
        <f>Parameter!C$53</f>
        <v>0</v>
      </c>
      <c r="E392" s="125">
        <f t="shared" ref="E392:L392" si="201">SUMIF(Y_VRPC_PR, E$10&amp;"_"&amp;$D345&amp;"_"&amp;$D392, VRPanelQ)</f>
        <v>0</v>
      </c>
      <c r="F392" s="126">
        <f t="shared" si="201"/>
        <v>0</v>
      </c>
      <c r="G392" s="126">
        <f t="shared" si="201"/>
        <v>0</v>
      </c>
      <c r="H392" s="126">
        <f t="shared" si="201"/>
        <v>0</v>
      </c>
      <c r="I392" s="126">
        <f t="shared" si="201"/>
        <v>0</v>
      </c>
      <c r="J392" s="126">
        <f t="shared" si="201"/>
        <v>0</v>
      </c>
      <c r="K392" s="126">
        <f t="shared" si="201"/>
        <v>0</v>
      </c>
      <c r="L392" s="127">
        <f t="shared" si="201"/>
        <v>0</v>
      </c>
    </row>
    <row r="393" spans="3:12" ht="15.6" hidden="1">
      <c r="C393" s="39" t="str">
        <f t="shared" si="156"/>
        <v>H</v>
      </c>
      <c r="D393" s="45">
        <f>Parameter!C$54</f>
        <v>0</v>
      </c>
      <c r="E393" s="125">
        <f t="shared" ref="E393:L393" si="202">SUMIF(Y_VRPC_PR, E$10&amp;"_"&amp;$D345&amp;"_"&amp;$D393, VRPanelQ)</f>
        <v>0</v>
      </c>
      <c r="F393" s="126">
        <f t="shared" si="202"/>
        <v>0</v>
      </c>
      <c r="G393" s="126">
        <f t="shared" si="202"/>
        <v>0</v>
      </c>
      <c r="H393" s="126">
        <f t="shared" si="202"/>
        <v>0</v>
      </c>
      <c r="I393" s="126">
        <f t="shared" si="202"/>
        <v>0</v>
      </c>
      <c r="J393" s="126">
        <f t="shared" si="202"/>
        <v>0</v>
      </c>
      <c r="K393" s="126">
        <f t="shared" si="202"/>
        <v>0</v>
      </c>
      <c r="L393" s="127">
        <f t="shared" si="202"/>
        <v>0</v>
      </c>
    </row>
    <row r="394" spans="3:12" ht="15.6" hidden="1">
      <c r="C394" s="39" t="str">
        <f t="shared" si="156"/>
        <v>H</v>
      </c>
      <c r="D394" s="45">
        <f>Parameter!C$55</f>
        <v>0</v>
      </c>
      <c r="E394" s="125">
        <f t="shared" ref="E394:L394" si="203">SUMIF(Y_VRPC_PR, E$10&amp;"_"&amp;$D345&amp;"_"&amp;$D394, VRPanelQ)</f>
        <v>0</v>
      </c>
      <c r="F394" s="126">
        <f t="shared" si="203"/>
        <v>0</v>
      </c>
      <c r="G394" s="126">
        <f t="shared" si="203"/>
        <v>0</v>
      </c>
      <c r="H394" s="126">
        <f t="shared" si="203"/>
        <v>0</v>
      </c>
      <c r="I394" s="126">
        <f t="shared" si="203"/>
        <v>0</v>
      </c>
      <c r="J394" s="126">
        <f t="shared" si="203"/>
        <v>0</v>
      </c>
      <c r="K394" s="126">
        <f t="shared" si="203"/>
        <v>0</v>
      </c>
      <c r="L394" s="127">
        <f t="shared" si="203"/>
        <v>0</v>
      </c>
    </row>
    <row r="395" spans="3:12" ht="15.6" hidden="1">
      <c r="C395" s="39" t="str">
        <f t="shared" si="156"/>
        <v>H</v>
      </c>
      <c r="D395" s="45">
        <f>Parameter!C$56</f>
        <v>0</v>
      </c>
      <c r="E395" s="125">
        <f t="shared" ref="E395:L395" si="204">SUMIF(Y_VRPC_PR, E$10&amp;"_"&amp;$D345&amp;"_"&amp;$D395, VRPanelQ)</f>
        <v>0</v>
      </c>
      <c r="F395" s="126">
        <f t="shared" si="204"/>
        <v>0</v>
      </c>
      <c r="G395" s="126">
        <f t="shared" si="204"/>
        <v>0</v>
      </c>
      <c r="H395" s="126">
        <f t="shared" si="204"/>
        <v>0</v>
      </c>
      <c r="I395" s="126">
        <f t="shared" si="204"/>
        <v>0</v>
      </c>
      <c r="J395" s="126">
        <f t="shared" si="204"/>
        <v>0</v>
      </c>
      <c r="K395" s="126">
        <f t="shared" si="204"/>
        <v>0</v>
      </c>
      <c r="L395" s="127">
        <f t="shared" si="204"/>
        <v>0</v>
      </c>
    </row>
    <row r="396" spans="3:12" ht="16.2" hidden="1" thickBot="1">
      <c r="C396" s="39" t="str">
        <f t="shared" si="156"/>
        <v>H</v>
      </c>
      <c r="D396" s="53" t="str">
        <f>Parameter!C$57</f>
        <v>ALL</v>
      </c>
      <c r="E396" s="128">
        <f t="shared" ref="E396:L396" si="205">SUMIF(Y_VRPC_PR, E$10&amp;"_"&amp;$D345&amp;"_"&amp;$D396, VRPanelQ)</f>
        <v>0</v>
      </c>
      <c r="F396" s="129">
        <f t="shared" si="205"/>
        <v>0</v>
      </c>
      <c r="G396" s="129">
        <f t="shared" si="205"/>
        <v>0</v>
      </c>
      <c r="H396" s="129">
        <f t="shared" si="205"/>
        <v>0</v>
      </c>
      <c r="I396" s="129">
        <f t="shared" si="205"/>
        <v>0</v>
      </c>
      <c r="J396" s="129">
        <f t="shared" si="205"/>
        <v>0</v>
      </c>
      <c r="K396" s="129">
        <f t="shared" si="205"/>
        <v>0</v>
      </c>
      <c r="L396" s="130">
        <f t="shared" si="205"/>
        <v>0</v>
      </c>
    </row>
    <row r="397" spans="3:12" ht="15.6" hidden="1">
      <c r="C397" s="39" t="str">
        <f t="shared" si="156"/>
        <v>H</v>
      </c>
      <c r="D397" s="54" t="s">
        <v>87</v>
      </c>
      <c r="E397" s="131">
        <f>SUM(E347:E396)</f>
        <v>0</v>
      </c>
      <c r="F397" s="132">
        <f t="shared" ref="F397" si="206">SUM(F347:F396)</f>
        <v>0</v>
      </c>
      <c r="G397" s="132">
        <f t="shared" ref="G397" si="207">SUM(G347:G396)</f>
        <v>0</v>
      </c>
      <c r="H397" s="132">
        <f t="shared" ref="H397" si="208">SUM(H347:H396)</f>
        <v>0</v>
      </c>
      <c r="I397" s="132">
        <f t="shared" ref="I397" si="209">SUM(I347:I396)</f>
        <v>0</v>
      </c>
      <c r="J397" s="132">
        <f t="shared" ref="J397" si="210">SUM(J347:J396)</f>
        <v>0</v>
      </c>
      <c r="K397" s="132">
        <f t="shared" ref="K397" si="211">SUM(K347:K396)</f>
        <v>0</v>
      </c>
      <c r="L397" s="133">
        <f t="shared" ref="L397" si="212">SUM(L347:L396)</f>
        <v>0</v>
      </c>
    </row>
    <row r="398" spans="3:12" ht="16.2" hidden="1" thickBot="1">
      <c r="C398" s="39" t="str">
        <f t="shared" si="156"/>
        <v>H</v>
      </c>
      <c r="D398" s="46" t="s">
        <v>88</v>
      </c>
      <c r="E398" s="47"/>
      <c r="F398" s="50" t="str">
        <f t="shared" ref="F398" si="213">IF(E397*F397=0, "", F397/E397-1)</f>
        <v/>
      </c>
      <c r="G398" s="50" t="str">
        <f t="shared" ref="G398" si="214">IF(F397*G397=0, "", G397/F397-1)</f>
        <v/>
      </c>
      <c r="H398" s="50" t="str">
        <f>IF(G397*H397=0, "", H397/G397-1)</f>
        <v/>
      </c>
      <c r="I398" s="50" t="str">
        <f t="shared" ref="I398" si="215">IF(H397*I397=0, "", I397/H397-1)</f>
        <v/>
      </c>
      <c r="J398" s="50" t="str">
        <f t="shared" ref="J398" si="216">IF(I397*J397=0, "", J397/I397-1)</f>
        <v/>
      </c>
      <c r="K398" s="50" t="str">
        <f t="shared" ref="K398" si="217">IF(J397*K397=0, "", K397/J397-1)</f>
        <v/>
      </c>
      <c r="L398" s="51" t="str">
        <f t="shared" ref="L398" si="218">IF(K397*L397=0, "", L397/K397-1)</f>
        <v/>
      </c>
    </row>
    <row r="399" spans="3:12" ht="15" hidden="1">
      <c r="C399" s="39" t="str">
        <f t="shared" si="156"/>
        <v>H</v>
      </c>
    </row>
    <row r="400" spans="3:12" ht="15.6" hidden="1" thickBot="1">
      <c r="C400" s="39" t="str">
        <f t="shared" si="156"/>
        <v>H</v>
      </c>
    </row>
    <row r="401" spans="3:12" ht="15" hidden="1" thickBot="1">
      <c r="C401" s="57" t="str">
        <f>IF(SUM(E453:L453)=0, "H", "")</f>
        <v>H</v>
      </c>
      <c r="D401" s="52">
        <f>Parameter!G15</f>
        <v>0</v>
      </c>
    </row>
    <row r="402" spans="3:12" ht="16.2" hidden="1" thickBot="1">
      <c r="C402" s="57" t="str">
        <f>IF(SUM(E453:L453)=0, "H", "")</f>
        <v>H</v>
      </c>
      <c r="D402" s="40" t="s">
        <v>85</v>
      </c>
      <c r="E402" s="41" t="s">
        <v>8</v>
      </c>
      <c r="F402" s="42" t="s">
        <v>9</v>
      </c>
      <c r="G402" s="42" t="s">
        <v>10</v>
      </c>
      <c r="H402" s="42" t="s">
        <v>11</v>
      </c>
      <c r="I402" s="42" t="s">
        <v>12</v>
      </c>
      <c r="J402" s="42" t="s">
        <v>13</v>
      </c>
      <c r="K402" s="42" t="s">
        <v>14</v>
      </c>
      <c r="L402" s="43" t="s">
        <v>86</v>
      </c>
    </row>
    <row r="403" spans="3:12" ht="15.6" hidden="1">
      <c r="C403" s="39" t="str">
        <f>IF(SUM(E403:L403)=0, "H", "")</f>
        <v>H</v>
      </c>
      <c r="D403" s="44" t="str">
        <f>Parameter!C$8</f>
        <v>5K VR</v>
      </c>
      <c r="E403" s="125">
        <f t="shared" ref="E403:L403" si="219">SUMIF(Y_VRPC_PR, E$10&amp;"_"&amp;$D401&amp;"_"&amp;$D403, VRPanelQ)</f>
        <v>0</v>
      </c>
      <c r="F403" s="126">
        <f t="shared" si="219"/>
        <v>0</v>
      </c>
      <c r="G403" s="126">
        <f t="shared" si="219"/>
        <v>0</v>
      </c>
      <c r="H403" s="126">
        <f t="shared" si="219"/>
        <v>0</v>
      </c>
      <c r="I403" s="126">
        <f t="shared" si="219"/>
        <v>0</v>
      </c>
      <c r="J403" s="126">
        <f t="shared" si="219"/>
        <v>0</v>
      </c>
      <c r="K403" s="126">
        <f t="shared" si="219"/>
        <v>0</v>
      </c>
      <c r="L403" s="127">
        <f t="shared" si="219"/>
        <v>0</v>
      </c>
    </row>
    <row r="404" spans="3:12" ht="15.6" hidden="1">
      <c r="C404" s="39" t="str">
        <f t="shared" ref="C404:C456" si="220">IF(SUM(E404:L404)=0, "H", "")</f>
        <v>H</v>
      </c>
      <c r="D404" s="44" t="str">
        <f>Parameter!C$9</f>
        <v>Aero</v>
      </c>
      <c r="E404" s="125">
        <f t="shared" ref="E404:L404" si="221">SUMIF(Y_VRPC_PR, E$10&amp;"_"&amp;$D401&amp;"_"&amp;$D404, VRPanelQ)</f>
        <v>0</v>
      </c>
      <c r="F404" s="126">
        <f t="shared" si="221"/>
        <v>0</v>
      </c>
      <c r="G404" s="126">
        <f t="shared" si="221"/>
        <v>0</v>
      </c>
      <c r="H404" s="126">
        <f t="shared" si="221"/>
        <v>0</v>
      </c>
      <c r="I404" s="126">
        <f t="shared" si="221"/>
        <v>0</v>
      </c>
      <c r="J404" s="126">
        <f t="shared" si="221"/>
        <v>0</v>
      </c>
      <c r="K404" s="126">
        <f t="shared" si="221"/>
        <v>0</v>
      </c>
      <c r="L404" s="127">
        <f t="shared" si="221"/>
        <v>0</v>
      </c>
    </row>
    <row r="405" spans="3:12" ht="15.6" hidden="1">
      <c r="C405" s="39" t="str">
        <f t="shared" si="220"/>
        <v>H</v>
      </c>
      <c r="D405" s="45" t="str">
        <f>Parameter!C$10</f>
        <v>Beyond</v>
      </c>
      <c r="E405" s="125">
        <f t="shared" ref="E405:L405" si="222">SUMIF(Y_VRPC_PR, E$10&amp;"_"&amp;$D401&amp;"_"&amp;$D405, VRPanelQ)</f>
        <v>0</v>
      </c>
      <c r="F405" s="126">
        <f t="shared" si="222"/>
        <v>0</v>
      </c>
      <c r="G405" s="126">
        <f t="shared" si="222"/>
        <v>0</v>
      </c>
      <c r="H405" s="126">
        <f t="shared" si="222"/>
        <v>0</v>
      </c>
      <c r="I405" s="126">
        <f t="shared" si="222"/>
        <v>0</v>
      </c>
      <c r="J405" s="126">
        <f t="shared" si="222"/>
        <v>0</v>
      </c>
      <c r="K405" s="126">
        <f t="shared" si="222"/>
        <v>0</v>
      </c>
      <c r="L405" s="127">
        <f t="shared" si="222"/>
        <v>0</v>
      </c>
    </row>
    <row r="406" spans="3:12" ht="15.6" hidden="1">
      <c r="C406" s="39" t="str">
        <f t="shared" si="220"/>
        <v>H</v>
      </c>
      <c r="D406" s="45" t="str">
        <f>Parameter!C$11</f>
        <v>Bionic models</v>
      </c>
      <c r="E406" s="125">
        <f t="shared" ref="E406:L406" si="223">SUMIF(Y_VRPC_PR, E$10&amp;"_"&amp;$D401&amp;"_"&amp;$D406, VRPanelQ)</f>
        <v>0</v>
      </c>
      <c r="F406" s="126">
        <f t="shared" si="223"/>
        <v>0</v>
      </c>
      <c r="G406" s="126">
        <f t="shared" si="223"/>
        <v>0</v>
      </c>
      <c r="H406" s="126">
        <f t="shared" si="223"/>
        <v>0</v>
      </c>
      <c r="I406" s="126">
        <f t="shared" si="223"/>
        <v>0</v>
      </c>
      <c r="J406" s="126">
        <f t="shared" si="223"/>
        <v>0</v>
      </c>
      <c r="K406" s="126">
        <f t="shared" si="223"/>
        <v>0</v>
      </c>
      <c r="L406" s="127">
        <f t="shared" si="223"/>
        <v>0</v>
      </c>
    </row>
    <row r="407" spans="3:12" ht="15.6" hidden="1">
      <c r="C407" s="39" t="str">
        <f t="shared" si="220"/>
        <v>H</v>
      </c>
      <c r="D407" s="45" t="str">
        <f>Parameter!C$12</f>
        <v>Dual LCD VR headset</v>
      </c>
      <c r="E407" s="125">
        <f t="shared" ref="E407:L407" si="224">SUMIF(Y_VRPC_PR, E$10&amp;"_"&amp;$D401&amp;"_"&amp;$D407, VRPanelQ)</f>
        <v>0</v>
      </c>
      <c r="F407" s="126">
        <f t="shared" si="224"/>
        <v>0</v>
      </c>
      <c r="G407" s="126">
        <f t="shared" si="224"/>
        <v>0</v>
      </c>
      <c r="H407" s="126">
        <f t="shared" si="224"/>
        <v>0</v>
      </c>
      <c r="I407" s="126">
        <f t="shared" si="224"/>
        <v>0</v>
      </c>
      <c r="J407" s="126">
        <f t="shared" si="224"/>
        <v>0</v>
      </c>
      <c r="K407" s="126">
        <f t="shared" si="224"/>
        <v>0</v>
      </c>
      <c r="L407" s="127">
        <f t="shared" si="224"/>
        <v>0</v>
      </c>
    </row>
    <row r="408" spans="3:12" ht="15.6" hidden="1">
      <c r="C408" s="39" t="str">
        <f t="shared" si="220"/>
        <v>H</v>
      </c>
      <c r="D408" s="45" t="str">
        <f>Parameter!C$13</f>
        <v>Dual SiOLED headset</v>
      </c>
      <c r="E408" s="125">
        <f t="shared" ref="E408:L408" si="225">SUMIF(Y_VRPC_PR, E$10&amp;"_"&amp;$D401&amp;"_"&amp;$D408, VRPanelQ)</f>
        <v>0</v>
      </c>
      <c r="F408" s="126">
        <f t="shared" si="225"/>
        <v>0</v>
      </c>
      <c r="G408" s="126">
        <f t="shared" si="225"/>
        <v>0</v>
      </c>
      <c r="H408" s="126">
        <f t="shared" si="225"/>
        <v>0</v>
      </c>
      <c r="I408" s="126">
        <f t="shared" si="225"/>
        <v>0</v>
      </c>
      <c r="J408" s="126">
        <f t="shared" si="225"/>
        <v>0</v>
      </c>
      <c r="K408" s="126">
        <f t="shared" si="225"/>
        <v>0</v>
      </c>
      <c r="L408" s="127">
        <f t="shared" si="225"/>
        <v>0</v>
      </c>
    </row>
    <row r="409" spans="3:12" ht="15.6" hidden="1">
      <c r="C409" s="39" t="str">
        <f t="shared" si="220"/>
        <v>H</v>
      </c>
      <c r="D409" s="45" t="str">
        <f>Parameter!C$14</f>
        <v>Index</v>
      </c>
      <c r="E409" s="125">
        <f t="shared" ref="E409:L409" si="226">SUMIF(Y_VRPC_PR, E$10&amp;"_"&amp;$D401&amp;"_"&amp;$D409, VRPanelQ)</f>
        <v>0</v>
      </c>
      <c r="F409" s="126">
        <f t="shared" si="226"/>
        <v>0</v>
      </c>
      <c r="G409" s="126">
        <f t="shared" si="226"/>
        <v>0</v>
      </c>
      <c r="H409" s="126">
        <f t="shared" si="226"/>
        <v>0</v>
      </c>
      <c r="I409" s="126">
        <f t="shared" si="226"/>
        <v>0</v>
      </c>
      <c r="J409" s="126">
        <f t="shared" si="226"/>
        <v>0</v>
      </c>
      <c r="K409" s="126">
        <f t="shared" si="226"/>
        <v>0</v>
      </c>
      <c r="L409" s="127">
        <f t="shared" si="226"/>
        <v>0</v>
      </c>
    </row>
    <row r="410" spans="3:12" ht="15.6" hidden="1">
      <c r="C410" s="39" t="str">
        <f t="shared" si="220"/>
        <v>H</v>
      </c>
      <c r="D410" s="45" t="str">
        <f>Parameter!C$15</f>
        <v>MeganeX</v>
      </c>
      <c r="E410" s="125">
        <f t="shared" ref="E410:L410" si="227">SUMIF(Y_VRPC_PR, E$10&amp;"_"&amp;$D401&amp;"_"&amp;$D410, VRPanelQ)</f>
        <v>0</v>
      </c>
      <c r="F410" s="126">
        <f t="shared" si="227"/>
        <v>0</v>
      </c>
      <c r="G410" s="126">
        <f t="shared" si="227"/>
        <v>0</v>
      </c>
      <c r="H410" s="126">
        <f t="shared" si="227"/>
        <v>0</v>
      </c>
      <c r="I410" s="126">
        <f t="shared" si="227"/>
        <v>0</v>
      </c>
      <c r="J410" s="126">
        <f t="shared" si="227"/>
        <v>0</v>
      </c>
      <c r="K410" s="126">
        <f t="shared" si="227"/>
        <v>0</v>
      </c>
      <c r="L410" s="127">
        <f t="shared" si="227"/>
        <v>0</v>
      </c>
    </row>
    <row r="411" spans="3:12" ht="15.6" hidden="1">
      <c r="C411" s="39" t="str">
        <f t="shared" si="220"/>
        <v>H</v>
      </c>
      <c r="D411" s="45" t="str">
        <f>Parameter!C$16</f>
        <v>MeganeX Superlight 8K</v>
      </c>
      <c r="E411" s="125">
        <f t="shared" ref="E411:L411" si="228">SUMIF(Y_VRPC_PR, E$10&amp;"_"&amp;$D401&amp;"_"&amp;$D411, VRPanelQ)</f>
        <v>0</v>
      </c>
      <c r="F411" s="126">
        <f t="shared" si="228"/>
        <v>0</v>
      </c>
      <c r="G411" s="126">
        <f t="shared" si="228"/>
        <v>0</v>
      </c>
      <c r="H411" s="126">
        <f t="shared" si="228"/>
        <v>0</v>
      </c>
      <c r="I411" s="126">
        <f t="shared" si="228"/>
        <v>0</v>
      </c>
      <c r="J411" s="126">
        <f t="shared" si="228"/>
        <v>0</v>
      </c>
      <c r="K411" s="126">
        <f t="shared" si="228"/>
        <v>0</v>
      </c>
      <c r="L411" s="127">
        <f t="shared" si="228"/>
        <v>0</v>
      </c>
    </row>
    <row r="412" spans="3:12" ht="15.6" hidden="1">
      <c r="C412" s="39" t="str">
        <f t="shared" si="220"/>
        <v>H</v>
      </c>
      <c r="D412" s="45" t="str">
        <f>Parameter!C$17</f>
        <v>Neo 3 / G3</v>
      </c>
      <c r="E412" s="125">
        <f t="shared" ref="E412:L412" si="229">SUMIF(Y_VRPC_PR, E$10&amp;"_"&amp;$D401&amp;"_"&amp;$D412, VRPanelQ)</f>
        <v>0</v>
      </c>
      <c r="F412" s="126">
        <f t="shared" si="229"/>
        <v>0</v>
      </c>
      <c r="G412" s="126">
        <f t="shared" si="229"/>
        <v>0</v>
      </c>
      <c r="H412" s="126">
        <f t="shared" si="229"/>
        <v>0</v>
      </c>
      <c r="I412" s="126">
        <f t="shared" si="229"/>
        <v>0</v>
      </c>
      <c r="J412" s="126">
        <f t="shared" si="229"/>
        <v>0</v>
      </c>
      <c r="K412" s="126">
        <f t="shared" si="229"/>
        <v>0</v>
      </c>
      <c r="L412" s="127">
        <f t="shared" si="229"/>
        <v>0</v>
      </c>
    </row>
    <row r="413" spans="3:12" ht="15.6" hidden="1">
      <c r="C413" s="39" t="str">
        <f t="shared" si="220"/>
        <v>H</v>
      </c>
      <c r="D413" s="45" t="str">
        <f>Parameter!C$18</f>
        <v>OLED VR headset</v>
      </c>
      <c r="E413" s="125">
        <f t="shared" ref="E413:L413" si="230">SUMIF(Y_VRPC_PR, E$10&amp;"_"&amp;$D401&amp;"_"&amp;$D413, VRPanelQ)</f>
        <v>0</v>
      </c>
      <c r="F413" s="126">
        <f t="shared" si="230"/>
        <v>0</v>
      </c>
      <c r="G413" s="126">
        <f t="shared" si="230"/>
        <v>0</v>
      </c>
      <c r="H413" s="126">
        <f t="shared" si="230"/>
        <v>0</v>
      </c>
      <c r="I413" s="126">
        <f t="shared" si="230"/>
        <v>0</v>
      </c>
      <c r="J413" s="126">
        <f t="shared" si="230"/>
        <v>0</v>
      </c>
      <c r="K413" s="126">
        <f t="shared" si="230"/>
        <v>0</v>
      </c>
      <c r="L413" s="127">
        <f t="shared" si="230"/>
        <v>0</v>
      </c>
    </row>
    <row r="414" spans="3:12" ht="15.6" hidden="1">
      <c r="C414" s="39" t="str">
        <f t="shared" si="220"/>
        <v>H</v>
      </c>
      <c r="D414" s="45" t="str">
        <f>Parameter!C$19</f>
        <v>P1 family</v>
      </c>
      <c r="E414" s="125">
        <f t="shared" ref="E414:L414" si="231">SUMIF(Y_VRPC_PR, E$10&amp;"_"&amp;$D401&amp;"_"&amp;$D414, VRPanelQ)</f>
        <v>0</v>
      </c>
      <c r="F414" s="126">
        <f t="shared" si="231"/>
        <v>0</v>
      </c>
      <c r="G414" s="126">
        <f t="shared" si="231"/>
        <v>0</v>
      </c>
      <c r="H414" s="126">
        <f t="shared" si="231"/>
        <v>0</v>
      </c>
      <c r="I414" s="126">
        <f t="shared" si="231"/>
        <v>0</v>
      </c>
      <c r="J414" s="126">
        <f t="shared" si="231"/>
        <v>0</v>
      </c>
      <c r="K414" s="126">
        <f t="shared" si="231"/>
        <v>0</v>
      </c>
      <c r="L414" s="127">
        <f t="shared" si="231"/>
        <v>0</v>
      </c>
    </row>
    <row r="415" spans="3:12" ht="15.6" hidden="1">
      <c r="C415" s="39" t="str">
        <f t="shared" si="220"/>
        <v>H</v>
      </c>
      <c r="D415" s="45" t="str">
        <f>Parameter!C$20</f>
        <v>Pico 4</v>
      </c>
      <c r="E415" s="125">
        <f t="shared" ref="E415:L415" si="232">SUMIF(Y_VRPC_PR, E$10&amp;"_"&amp;$D401&amp;"_"&amp;$D415, VRPanelQ)</f>
        <v>0</v>
      </c>
      <c r="F415" s="126">
        <f t="shared" si="232"/>
        <v>0</v>
      </c>
      <c r="G415" s="126">
        <f t="shared" si="232"/>
        <v>0</v>
      </c>
      <c r="H415" s="126">
        <f t="shared" si="232"/>
        <v>0</v>
      </c>
      <c r="I415" s="126">
        <f t="shared" si="232"/>
        <v>0</v>
      </c>
      <c r="J415" s="126">
        <f t="shared" si="232"/>
        <v>0</v>
      </c>
      <c r="K415" s="126">
        <f t="shared" si="232"/>
        <v>0</v>
      </c>
      <c r="L415" s="127">
        <f t="shared" si="232"/>
        <v>0</v>
      </c>
    </row>
    <row r="416" spans="3:12" ht="15.6" hidden="1">
      <c r="C416" s="39" t="str">
        <f t="shared" si="220"/>
        <v>H</v>
      </c>
      <c r="D416" s="45" t="str">
        <f>Parameter!C$21</f>
        <v>Pimax VR</v>
      </c>
      <c r="E416" s="125">
        <f t="shared" ref="E416:L416" si="233">SUMIF(Y_VRPC_PR, E$10&amp;"_"&amp;$D401&amp;"_"&amp;$D416, VRPanelQ)</f>
        <v>0</v>
      </c>
      <c r="F416" s="126">
        <f t="shared" si="233"/>
        <v>0</v>
      </c>
      <c r="G416" s="126">
        <f t="shared" si="233"/>
        <v>0</v>
      </c>
      <c r="H416" s="126">
        <f t="shared" si="233"/>
        <v>0</v>
      </c>
      <c r="I416" s="126">
        <f t="shared" si="233"/>
        <v>0</v>
      </c>
      <c r="J416" s="126">
        <f t="shared" si="233"/>
        <v>0</v>
      </c>
      <c r="K416" s="126">
        <f t="shared" si="233"/>
        <v>0</v>
      </c>
      <c r="L416" s="127">
        <f t="shared" si="233"/>
        <v>0</v>
      </c>
    </row>
    <row r="417" spans="3:12" ht="15.6" hidden="1">
      <c r="C417" s="39" t="str">
        <f t="shared" si="220"/>
        <v>H</v>
      </c>
      <c r="D417" s="45" t="str">
        <f>Parameter!C$22</f>
        <v>PlayStation VR</v>
      </c>
      <c r="E417" s="125">
        <f t="shared" ref="E417:L417" si="234">SUMIF(Y_VRPC_PR, E$10&amp;"_"&amp;$D401&amp;"_"&amp;$D417, VRPanelQ)</f>
        <v>0</v>
      </c>
      <c r="F417" s="126">
        <f t="shared" si="234"/>
        <v>0</v>
      </c>
      <c r="G417" s="126">
        <f t="shared" si="234"/>
        <v>0</v>
      </c>
      <c r="H417" s="126">
        <f t="shared" si="234"/>
        <v>0</v>
      </c>
      <c r="I417" s="126">
        <f t="shared" si="234"/>
        <v>0</v>
      </c>
      <c r="J417" s="126">
        <f t="shared" si="234"/>
        <v>0</v>
      </c>
      <c r="K417" s="126">
        <f t="shared" si="234"/>
        <v>0</v>
      </c>
      <c r="L417" s="127">
        <f t="shared" si="234"/>
        <v>0</v>
      </c>
    </row>
    <row r="418" spans="3:12" ht="15.6" hidden="1">
      <c r="C418" s="39" t="str">
        <f t="shared" si="220"/>
        <v>H</v>
      </c>
      <c r="D418" s="45" t="str">
        <f>Parameter!C$23</f>
        <v>PlayStation VR2</v>
      </c>
      <c r="E418" s="125">
        <f t="shared" ref="E418:L418" si="235">SUMIF(Y_VRPC_PR, E$10&amp;"_"&amp;$D401&amp;"_"&amp;$D418, VRPanelQ)</f>
        <v>0</v>
      </c>
      <c r="F418" s="126">
        <f t="shared" si="235"/>
        <v>0</v>
      </c>
      <c r="G418" s="126">
        <f t="shared" si="235"/>
        <v>0</v>
      </c>
      <c r="H418" s="126">
        <f t="shared" si="235"/>
        <v>0</v>
      </c>
      <c r="I418" s="126">
        <f t="shared" si="235"/>
        <v>0</v>
      </c>
      <c r="J418" s="126">
        <f t="shared" si="235"/>
        <v>0</v>
      </c>
      <c r="K418" s="126">
        <f t="shared" si="235"/>
        <v>0</v>
      </c>
      <c r="L418" s="127">
        <f t="shared" si="235"/>
        <v>0</v>
      </c>
    </row>
    <row r="419" spans="3:12" ht="15.6" hidden="1">
      <c r="C419" s="39" t="str">
        <f t="shared" si="220"/>
        <v>H</v>
      </c>
      <c r="D419" s="45" t="str">
        <f>Parameter!C$24</f>
        <v>Project Moohan</v>
      </c>
      <c r="E419" s="125">
        <f t="shared" ref="E419:L419" si="236">SUMIF(Y_VRPC_PR, E$10&amp;"_"&amp;$D401&amp;"_"&amp;$D419, VRPanelQ)</f>
        <v>0</v>
      </c>
      <c r="F419" s="126">
        <f t="shared" si="236"/>
        <v>0</v>
      </c>
      <c r="G419" s="126">
        <f t="shared" si="236"/>
        <v>0</v>
      </c>
      <c r="H419" s="126">
        <f t="shared" si="236"/>
        <v>0</v>
      </c>
      <c r="I419" s="126">
        <f t="shared" si="236"/>
        <v>0</v>
      </c>
      <c r="J419" s="126">
        <f t="shared" si="236"/>
        <v>0</v>
      </c>
      <c r="K419" s="126">
        <f t="shared" si="236"/>
        <v>0</v>
      </c>
      <c r="L419" s="127">
        <f t="shared" si="236"/>
        <v>0</v>
      </c>
    </row>
    <row r="420" spans="3:12" ht="15.6" hidden="1">
      <c r="C420" s="39" t="str">
        <f t="shared" si="220"/>
        <v>H</v>
      </c>
      <c r="D420" s="45" t="str">
        <f>Parameter!C$25</f>
        <v>Quest</v>
      </c>
      <c r="E420" s="125">
        <f t="shared" ref="E420:L420" si="237">SUMIF(Y_VRPC_PR, E$10&amp;"_"&amp;$D401&amp;"_"&amp;$D420, VRPanelQ)</f>
        <v>0</v>
      </c>
      <c r="F420" s="126">
        <f t="shared" si="237"/>
        <v>0</v>
      </c>
      <c r="G420" s="126">
        <f t="shared" si="237"/>
        <v>0</v>
      </c>
      <c r="H420" s="126">
        <f t="shared" si="237"/>
        <v>0</v>
      </c>
      <c r="I420" s="126">
        <f t="shared" si="237"/>
        <v>0</v>
      </c>
      <c r="J420" s="126">
        <f t="shared" si="237"/>
        <v>0</v>
      </c>
      <c r="K420" s="126">
        <f t="shared" si="237"/>
        <v>0</v>
      </c>
      <c r="L420" s="127">
        <f t="shared" si="237"/>
        <v>0</v>
      </c>
    </row>
    <row r="421" spans="3:12" ht="15.6" hidden="1">
      <c r="C421" s="39" t="str">
        <f t="shared" si="220"/>
        <v>H</v>
      </c>
      <c r="D421" s="45" t="str">
        <f>Parameter!C$26</f>
        <v>Quest 2</v>
      </c>
      <c r="E421" s="125">
        <f t="shared" ref="E421:L421" si="238">SUMIF(Y_VRPC_PR, E$10&amp;"_"&amp;$D401&amp;"_"&amp;$D421, VRPanelQ)</f>
        <v>0</v>
      </c>
      <c r="F421" s="126">
        <f t="shared" si="238"/>
        <v>0</v>
      </c>
      <c r="G421" s="126">
        <f t="shared" si="238"/>
        <v>0</v>
      </c>
      <c r="H421" s="126">
        <f t="shared" si="238"/>
        <v>0</v>
      </c>
      <c r="I421" s="126">
        <f t="shared" si="238"/>
        <v>0</v>
      </c>
      <c r="J421" s="126">
        <f t="shared" si="238"/>
        <v>0</v>
      </c>
      <c r="K421" s="126">
        <f t="shared" si="238"/>
        <v>0</v>
      </c>
      <c r="L421" s="127">
        <f t="shared" si="238"/>
        <v>0</v>
      </c>
    </row>
    <row r="422" spans="3:12" ht="15.6" hidden="1">
      <c r="C422" s="39" t="str">
        <f t="shared" si="220"/>
        <v>H</v>
      </c>
      <c r="D422" s="45" t="str">
        <f>Parameter!C$27</f>
        <v>Quest 3</v>
      </c>
      <c r="E422" s="125">
        <f t="shared" ref="E422:L422" si="239">SUMIF(Y_VRPC_PR, E$10&amp;"_"&amp;$D401&amp;"_"&amp;$D422, VRPanelQ)</f>
        <v>0</v>
      </c>
      <c r="F422" s="126">
        <f t="shared" si="239"/>
        <v>0</v>
      </c>
      <c r="G422" s="126">
        <f t="shared" si="239"/>
        <v>0</v>
      </c>
      <c r="H422" s="126">
        <f t="shared" si="239"/>
        <v>0</v>
      </c>
      <c r="I422" s="126">
        <f t="shared" si="239"/>
        <v>0</v>
      </c>
      <c r="J422" s="126">
        <f t="shared" si="239"/>
        <v>0</v>
      </c>
      <c r="K422" s="126">
        <f t="shared" si="239"/>
        <v>0</v>
      </c>
      <c r="L422" s="127">
        <f t="shared" si="239"/>
        <v>0</v>
      </c>
    </row>
    <row r="423" spans="3:12" ht="15.6" hidden="1">
      <c r="C423" s="39" t="str">
        <f t="shared" si="220"/>
        <v>H</v>
      </c>
      <c r="D423" s="45" t="str">
        <f>Parameter!C$28</f>
        <v>Quest 3S</v>
      </c>
      <c r="E423" s="125">
        <f t="shared" ref="E423:L423" si="240">SUMIF(Y_VRPC_PR, E$10&amp;"_"&amp;$D401&amp;"_"&amp;$D423, VRPanelQ)</f>
        <v>0</v>
      </c>
      <c r="F423" s="126">
        <f t="shared" si="240"/>
        <v>0</v>
      </c>
      <c r="G423" s="126">
        <f t="shared" si="240"/>
        <v>0</v>
      </c>
      <c r="H423" s="126">
        <f t="shared" si="240"/>
        <v>0</v>
      </c>
      <c r="I423" s="126">
        <f t="shared" si="240"/>
        <v>0</v>
      </c>
      <c r="J423" s="126">
        <f t="shared" si="240"/>
        <v>0</v>
      </c>
      <c r="K423" s="126">
        <f t="shared" si="240"/>
        <v>0</v>
      </c>
      <c r="L423" s="127">
        <f t="shared" si="240"/>
        <v>0</v>
      </c>
    </row>
    <row r="424" spans="3:12" ht="15.6" hidden="1">
      <c r="C424" s="39" t="str">
        <f t="shared" si="220"/>
        <v>H</v>
      </c>
      <c r="D424" s="45" t="str">
        <f>Parameter!C$29</f>
        <v>Quest Pro</v>
      </c>
      <c r="E424" s="125">
        <f t="shared" ref="E424:L424" si="241">SUMIF(Y_VRPC_PR, E$10&amp;"_"&amp;$D401&amp;"_"&amp;$D424, VRPanelQ)</f>
        <v>0</v>
      </c>
      <c r="F424" s="126">
        <f t="shared" si="241"/>
        <v>0</v>
      </c>
      <c r="G424" s="126">
        <f t="shared" si="241"/>
        <v>0</v>
      </c>
      <c r="H424" s="126">
        <f t="shared" si="241"/>
        <v>0</v>
      </c>
      <c r="I424" s="126">
        <f t="shared" si="241"/>
        <v>0</v>
      </c>
      <c r="J424" s="126">
        <f t="shared" si="241"/>
        <v>0</v>
      </c>
      <c r="K424" s="126">
        <f t="shared" si="241"/>
        <v>0</v>
      </c>
      <c r="L424" s="127">
        <f t="shared" si="241"/>
        <v>0</v>
      </c>
    </row>
    <row r="425" spans="3:12" ht="15.6" hidden="1">
      <c r="C425" s="39" t="str">
        <f t="shared" si="220"/>
        <v>H</v>
      </c>
      <c r="D425" s="45" t="str">
        <f>Parameter!C$30</f>
        <v>R1</v>
      </c>
      <c r="E425" s="125">
        <f t="shared" ref="E425:L425" si="242">SUMIF(Y_VRPC_PR, E$10&amp;"_"&amp;$D401&amp;"_"&amp;$D425, VRPanelQ)</f>
        <v>0</v>
      </c>
      <c r="F425" s="126">
        <f t="shared" si="242"/>
        <v>0</v>
      </c>
      <c r="G425" s="126">
        <f t="shared" si="242"/>
        <v>0</v>
      </c>
      <c r="H425" s="126">
        <f t="shared" si="242"/>
        <v>0</v>
      </c>
      <c r="I425" s="126">
        <f t="shared" si="242"/>
        <v>0</v>
      </c>
      <c r="J425" s="126">
        <f t="shared" si="242"/>
        <v>0</v>
      </c>
      <c r="K425" s="126">
        <f t="shared" si="242"/>
        <v>0</v>
      </c>
      <c r="L425" s="127">
        <f t="shared" si="242"/>
        <v>0</v>
      </c>
    </row>
    <row r="426" spans="3:12" ht="15.6" hidden="1">
      <c r="C426" s="39" t="str">
        <f t="shared" si="220"/>
        <v>H</v>
      </c>
      <c r="D426" s="45" t="str">
        <f>Parameter!C$31</f>
        <v>Reverb</v>
      </c>
      <c r="E426" s="125">
        <f t="shared" ref="E426:L426" si="243">SUMIF(Y_VRPC_PR, E$10&amp;"_"&amp;$D401&amp;"_"&amp;$D426, VRPanelQ)</f>
        <v>0</v>
      </c>
      <c r="F426" s="126">
        <f t="shared" si="243"/>
        <v>0</v>
      </c>
      <c r="G426" s="126">
        <f t="shared" si="243"/>
        <v>0</v>
      </c>
      <c r="H426" s="126">
        <f t="shared" si="243"/>
        <v>0</v>
      </c>
      <c r="I426" s="126">
        <f t="shared" si="243"/>
        <v>0</v>
      </c>
      <c r="J426" s="126">
        <f t="shared" si="243"/>
        <v>0</v>
      </c>
      <c r="K426" s="126">
        <f t="shared" si="243"/>
        <v>0</v>
      </c>
      <c r="L426" s="127">
        <f t="shared" si="243"/>
        <v>0</v>
      </c>
    </row>
    <row r="427" spans="3:12" ht="15.6" hidden="1">
      <c r="C427" s="39" t="str">
        <f t="shared" si="220"/>
        <v>H</v>
      </c>
      <c r="D427" s="45" t="str">
        <f>Parameter!C$32</f>
        <v>Reverb G2</v>
      </c>
      <c r="E427" s="125">
        <f t="shared" ref="E427:L427" si="244">SUMIF(Y_VRPC_PR, E$10&amp;"_"&amp;$D401&amp;"_"&amp;$D427, VRPanelQ)</f>
        <v>0</v>
      </c>
      <c r="F427" s="126">
        <f t="shared" si="244"/>
        <v>0</v>
      </c>
      <c r="G427" s="126">
        <f t="shared" si="244"/>
        <v>0</v>
      </c>
      <c r="H427" s="126">
        <f t="shared" si="244"/>
        <v>0</v>
      </c>
      <c r="I427" s="126">
        <f t="shared" si="244"/>
        <v>0</v>
      </c>
      <c r="J427" s="126">
        <f t="shared" si="244"/>
        <v>0</v>
      </c>
      <c r="K427" s="126">
        <f t="shared" si="244"/>
        <v>0</v>
      </c>
      <c r="L427" s="127">
        <f t="shared" si="244"/>
        <v>0</v>
      </c>
    </row>
    <row r="428" spans="3:12" ht="15.6" hidden="1">
      <c r="C428" s="39" t="str">
        <f t="shared" si="220"/>
        <v>H</v>
      </c>
      <c r="D428" s="45" t="str">
        <f>Parameter!C$33</f>
        <v>Rift S</v>
      </c>
      <c r="E428" s="125">
        <f t="shared" ref="E428:L428" si="245">SUMIF(Y_VRPC_PR, E$10&amp;"_"&amp;$D401&amp;"_"&amp;$D428, VRPanelQ)</f>
        <v>0</v>
      </c>
      <c r="F428" s="126">
        <f t="shared" si="245"/>
        <v>0</v>
      </c>
      <c r="G428" s="126">
        <f t="shared" si="245"/>
        <v>0</v>
      </c>
      <c r="H428" s="126">
        <f t="shared" si="245"/>
        <v>0</v>
      </c>
      <c r="I428" s="126">
        <f t="shared" si="245"/>
        <v>0</v>
      </c>
      <c r="J428" s="126">
        <f t="shared" si="245"/>
        <v>0</v>
      </c>
      <c r="K428" s="126">
        <f t="shared" si="245"/>
        <v>0</v>
      </c>
      <c r="L428" s="127">
        <f t="shared" si="245"/>
        <v>0</v>
      </c>
    </row>
    <row r="429" spans="3:12" ht="15.6" hidden="1">
      <c r="C429" s="39" t="str">
        <f t="shared" si="220"/>
        <v>H</v>
      </c>
      <c r="D429" s="45" t="str">
        <f>Parameter!C$34</f>
        <v>Single LCD VR headset</v>
      </c>
      <c r="E429" s="125">
        <f t="shared" ref="E429:L429" si="246">SUMIF(Y_VRPC_PR, E$10&amp;"_"&amp;$D401&amp;"_"&amp;$D429, VRPanelQ)</f>
        <v>0</v>
      </c>
      <c r="F429" s="126">
        <f t="shared" si="246"/>
        <v>0</v>
      </c>
      <c r="G429" s="126">
        <f t="shared" si="246"/>
        <v>0</v>
      </c>
      <c r="H429" s="126">
        <f t="shared" si="246"/>
        <v>0</v>
      </c>
      <c r="I429" s="126">
        <f t="shared" si="246"/>
        <v>0</v>
      </c>
      <c r="J429" s="126">
        <f t="shared" si="246"/>
        <v>0</v>
      </c>
      <c r="K429" s="126">
        <f t="shared" si="246"/>
        <v>0</v>
      </c>
      <c r="L429" s="127">
        <f t="shared" si="246"/>
        <v>0</v>
      </c>
    </row>
    <row r="430" spans="3:12" ht="15.6" hidden="1">
      <c r="C430" s="39" t="str">
        <f t="shared" si="220"/>
        <v>H</v>
      </c>
      <c r="D430" s="45" t="str">
        <f>Parameter!C$35</f>
        <v>ThinkReality VRX</v>
      </c>
      <c r="E430" s="125">
        <f t="shared" ref="E430:L430" si="247">SUMIF(Y_VRPC_PR, E$10&amp;"_"&amp;$D401&amp;"_"&amp;$D430, VRPanelQ)</f>
        <v>0</v>
      </c>
      <c r="F430" s="126">
        <f t="shared" si="247"/>
        <v>0</v>
      </c>
      <c r="G430" s="126">
        <f t="shared" si="247"/>
        <v>0</v>
      </c>
      <c r="H430" s="126">
        <f t="shared" si="247"/>
        <v>0</v>
      </c>
      <c r="I430" s="126">
        <f t="shared" si="247"/>
        <v>0</v>
      </c>
      <c r="J430" s="126">
        <f t="shared" si="247"/>
        <v>0</v>
      </c>
      <c r="K430" s="126">
        <f t="shared" si="247"/>
        <v>0</v>
      </c>
      <c r="L430" s="127">
        <f t="shared" si="247"/>
        <v>0</v>
      </c>
    </row>
    <row r="431" spans="3:12" ht="15.6" hidden="1">
      <c r="C431" s="39" t="str">
        <f t="shared" si="220"/>
        <v>H</v>
      </c>
      <c r="D431" s="45" t="str">
        <f>Parameter!C$36</f>
        <v>Vision Pro</v>
      </c>
      <c r="E431" s="125">
        <f t="shared" ref="E431:L431" si="248">SUMIF(Y_VRPC_PR, E$10&amp;"_"&amp;$D401&amp;"_"&amp;$D431, VRPanelQ)</f>
        <v>0</v>
      </c>
      <c r="F431" s="126">
        <f t="shared" si="248"/>
        <v>0</v>
      </c>
      <c r="G431" s="126">
        <f t="shared" si="248"/>
        <v>0</v>
      </c>
      <c r="H431" s="126">
        <f t="shared" si="248"/>
        <v>0</v>
      </c>
      <c r="I431" s="126">
        <f t="shared" si="248"/>
        <v>0</v>
      </c>
      <c r="J431" s="126">
        <f t="shared" si="248"/>
        <v>0</v>
      </c>
      <c r="K431" s="126">
        <f t="shared" si="248"/>
        <v>0</v>
      </c>
      <c r="L431" s="127">
        <f t="shared" si="248"/>
        <v>0</v>
      </c>
    </row>
    <row r="432" spans="3:12" ht="15.6" hidden="1">
      <c r="C432" s="39" t="str">
        <f t="shared" si="220"/>
        <v>H</v>
      </c>
      <c r="D432" s="45" t="str">
        <f>Parameter!C$37</f>
        <v>Vive LCD headsets</v>
      </c>
      <c r="E432" s="125">
        <f t="shared" ref="E432:L432" si="249">SUMIF(Y_VRPC_PR, E$10&amp;"_"&amp;$D401&amp;"_"&amp;$D432, VRPanelQ)</f>
        <v>0</v>
      </c>
      <c r="F432" s="126">
        <f t="shared" si="249"/>
        <v>0</v>
      </c>
      <c r="G432" s="126">
        <f t="shared" si="249"/>
        <v>0</v>
      </c>
      <c r="H432" s="126">
        <f t="shared" si="249"/>
        <v>0</v>
      </c>
      <c r="I432" s="126">
        <f t="shared" si="249"/>
        <v>0</v>
      </c>
      <c r="J432" s="126">
        <f t="shared" si="249"/>
        <v>0</v>
      </c>
      <c r="K432" s="126">
        <f t="shared" si="249"/>
        <v>0</v>
      </c>
      <c r="L432" s="127">
        <f t="shared" si="249"/>
        <v>0</v>
      </c>
    </row>
    <row r="433" spans="3:12" ht="15.6" hidden="1">
      <c r="C433" s="39" t="str">
        <f t="shared" si="220"/>
        <v>H</v>
      </c>
      <c r="D433" s="45" t="str">
        <f>Parameter!C$38</f>
        <v>VR1</v>
      </c>
      <c r="E433" s="125">
        <f t="shared" ref="E433:L433" si="250">SUMIF(Y_VRPC_PR, E$10&amp;"_"&amp;$D401&amp;"_"&amp;$D433, VRPanelQ)</f>
        <v>0</v>
      </c>
      <c r="F433" s="126">
        <f t="shared" si="250"/>
        <v>0</v>
      </c>
      <c r="G433" s="126">
        <f t="shared" si="250"/>
        <v>0</v>
      </c>
      <c r="H433" s="126">
        <f t="shared" si="250"/>
        <v>0</v>
      </c>
      <c r="I433" s="126">
        <f t="shared" si="250"/>
        <v>0</v>
      </c>
      <c r="J433" s="126">
        <f t="shared" si="250"/>
        <v>0</v>
      </c>
      <c r="K433" s="126">
        <f t="shared" si="250"/>
        <v>0</v>
      </c>
      <c r="L433" s="127">
        <f t="shared" si="250"/>
        <v>0</v>
      </c>
    </row>
    <row r="434" spans="3:12" ht="15.6" hidden="1">
      <c r="C434" s="39" t="str">
        <f t="shared" si="220"/>
        <v>H</v>
      </c>
      <c r="D434" s="45" t="str">
        <f>Parameter!C$39</f>
        <v>XR-4</v>
      </c>
      <c r="E434" s="125">
        <f t="shared" ref="E434:L434" si="251">SUMIF(Y_VRPC_PR, E$10&amp;"_"&amp;$D401&amp;"_"&amp;$D434, VRPanelQ)</f>
        <v>0</v>
      </c>
      <c r="F434" s="126">
        <f t="shared" si="251"/>
        <v>0</v>
      </c>
      <c r="G434" s="126">
        <f t="shared" si="251"/>
        <v>0</v>
      </c>
      <c r="H434" s="126">
        <f t="shared" si="251"/>
        <v>0</v>
      </c>
      <c r="I434" s="126">
        <f t="shared" si="251"/>
        <v>0</v>
      </c>
      <c r="J434" s="126">
        <f t="shared" si="251"/>
        <v>0</v>
      </c>
      <c r="K434" s="126">
        <f t="shared" si="251"/>
        <v>0</v>
      </c>
      <c r="L434" s="127">
        <f t="shared" si="251"/>
        <v>0</v>
      </c>
    </row>
    <row r="435" spans="3:12" ht="15.6" hidden="1">
      <c r="C435" s="39" t="str">
        <f t="shared" si="220"/>
        <v>H</v>
      </c>
      <c r="D435" s="45">
        <f>Parameter!C$40</f>
        <v>0</v>
      </c>
      <c r="E435" s="125">
        <f t="shared" ref="E435:L435" si="252">SUMIF(Y_VRPC_PR, E$10&amp;"_"&amp;$D401&amp;"_"&amp;$D435, VRPanelQ)</f>
        <v>0</v>
      </c>
      <c r="F435" s="126">
        <f t="shared" si="252"/>
        <v>0</v>
      </c>
      <c r="G435" s="126">
        <f t="shared" si="252"/>
        <v>0</v>
      </c>
      <c r="H435" s="126">
        <f t="shared" si="252"/>
        <v>0</v>
      </c>
      <c r="I435" s="126">
        <f t="shared" si="252"/>
        <v>0</v>
      </c>
      <c r="J435" s="126">
        <f t="shared" si="252"/>
        <v>0</v>
      </c>
      <c r="K435" s="126">
        <f t="shared" si="252"/>
        <v>0</v>
      </c>
      <c r="L435" s="127">
        <f t="shared" si="252"/>
        <v>0</v>
      </c>
    </row>
    <row r="436" spans="3:12" ht="15.6" hidden="1">
      <c r="C436" s="39" t="str">
        <f t="shared" si="220"/>
        <v>H</v>
      </c>
      <c r="D436" s="45">
        <f>Parameter!C$41</f>
        <v>0</v>
      </c>
      <c r="E436" s="125">
        <f t="shared" ref="E436:L436" si="253">SUMIF(Y_VRPC_PR, E$10&amp;"_"&amp;$D401&amp;"_"&amp;$D436, VRPanelQ)</f>
        <v>0</v>
      </c>
      <c r="F436" s="126">
        <f t="shared" si="253"/>
        <v>0</v>
      </c>
      <c r="G436" s="126">
        <f t="shared" si="253"/>
        <v>0</v>
      </c>
      <c r="H436" s="126">
        <f t="shared" si="253"/>
        <v>0</v>
      </c>
      <c r="I436" s="126">
        <f t="shared" si="253"/>
        <v>0</v>
      </c>
      <c r="J436" s="126">
        <f t="shared" si="253"/>
        <v>0</v>
      </c>
      <c r="K436" s="126">
        <f t="shared" si="253"/>
        <v>0</v>
      </c>
      <c r="L436" s="127">
        <f t="shared" si="253"/>
        <v>0</v>
      </c>
    </row>
    <row r="437" spans="3:12" ht="15.6" hidden="1">
      <c r="C437" s="39" t="str">
        <f t="shared" si="220"/>
        <v>H</v>
      </c>
      <c r="D437" s="45">
        <f>Parameter!C$42</f>
        <v>0</v>
      </c>
      <c r="E437" s="125">
        <f t="shared" ref="E437:L437" si="254">SUMIF(Y_VRPC_PR, E$10&amp;"_"&amp;$D401&amp;"_"&amp;$D437, VRPanelQ)</f>
        <v>0</v>
      </c>
      <c r="F437" s="126">
        <f t="shared" si="254"/>
        <v>0</v>
      </c>
      <c r="G437" s="126">
        <f t="shared" si="254"/>
        <v>0</v>
      </c>
      <c r="H437" s="126">
        <f t="shared" si="254"/>
        <v>0</v>
      </c>
      <c r="I437" s="126">
        <f t="shared" si="254"/>
        <v>0</v>
      </c>
      <c r="J437" s="126">
        <f t="shared" si="254"/>
        <v>0</v>
      </c>
      <c r="K437" s="126">
        <f t="shared" si="254"/>
        <v>0</v>
      </c>
      <c r="L437" s="127">
        <f t="shared" si="254"/>
        <v>0</v>
      </c>
    </row>
    <row r="438" spans="3:12" ht="15.6" hidden="1">
      <c r="C438" s="39" t="str">
        <f t="shared" si="220"/>
        <v>H</v>
      </c>
      <c r="D438" s="45">
        <f>Parameter!C$43</f>
        <v>0</v>
      </c>
      <c r="E438" s="125">
        <f t="shared" ref="E438:L438" si="255">SUMIF(Y_VRPC_PR, E$10&amp;"_"&amp;$D401&amp;"_"&amp;$D438, VRPanelQ)</f>
        <v>0</v>
      </c>
      <c r="F438" s="126">
        <f t="shared" si="255"/>
        <v>0</v>
      </c>
      <c r="G438" s="126">
        <f t="shared" si="255"/>
        <v>0</v>
      </c>
      <c r="H438" s="126">
        <f t="shared" si="255"/>
        <v>0</v>
      </c>
      <c r="I438" s="126">
        <f t="shared" si="255"/>
        <v>0</v>
      </c>
      <c r="J438" s="126">
        <f t="shared" si="255"/>
        <v>0</v>
      </c>
      <c r="K438" s="126">
        <f t="shared" si="255"/>
        <v>0</v>
      </c>
      <c r="L438" s="127">
        <f t="shared" si="255"/>
        <v>0</v>
      </c>
    </row>
    <row r="439" spans="3:12" ht="15.6" hidden="1">
      <c r="C439" s="39" t="str">
        <f t="shared" si="220"/>
        <v>H</v>
      </c>
      <c r="D439" s="45">
        <f>Parameter!C$44</f>
        <v>0</v>
      </c>
      <c r="E439" s="125">
        <f t="shared" ref="E439:L439" si="256">SUMIF(Y_VRPC_PR, E$10&amp;"_"&amp;$D401&amp;"_"&amp;$D439, VRPanelQ)</f>
        <v>0</v>
      </c>
      <c r="F439" s="126">
        <f t="shared" si="256"/>
        <v>0</v>
      </c>
      <c r="G439" s="126">
        <f t="shared" si="256"/>
        <v>0</v>
      </c>
      <c r="H439" s="126">
        <f t="shared" si="256"/>
        <v>0</v>
      </c>
      <c r="I439" s="126">
        <f t="shared" si="256"/>
        <v>0</v>
      </c>
      <c r="J439" s="126">
        <f t="shared" si="256"/>
        <v>0</v>
      </c>
      <c r="K439" s="126">
        <f t="shared" si="256"/>
        <v>0</v>
      </c>
      <c r="L439" s="127">
        <f t="shared" si="256"/>
        <v>0</v>
      </c>
    </row>
    <row r="440" spans="3:12" ht="15.6" hidden="1">
      <c r="C440" s="39" t="str">
        <f t="shared" si="220"/>
        <v>H</v>
      </c>
      <c r="D440" s="45">
        <f>Parameter!C$45</f>
        <v>0</v>
      </c>
      <c r="E440" s="125">
        <f t="shared" ref="E440:L440" si="257">SUMIF(Y_VRPC_PR, E$10&amp;"_"&amp;$D401&amp;"_"&amp;$D440, VRPanelQ)</f>
        <v>0</v>
      </c>
      <c r="F440" s="126">
        <f t="shared" si="257"/>
        <v>0</v>
      </c>
      <c r="G440" s="126">
        <f t="shared" si="257"/>
        <v>0</v>
      </c>
      <c r="H440" s="126">
        <f t="shared" si="257"/>
        <v>0</v>
      </c>
      <c r="I440" s="126">
        <f t="shared" si="257"/>
        <v>0</v>
      </c>
      <c r="J440" s="126">
        <f t="shared" si="257"/>
        <v>0</v>
      </c>
      <c r="K440" s="126">
        <f t="shared" si="257"/>
        <v>0</v>
      </c>
      <c r="L440" s="127">
        <f t="shared" si="257"/>
        <v>0</v>
      </c>
    </row>
    <row r="441" spans="3:12" ht="15.6" hidden="1">
      <c r="C441" s="39" t="str">
        <f t="shared" si="220"/>
        <v>H</v>
      </c>
      <c r="D441" s="45">
        <f>Parameter!C$46</f>
        <v>0</v>
      </c>
      <c r="E441" s="125">
        <f t="shared" ref="E441:L441" si="258">SUMIF(Y_VRPC_PR, E$10&amp;"_"&amp;$D401&amp;"_"&amp;$D441, VRPanelQ)</f>
        <v>0</v>
      </c>
      <c r="F441" s="126">
        <f t="shared" si="258"/>
        <v>0</v>
      </c>
      <c r="G441" s="126">
        <f t="shared" si="258"/>
        <v>0</v>
      </c>
      <c r="H441" s="126">
        <f t="shared" si="258"/>
        <v>0</v>
      </c>
      <c r="I441" s="126">
        <f t="shared" si="258"/>
        <v>0</v>
      </c>
      <c r="J441" s="126">
        <f t="shared" si="258"/>
        <v>0</v>
      </c>
      <c r="K441" s="126">
        <f t="shared" si="258"/>
        <v>0</v>
      </c>
      <c r="L441" s="127">
        <f t="shared" si="258"/>
        <v>0</v>
      </c>
    </row>
    <row r="442" spans="3:12" ht="15.6" hidden="1">
      <c r="C442" s="39" t="str">
        <f t="shared" si="220"/>
        <v>H</v>
      </c>
      <c r="D442" s="45">
        <f>Parameter!C$47</f>
        <v>0</v>
      </c>
      <c r="E442" s="125">
        <f t="shared" ref="E442:L442" si="259">SUMIF(Y_VRPC_PR, E$10&amp;"_"&amp;$D401&amp;"_"&amp;$D442, VRPanelQ)</f>
        <v>0</v>
      </c>
      <c r="F442" s="126">
        <f t="shared" si="259"/>
        <v>0</v>
      </c>
      <c r="G442" s="126">
        <f t="shared" si="259"/>
        <v>0</v>
      </c>
      <c r="H442" s="126">
        <f t="shared" si="259"/>
        <v>0</v>
      </c>
      <c r="I442" s="126">
        <f t="shared" si="259"/>
        <v>0</v>
      </c>
      <c r="J442" s="126">
        <f t="shared" si="259"/>
        <v>0</v>
      </c>
      <c r="K442" s="126">
        <f t="shared" si="259"/>
        <v>0</v>
      </c>
      <c r="L442" s="127">
        <f t="shared" si="259"/>
        <v>0</v>
      </c>
    </row>
    <row r="443" spans="3:12" ht="15.6" hidden="1">
      <c r="C443" s="39" t="str">
        <f t="shared" si="220"/>
        <v>H</v>
      </c>
      <c r="D443" s="45">
        <f>Parameter!C$48</f>
        <v>0</v>
      </c>
      <c r="E443" s="125">
        <f t="shared" ref="E443:L443" si="260">SUMIF(Y_VRPC_PR, E$10&amp;"_"&amp;$D401&amp;"_"&amp;$D443, VRPanelQ)</f>
        <v>0</v>
      </c>
      <c r="F443" s="126">
        <f t="shared" si="260"/>
        <v>0</v>
      </c>
      <c r="G443" s="126">
        <f t="shared" si="260"/>
        <v>0</v>
      </c>
      <c r="H443" s="126">
        <f t="shared" si="260"/>
        <v>0</v>
      </c>
      <c r="I443" s="126">
        <f t="shared" si="260"/>
        <v>0</v>
      </c>
      <c r="J443" s="126">
        <f t="shared" si="260"/>
        <v>0</v>
      </c>
      <c r="K443" s="126">
        <f t="shared" si="260"/>
        <v>0</v>
      </c>
      <c r="L443" s="127">
        <f t="shared" si="260"/>
        <v>0</v>
      </c>
    </row>
    <row r="444" spans="3:12" ht="15.6" hidden="1">
      <c r="C444" s="39" t="str">
        <f t="shared" si="220"/>
        <v>H</v>
      </c>
      <c r="D444" s="45">
        <f>Parameter!C$49</f>
        <v>0</v>
      </c>
      <c r="E444" s="125">
        <f t="shared" ref="E444:L444" si="261">SUMIF(Y_VRPC_PR, E$10&amp;"_"&amp;$D401&amp;"_"&amp;$D444, VRPanelQ)</f>
        <v>0</v>
      </c>
      <c r="F444" s="126">
        <f t="shared" si="261"/>
        <v>0</v>
      </c>
      <c r="G444" s="126">
        <f t="shared" si="261"/>
        <v>0</v>
      </c>
      <c r="H444" s="126">
        <f t="shared" si="261"/>
        <v>0</v>
      </c>
      <c r="I444" s="126">
        <f t="shared" si="261"/>
        <v>0</v>
      </c>
      <c r="J444" s="126">
        <f t="shared" si="261"/>
        <v>0</v>
      </c>
      <c r="K444" s="126">
        <f t="shared" si="261"/>
        <v>0</v>
      </c>
      <c r="L444" s="127">
        <f t="shared" si="261"/>
        <v>0</v>
      </c>
    </row>
    <row r="445" spans="3:12" ht="15.6" hidden="1">
      <c r="C445" s="39" t="str">
        <f t="shared" si="220"/>
        <v>H</v>
      </c>
      <c r="D445" s="45">
        <f>Parameter!C$50</f>
        <v>0</v>
      </c>
      <c r="E445" s="125">
        <f t="shared" ref="E445:L445" si="262">SUMIF(Y_VRPC_PR, E$10&amp;"_"&amp;$D401&amp;"_"&amp;$D445, VRPanelQ)</f>
        <v>0</v>
      </c>
      <c r="F445" s="126">
        <f t="shared" si="262"/>
        <v>0</v>
      </c>
      <c r="G445" s="126">
        <f t="shared" si="262"/>
        <v>0</v>
      </c>
      <c r="H445" s="126">
        <f t="shared" si="262"/>
        <v>0</v>
      </c>
      <c r="I445" s="126">
        <f t="shared" si="262"/>
        <v>0</v>
      </c>
      <c r="J445" s="126">
        <f t="shared" si="262"/>
        <v>0</v>
      </c>
      <c r="K445" s="126">
        <f t="shared" si="262"/>
        <v>0</v>
      </c>
      <c r="L445" s="127">
        <f t="shared" si="262"/>
        <v>0</v>
      </c>
    </row>
    <row r="446" spans="3:12" ht="15.6" hidden="1">
      <c r="C446" s="39" t="str">
        <f t="shared" si="220"/>
        <v>H</v>
      </c>
      <c r="D446" s="45">
        <f>Parameter!C$51</f>
        <v>0</v>
      </c>
      <c r="E446" s="125">
        <f t="shared" ref="E446:L446" si="263">SUMIF(Y_VRPC_PR, E$10&amp;"_"&amp;$D401&amp;"_"&amp;$D446, VRPanelQ)</f>
        <v>0</v>
      </c>
      <c r="F446" s="126">
        <f t="shared" si="263"/>
        <v>0</v>
      </c>
      <c r="G446" s="126">
        <f t="shared" si="263"/>
        <v>0</v>
      </c>
      <c r="H446" s="126">
        <f t="shared" si="263"/>
        <v>0</v>
      </c>
      <c r="I446" s="126">
        <f t="shared" si="263"/>
        <v>0</v>
      </c>
      <c r="J446" s="126">
        <f t="shared" si="263"/>
        <v>0</v>
      </c>
      <c r="K446" s="126">
        <f t="shared" si="263"/>
        <v>0</v>
      </c>
      <c r="L446" s="127">
        <f t="shared" si="263"/>
        <v>0</v>
      </c>
    </row>
    <row r="447" spans="3:12" ht="15.6" hidden="1">
      <c r="C447" s="39" t="str">
        <f t="shared" si="220"/>
        <v>H</v>
      </c>
      <c r="D447" s="45">
        <f>Parameter!C$52</f>
        <v>0</v>
      </c>
      <c r="E447" s="125">
        <f t="shared" ref="E447:L447" si="264">SUMIF(Y_VRPC_PR, E$10&amp;"_"&amp;$D401&amp;"_"&amp;$D447, VRPanelQ)</f>
        <v>0</v>
      </c>
      <c r="F447" s="126">
        <f t="shared" si="264"/>
        <v>0</v>
      </c>
      <c r="G447" s="126">
        <f t="shared" si="264"/>
        <v>0</v>
      </c>
      <c r="H447" s="126">
        <f t="shared" si="264"/>
        <v>0</v>
      </c>
      <c r="I447" s="126">
        <f t="shared" si="264"/>
        <v>0</v>
      </c>
      <c r="J447" s="126">
        <f t="shared" si="264"/>
        <v>0</v>
      </c>
      <c r="K447" s="126">
        <f t="shared" si="264"/>
        <v>0</v>
      </c>
      <c r="L447" s="127">
        <f t="shared" si="264"/>
        <v>0</v>
      </c>
    </row>
    <row r="448" spans="3:12" ht="15.6" hidden="1">
      <c r="C448" s="39" t="str">
        <f t="shared" si="220"/>
        <v>H</v>
      </c>
      <c r="D448" s="45">
        <f>Parameter!C$53</f>
        <v>0</v>
      </c>
      <c r="E448" s="125">
        <f t="shared" ref="E448:L448" si="265">SUMIF(Y_VRPC_PR, E$10&amp;"_"&amp;$D401&amp;"_"&amp;$D448, VRPanelQ)</f>
        <v>0</v>
      </c>
      <c r="F448" s="126">
        <f t="shared" si="265"/>
        <v>0</v>
      </c>
      <c r="G448" s="126">
        <f t="shared" si="265"/>
        <v>0</v>
      </c>
      <c r="H448" s="126">
        <f t="shared" si="265"/>
        <v>0</v>
      </c>
      <c r="I448" s="126">
        <f t="shared" si="265"/>
        <v>0</v>
      </c>
      <c r="J448" s="126">
        <f t="shared" si="265"/>
        <v>0</v>
      </c>
      <c r="K448" s="126">
        <f t="shared" si="265"/>
        <v>0</v>
      </c>
      <c r="L448" s="127">
        <f t="shared" si="265"/>
        <v>0</v>
      </c>
    </row>
    <row r="449" spans="3:12" ht="15.6" hidden="1">
      <c r="C449" s="39" t="str">
        <f t="shared" si="220"/>
        <v>H</v>
      </c>
      <c r="D449" s="45">
        <f>Parameter!C$54</f>
        <v>0</v>
      </c>
      <c r="E449" s="125">
        <f t="shared" ref="E449:L449" si="266">SUMIF(Y_VRPC_PR, E$10&amp;"_"&amp;$D401&amp;"_"&amp;$D449, VRPanelQ)</f>
        <v>0</v>
      </c>
      <c r="F449" s="126">
        <f t="shared" si="266"/>
        <v>0</v>
      </c>
      <c r="G449" s="126">
        <f t="shared" si="266"/>
        <v>0</v>
      </c>
      <c r="H449" s="126">
        <f t="shared" si="266"/>
        <v>0</v>
      </c>
      <c r="I449" s="126">
        <f t="shared" si="266"/>
        <v>0</v>
      </c>
      <c r="J449" s="126">
        <f t="shared" si="266"/>
        <v>0</v>
      </c>
      <c r="K449" s="126">
        <f t="shared" si="266"/>
        <v>0</v>
      </c>
      <c r="L449" s="127">
        <f t="shared" si="266"/>
        <v>0</v>
      </c>
    </row>
    <row r="450" spans="3:12" ht="15.6" hidden="1">
      <c r="C450" s="39" t="str">
        <f t="shared" si="220"/>
        <v>H</v>
      </c>
      <c r="D450" s="45">
        <f>Parameter!C$55</f>
        <v>0</v>
      </c>
      <c r="E450" s="125">
        <f t="shared" ref="E450:L450" si="267">SUMIF(Y_VRPC_PR, E$10&amp;"_"&amp;$D401&amp;"_"&amp;$D450, VRPanelQ)</f>
        <v>0</v>
      </c>
      <c r="F450" s="126">
        <f t="shared" si="267"/>
        <v>0</v>
      </c>
      <c r="G450" s="126">
        <f t="shared" si="267"/>
        <v>0</v>
      </c>
      <c r="H450" s="126">
        <f t="shared" si="267"/>
        <v>0</v>
      </c>
      <c r="I450" s="126">
        <f t="shared" si="267"/>
        <v>0</v>
      </c>
      <c r="J450" s="126">
        <f t="shared" si="267"/>
        <v>0</v>
      </c>
      <c r="K450" s="126">
        <f t="shared" si="267"/>
        <v>0</v>
      </c>
      <c r="L450" s="127">
        <f t="shared" si="267"/>
        <v>0</v>
      </c>
    </row>
    <row r="451" spans="3:12" ht="15.6" hidden="1">
      <c r="C451" s="39" t="str">
        <f t="shared" si="220"/>
        <v>H</v>
      </c>
      <c r="D451" s="45">
        <f>Parameter!C$56</f>
        <v>0</v>
      </c>
      <c r="E451" s="125">
        <f t="shared" ref="E451:L451" si="268">SUMIF(Y_VRPC_PR, E$10&amp;"_"&amp;$D401&amp;"_"&amp;$D451, VRPanelQ)</f>
        <v>0</v>
      </c>
      <c r="F451" s="126">
        <f t="shared" si="268"/>
        <v>0</v>
      </c>
      <c r="G451" s="126">
        <f t="shared" si="268"/>
        <v>0</v>
      </c>
      <c r="H451" s="126">
        <f t="shared" si="268"/>
        <v>0</v>
      </c>
      <c r="I451" s="126">
        <f t="shared" si="268"/>
        <v>0</v>
      </c>
      <c r="J451" s="126">
        <f t="shared" si="268"/>
        <v>0</v>
      </c>
      <c r="K451" s="126">
        <f t="shared" si="268"/>
        <v>0</v>
      </c>
      <c r="L451" s="127">
        <f t="shared" si="268"/>
        <v>0</v>
      </c>
    </row>
    <row r="452" spans="3:12" ht="16.2" hidden="1" thickBot="1">
      <c r="C452" s="39" t="str">
        <f t="shared" si="220"/>
        <v>H</v>
      </c>
      <c r="D452" s="53" t="str">
        <f>Parameter!C$57</f>
        <v>ALL</v>
      </c>
      <c r="E452" s="128">
        <f t="shared" ref="E452:L452" si="269">SUMIF(Y_VRPC_PR, E$10&amp;"_"&amp;$D401&amp;"_"&amp;$D452, VRPanelQ)</f>
        <v>0</v>
      </c>
      <c r="F452" s="129">
        <f t="shared" si="269"/>
        <v>0</v>
      </c>
      <c r="G452" s="129">
        <f t="shared" si="269"/>
        <v>0</v>
      </c>
      <c r="H452" s="129">
        <f t="shared" si="269"/>
        <v>0</v>
      </c>
      <c r="I452" s="129">
        <f t="shared" si="269"/>
        <v>0</v>
      </c>
      <c r="J452" s="129">
        <f t="shared" si="269"/>
        <v>0</v>
      </c>
      <c r="K452" s="129">
        <f t="shared" si="269"/>
        <v>0</v>
      </c>
      <c r="L452" s="130">
        <f t="shared" si="269"/>
        <v>0</v>
      </c>
    </row>
    <row r="453" spans="3:12" ht="15.6" hidden="1">
      <c r="C453" s="39" t="str">
        <f t="shared" si="220"/>
        <v>H</v>
      </c>
      <c r="D453" s="54" t="s">
        <v>87</v>
      </c>
      <c r="E453" s="131">
        <f>SUM(E403:E452)</f>
        <v>0</v>
      </c>
      <c r="F453" s="132">
        <f t="shared" ref="F453" si="270">SUM(F403:F452)</f>
        <v>0</v>
      </c>
      <c r="G453" s="132">
        <f t="shared" ref="G453" si="271">SUM(G403:G452)</f>
        <v>0</v>
      </c>
      <c r="H453" s="132">
        <f t="shared" ref="H453" si="272">SUM(H403:H452)</f>
        <v>0</v>
      </c>
      <c r="I453" s="132">
        <f t="shared" ref="I453" si="273">SUM(I403:I452)</f>
        <v>0</v>
      </c>
      <c r="J453" s="132">
        <f t="shared" ref="J453" si="274">SUM(J403:J452)</f>
        <v>0</v>
      </c>
      <c r="K453" s="132">
        <f t="shared" ref="K453" si="275">SUM(K403:K452)</f>
        <v>0</v>
      </c>
      <c r="L453" s="133">
        <f t="shared" ref="L453" si="276">SUM(L403:L452)</f>
        <v>0</v>
      </c>
    </row>
    <row r="454" spans="3:12" ht="16.2" hidden="1" thickBot="1">
      <c r="C454" s="39" t="str">
        <f t="shared" si="220"/>
        <v>H</v>
      </c>
      <c r="D454" s="46" t="s">
        <v>88</v>
      </c>
      <c r="E454" s="47"/>
      <c r="F454" s="50" t="str">
        <f t="shared" ref="F454" si="277">IF(E453*F453=0, "", F453/E453-1)</f>
        <v/>
      </c>
      <c r="G454" s="50" t="str">
        <f t="shared" ref="G454" si="278">IF(F453*G453=0, "", G453/F453-1)</f>
        <v/>
      </c>
      <c r="H454" s="50" t="str">
        <f>IF(G453*H453=0, "", H453/G453-1)</f>
        <v/>
      </c>
      <c r="I454" s="50" t="str">
        <f t="shared" ref="I454" si="279">IF(H453*I453=0, "", I453/H453-1)</f>
        <v/>
      </c>
      <c r="J454" s="50" t="str">
        <f t="shared" ref="J454" si="280">IF(I453*J453=0, "", J453/I453-1)</f>
        <v/>
      </c>
      <c r="K454" s="50" t="str">
        <f t="shared" ref="K454" si="281">IF(J453*K453=0, "", K453/J453-1)</f>
        <v/>
      </c>
      <c r="L454" s="51" t="str">
        <f t="shared" ref="L454" si="282">IF(K453*L453=0, "", L453/K453-1)</f>
        <v/>
      </c>
    </row>
    <row r="455" spans="3:12" ht="15" hidden="1">
      <c r="C455" s="39" t="str">
        <f t="shared" si="220"/>
        <v>H</v>
      </c>
    </row>
    <row r="456" spans="3:12" ht="15.6" hidden="1" thickBot="1">
      <c r="C456" s="39" t="str">
        <f t="shared" si="220"/>
        <v>H</v>
      </c>
    </row>
    <row r="457" spans="3:12" ht="15" hidden="1" thickBot="1">
      <c r="C457" s="57" t="str">
        <f>IF(SUM(E509:L509)=0, "H", "")</f>
        <v>H</v>
      </c>
      <c r="D457" s="52">
        <f>Parameter!G16</f>
        <v>0</v>
      </c>
    </row>
    <row r="458" spans="3:12" ht="16.2" hidden="1" thickBot="1">
      <c r="C458" s="57" t="str">
        <f>IF(SUM(E509:L509)=0, "H", "")</f>
        <v>H</v>
      </c>
      <c r="D458" s="40" t="s">
        <v>85</v>
      </c>
      <c r="E458" s="41" t="s">
        <v>8</v>
      </c>
      <c r="F458" s="42" t="s">
        <v>9</v>
      </c>
      <c r="G458" s="42" t="s">
        <v>10</v>
      </c>
      <c r="H458" s="42" t="s">
        <v>11</v>
      </c>
      <c r="I458" s="42" t="s">
        <v>12</v>
      </c>
      <c r="J458" s="42" t="s">
        <v>13</v>
      </c>
      <c r="K458" s="42" t="s">
        <v>14</v>
      </c>
      <c r="L458" s="43" t="s">
        <v>86</v>
      </c>
    </row>
    <row r="459" spans="3:12" ht="15.6" hidden="1">
      <c r="C459" s="39" t="str">
        <f>IF(SUM(E459:L459)=0, "H", "")</f>
        <v>H</v>
      </c>
      <c r="D459" s="44" t="str">
        <f>Parameter!C$8</f>
        <v>5K VR</v>
      </c>
      <c r="E459" s="125">
        <f t="shared" ref="E459:L459" si="283">SUMIF(Y_VRPC_PR, E$10&amp;"_"&amp;$D457&amp;"_"&amp;$D459, VRPanelQ)</f>
        <v>0</v>
      </c>
      <c r="F459" s="126">
        <f t="shared" si="283"/>
        <v>0</v>
      </c>
      <c r="G459" s="126">
        <f t="shared" si="283"/>
        <v>0</v>
      </c>
      <c r="H459" s="126">
        <f t="shared" si="283"/>
        <v>0</v>
      </c>
      <c r="I459" s="126">
        <f t="shared" si="283"/>
        <v>0</v>
      </c>
      <c r="J459" s="126">
        <f t="shared" si="283"/>
        <v>0</v>
      </c>
      <c r="K459" s="126">
        <f t="shared" si="283"/>
        <v>0</v>
      </c>
      <c r="L459" s="127">
        <f t="shared" si="283"/>
        <v>0</v>
      </c>
    </row>
    <row r="460" spans="3:12" ht="15.6" hidden="1">
      <c r="C460" s="39" t="str">
        <f t="shared" ref="C460:C512" si="284">IF(SUM(E460:L460)=0, "H", "")</f>
        <v>H</v>
      </c>
      <c r="D460" s="44" t="str">
        <f>Parameter!C$9</f>
        <v>Aero</v>
      </c>
      <c r="E460" s="125">
        <f t="shared" ref="E460:L460" si="285">SUMIF(Y_VRPC_PR, E$10&amp;"_"&amp;$D457&amp;"_"&amp;$D460, VRPanelQ)</f>
        <v>0</v>
      </c>
      <c r="F460" s="126">
        <f t="shared" si="285"/>
        <v>0</v>
      </c>
      <c r="G460" s="126">
        <f t="shared" si="285"/>
        <v>0</v>
      </c>
      <c r="H460" s="126">
        <f t="shared" si="285"/>
        <v>0</v>
      </c>
      <c r="I460" s="126">
        <f t="shared" si="285"/>
        <v>0</v>
      </c>
      <c r="J460" s="126">
        <f t="shared" si="285"/>
        <v>0</v>
      </c>
      <c r="K460" s="126">
        <f t="shared" si="285"/>
        <v>0</v>
      </c>
      <c r="L460" s="127">
        <f t="shared" si="285"/>
        <v>0</v>
      </c>
    </row>
    <row r="461" spans="3:12" ht="15.6" hidden="1">
      <c r="C461" s="39" t="str">
        <f t="shared" si="284"/>
        <v>H</v>
      </c>
      <c r="D461" s="45" t="str">
        <f>Parameter!C$10</f>
        <v>Beyond</v>
      </c>
      <c r="E461" s="125">
        <f t="shared" ref="E461:L461" si="286">SUMIF(Y_VRPC_PR, E$10&amp;"_"&amp;$D457&amp;"_"&amp;$D461, VRPanelQ)</f>
        <v>0</v>
      </c>
      <c r="F461" s="126">
        <f t="shared" si="286"/>
        <v>0</v>
      </c>
      <c r="G461" s="126">
        <f t="shared" si="286"/>
        <v>0</v>
      </c>
      <c r="H461" s="126">
        <f t="shared" si="286"/>
        <v>0</v>
      </c>
      <c r="I461" s="126">
        <f t="shared" si="286"/>
        <v>0</v>
      </c>
      <c r="J461" s="126">
        <f t="shared" si="286"/>
        <v>0</v>
      </c>
      <c r="K461" s="126">
        <f t="shared" si="286"/>
        <v>0</v>
      </c>
      <c r="L461" s="127">
        <f t="shared" si="286"/>
        <v>0</v>
      </c>
    </row>
    <row r="462" spans="3:12" ht="15.6" hidden="1">
      <c r="C462" s="39" t="str">
        <f t="shared" si="284"/>
        <v>H</v>
      </c>
      <c r="D462" s="45" t="str">
        <f>Parameter!C$11</f>
        <v>Bionic models</v>
      </c>
      <c r="E462" s="125">
        <f t="shared" ref="E462:L462" si="287">SUMIF(Y_VRPC_PR, E$10&amp;"_"&amp;$D457&amp;"_"&amp;$D462, VRPanelQ)</f>
        <v>0</v>
      </c>
      <c r="F462" s="126">
        <f t="shared" si="287"/>
        <v>0</v>
      </c>
      <c r="G462" s="126">
        <f t="shared" si="287"/>
        <v>0</v>
      </c>
      <c r="H462" s="126">
        <f t="shared" si="287"/>
        <v>0</v>
      </c>
      <c r="I462" s="126">
        <f t="shared" si="287"/>
        <v>0</v>
      </c>
      <c r="J462" s="126">
        <f t="shared" si="287"/>
        <v>0</v>
      </c>
      <c r="K462" s="126">
        <f t="shared" si="287"/>
        <v>0</v>
      </c>
      <c r="L462" s="127">
        <f t="shared" si="287"/>
        <v>0</v>
      </c>
    </row>
    <row r="463" spans="3:12" ht="15.6" hidden="1">
      <c r="C463" s="39" t="str">
        <f t="shared" si="284"/>
        <v>H</v>
      </c>
      <c r="D463" s="45" t="str">
        <f>Parameter!C$12</f>
        <v>Dual LCD VR headset</v>
      </c>
      <c r="E463" s="125">
        <f t="shared" ref="E463:L463" si="288">SUMIF(Y_VRPC_PR, E$10&amp;"_"&amp;$D457&amp;"_"&amp;$D463, VRPanelQ)</f>
        <v>0</v>
      </c>
      <c r="F463" s="126">
        <f t="shared" si="288"/>
        <v>0</v>
      </c>
      <c r="G463" s="126">
        <f t="shared" si="288"/>
        <v>0</v>
      </c>
      <c r="H463" s="126">
        <f t="shared" si="288"/>
        <v>0</v>
      </c>
      <c r="I463" s="126">
        <f t="shared" si="288"/>
        <v>0</v>
      </c>
      <c r="J463" s="126">
        <f t="shared" si="288"/>
        <v>0</v>
      </c>
      <c r="K463" s="126">
        <f t="shared" si="288"/>
        <v>0</v>
      </c>
      <c r="L463" s="127">
        <f t="shared" si="288"/>
        <v>0</v>
      </c>
    </row>
    <row r="464" spans="3:12" ht="15.6" hidden="1">
      <c r="C464" s="39" t="str">
        <f t="shared" si="284"/>
        <v>H</v>
      </c>
      <c r="D464" s="45" t="str">
        <f>Parameter!C$13</f>
        <v>Dual SiOLED headset</v>
      </c>
      <c r="E464" s="125">
        <f t="shared" ref="E464:L464" si="289">SUMIF(Y_VRPC_PR, E$10&amp;"_"&amp;$D457&amp;"_"&amp;$D464, VRPanelQ)</f>
        <v>0</v>
      </c>
      <c r="F464" s="126">
        <f t="shared" si="289"/>
        <v>0</v>
      </c>
      <c r="G464" s="126">
        <f t="shared" si="289"/>
        <v>0</v>
      </c>
      <c r="H464" s="126">
        <f t="shared" si="289"/>
        <v>0</v>
      </c>
      <c r="I464" s="126">
        <f t="shared" si="289"/>
        <v>0</v>
      </c>
      <c r="J464" s="126">
        <f t="shared" si="289"/>
        <v>0</v>
      </c>
      <c r="K464" s="126">
        <f t="shared" si="289"/>
        <v>0</v>
      </c>
      <c r="L464" s="127">
        <f t="shared" si="289"/>
        <v>0</v>
      </c>
    </row>
    <row r="465" spans="3:12" ht="15.6" hidden="1">
      <c r="C465" s="39" t="str">
        <f t="shared" si="284"/>
        <v>H</v>
      </c>
      <c r="D465" s="45" t="str">
        <f>Parameter!C$14</f>
        <v>Index</v>
      </c>
      <c r="E465" s="125">
        <f t="shared" ref="E465:L465" si="290">SUMIF(Y_VRPC_PR, E$10&amp;"_"&amp;$D457&amp;"_"&amp;$D465, VRPanelQ)</f>
        <v>0</v>
      </c>
      <c r="F465" s="126">
        <f t="shared" si="290"/>
        <v>0</v>
      </c>
      <c r="G465" s="126">
        <f t="shared" si="290"/>
        <v>0</v>
      </c>
      <c r="H465" s="126">
        <f t="shared" si="290"/>
        <v>0</v>
      </c>
      <c r="I465" s="126">
        <f t="shared" si="290"/>
        <v>0</v>
      </c>
      <c r="J465" s="126">
        <f t="shared" si="290"/>
        <v>0</v>
      </c>
      <c r="K465" s="126">
        <f t="shared" si="290"/>
        <v>0</v>
      </c>
      <c r="L465" s="127">
        <f t="shared" si="290"/>
        <v>0</v>
      </c>
    </row>
    <row r="466" spans="3:12" ht="15.6" hidden="1">
      <c r="C466" s="39" t="str">
        <f t="shared" si="284"/>
        <v>H</v>
      </c>
      <c r="D466" s="45" t="str">
        <f>Parameter!C$15</f>
        <v>MeganeX</v>
      </c>
      <c r="E466" s="125">
        <f t="shared" ref="E466:L466" si="291">SUMIF(Y_VRPC_PR, E$10&amp;"_"&amp;$D457&amp;"_"&amp;$D466, VRPanelQ)</f>
        <v>0</v>
      </c>
      <c r="F466" s="126">
        <f t="shared" si="291"/>
        <v>0</v>
      </c>
      <c r="G466" s="126">
        <f t="shared" si="291"/>
        <v>0</v>
      </c>
      <c r="H466" s="126">
        <f t="shared" si="291"/>
        <v>0</v>
      </c>
      <c r="I466" s="126">
        <f t="shared" si="291"/>
        <v>0</v>
      </c>
      <c r="J466" s="126">
        <f t="shared" si="291"/>
        <v>0</v>
      </c>
      <c r="K466" s="126">
        <f t="shared" si="291"/>
        <v>0</v>
      </c>
      <c r="L466" s="127">
        <f t="shared" si="291"/>
        <v>0</v>
      </c>
    </row>
    <row r="467" spans="3:12" ht="15.6" hidden="1">
      <c r="C467" s="39" t="str">
        <f t="shared" si="284"/>
        <v>H</v>
      </c>
      <c r="D467" s="45" t="str">
        <f>Parameter!C$16</f>
        <v>MeganeX Superlight 8K</v>
      </c>
      <c r="E467" s="125">
        <f t="shared" ref="E467:L467" si="292">SUMIF(Y_VRPC_PR, E$10&amp;"_"&amp;$D457&amp;"_"&amp;$D467, VRPanelQ)</f>
        <v>0</v>
      </c>
      <c r="F467" s="126">
        <f t="shared" si="292"/>
        <v>0</v>
      </c>
      <c r="G467" s="126">
        <f t="shared" si="292"/>
        <v>0</v>
      </c>
      <c r="H467" s="126">
        <f t="shared" si="292"/>
        <v>0</v>
      </c>
      <c r="I467" s="126">
        <f t="shared" si="292"/>
        <v>0</v>
      </c>
      <c r="J467" s="126">
        <f t="shared" si="292"/>
        <v>0</v>
      </c>
      <c r="K467" s="126">
        <f t="shared" si="292"/>
        <v>0</v>
      </c>
      <c r="L467" s="127">
        <f t="shared" si="292"/>
        <v>0</v>
      </c>
    </row>
    <row r="468" spans="3:12" ht="15.6" hidden="1">
      <c r="C468" s="39" t="str">
        <f t="shared" si="284"/>
        <v>H</v>
      </c>
      <c r="D468" s="45" t="str">
        <f>Parameter!C$17</f>
        <v>Neo 3 / G3</v>
      </c>
      <c r="E468" s="125">
        <f t="shared" ref="E468:L468" si="293">SUMIF(Y_VRPC_PR, E$10&amp;"_"&amp;$D457&amp;"_"&amp;$D468, VRPanelQ)</f>
        <v>0</v>
      </c>
      <c r="F468" s="126">
        <f t="shared" si="293"/>
        <v>0</v>
      </c>
      <c r="G468" s="126">
        <f t="shared" si="293"/>
        <v>0</v>
      </c>
      <c r="H468" s="126">
        <f t="shared" si="293"/>
        <v>0</v>
      </c>
      <c r="I468" s="126">
        <f t="shared" si="293"/>
        <v>0</v>
      </c>
      <c r="J468" s="126">
        <f t="shared" si="293"/>
        <v>0</v>
      </c>
      <c r="K468" s="126">
        <f t="shared" si="293"/>
        <v>0</v>
      </c>
      <c r="L468" s="127">
        <f t="shared" si="293"/>
        <v>0</v>
      </c>
    </row>
    <row r="469" spans="3:12" ht="15.6" hidden="1">
      <c r="C469" s="39" t="str">
        <f t="shared" si="284"/>
        <v>H</v>
      </c>
      <c r="D469" s="45" t="str">
        <f>Parameter!C$18</f>
        <v>OLED VR headset</v>
      </c>
      <c r="E469" s="125">
        <f t="shared" ref="E469:L469" si="294">SUMIF(Y_VRPC_PR, E$10&amp;"_"&amp;$D457&amp;"_"&amp;$D469, VRPanelQ)</f>
        <v>0</v>
      </c>
      <c r="F469" s="126">
        <f t="shared" si="294"/>
        <v>0</v>
      </c>
      <c r="G469" s="126">
        <f t="shared" si="294"/>
        <v>0</v>
      </c>
      <c r="H469" s="126">
        <f t="shared" si="294"/>
        <v>0</v>
      </c>
      <c r="I469" s="126">
        <f t="shared" si="294"/>
        <v>0</v>
      </c>
      <c r="J469" s="126">
        <f t="shared" si="294"/>
        <v>0</v>
      </c>
      <c r="K469" s="126">
        <f t="shared" si="294"/>
        <v>0</v>
      </c>
      <c r="L469" s="127">
        <f t="shared" si="294"/>
        <v>0</v>
      </c>
    </row>
    <row r="470" spans="3:12" ht="15.6" hidden="1">
      <c r="C470" s="39" t="str">
        <f t="shared" si="284"/>
        <v>H</v>
      </c>
      <c r="D470" s="45" t="str">
        <f>Parameter!C$19</f>
        <v>P1 family</v>
      </c>
      <c r="E470" s="125">
        <f t="shared" ref="E470:L470" si="295">SUMIF(Y_VRPC_PR, E$10&amp;"_"&amp;$D457&amp;"_"&amp;$D470, VRPanelQ)</f>
        <v>0</v>
      </c>
      <c r="F470" s="126">
        <f t="shared" si="295"/>
        <v>0</v>
      </c>
      <c r="G470" s="126">
        <f t="shared" si="295"/>
        <v>0</v>
      </c>
      <c r="H470" s="126">
        <f t="shared" si="295"/>
        <v>0</v>
      </c>
      <c r="I470" s="126">
        <f t="shared" si="295"/>
        <v>0</v>
      </c>
      <c r="J470" s="126">
        <f t="shared" si="295"/>
        <v>0</v>
      </c>
      <c r="K470" s="126">
        <f t="shared" si="295"/>
        <v>0</v>
      </c>
      <c r="L470" s="127">
        <f t="shared" si="295"/>
        <v>0</v>
      </c>
    </row>
    <row r="471" spans="3:12" ht="15.6" hidden="1">
      <c r="C471" s="39" t="str">
        <f t="shared" si="284"/>
        <v>H</v>
      </c>
      <c r="D471" s="45" t="str">
        <f>Parameter!C$20</f>
        <v>Pico 4</v>
      </c>
      <c r="E471" s="125">
        <f t="shared" ref="E471:L471" si="296">SUMIF(Y_VRPC_PR, E$10&amp;"_"&amp;$D457&amp;"_"&amp;$D471, VRPanelQ)</f>
        <v>0</v>
      </c>
      <c r="F471" s="126">
        <f t="shared" si="296"/>
        <v>0</v>
      </c>
      <c r="G471" s="126">
        <f t="shared" si="296"/>
        <v>0</v>
      </c>
      <c r="H471" s="126">
        <f t="shared" si="296"/>
        <v>0</v>
      </c>
      <c r="I471" s="126">
        <f t="shared" si="296"/>
        <v>0</v>
      </c>
      <c r="J471" s="126">
        <f t="shared" si="296"/>
        <v>0</v>
      </c>
      <c r="K471" s="126">
        <f t="shared" si="296"/>
        <v>0</v>
      </c>
      <c r="L471" s="127">
        <f t="shared" si="296"/>
        <v>0</v>
      </c>
    </row>
    <row r="472" spans="3:12" ht="15.6" hidden="1">
      <c r="C472" s="39" t="str">
        <f t="shared" si="284"/>
        <v>H</v>
      </c>
      <c r="D472" s="45" t="str">
        <f>Parameter!C$21</f>
        <v>Pimax VR</v>
      </c>
      <c r="E472" s="125">
        <f t="shared" ref="E472:L472" si="297">SUMIF(Y_VRPC_PR, E$10&amp;"_"&amp;$D457&amp;"_"&amp;$D472, VRPanelQ)</f>
        <v>0</v>
      </c>
      <c r="F472" s="126">
        <f t="shared" si="297"/>
        <v>0</v>
      </c>
      <c r="G472" s="126">
        <f t="shared" si="297"/>
        <v>0</v>
      </c>
      <c r="H472" s="126">
        <f t="shared" si="297"/>
        <v>0</v>
      </c>
      <c r="I472" s="126">
        <f t="shared" si="297"/>
        <v>0</v>
      </c>
      <c r="J472" s="126">
        <f t="shared" si="297"/>
        <v>0</v>
      </c>
      <c r="K472" s="126">
        <f t="shared" si="297"/>
        <v>0</v>
      </c>
      <c r="L472" s="127">
        <f t="shared" si="297"/>
        <v>0</v>
      </c>
    </row>
    <row r="473" spans="3:12" ht="15.6" hidden="1">
      <c r="C473" s="39" t="str">
        <f t="shared" si="284"/>
        <v>H</v>
      </c>
      <c r="D473" s="45" t="str">
        <f>Parameter!C$22</f>
        <v>PlayStation VR</v>
      </c>
      <c r="E473" s="125">
        <f t="shared" ref="E473:L473" si="298">SUMIF(Y_VRPC_PR, E$10&amp;"_"&amp;$D457&amp;"_"&amp;$D473, VRPanelQ)</f>
        <v>0</v>
      </c>
      <c r="F473" s="126">
        <f t="shared" si="298"/>
        <v>0</v>
      </c>
      <c r="G473" s="126">
        <f t="shared" si="298"/>
        <v>0</v>
      </c>
      <c r="H473" s="126">
        <f t="shared" si="298"/>
        <v>0</v>
      </c>
      <c r="I473" s="126">
        <f t="shared" si="298"/>
        <v>0</v>
      </c>
      <c r="J473" s="126">
        <f t="shared" si="298"/>
        <v>0</v>
      </c>
      <c r="K473" s="126">
        <f t="shared" si="298"/>
        <v>0</v>
      </c>
      <c r="L473" s="127">
        <f t="shared" si="298"/>
        <v>0</v>
      </c>
    </row>
    <row r="474" spans="3:12" ht="15.6" hidden="1">
      <c r="C474" s="39" t="str">
        <f t="shared" si="284"/>
        <v>H</v>
      </c>
      <c r="D474" s="45" t="str">
        <f>Parameter!C$23</f>
        <v>PlayStation VR2</v>
      </c>
      <c r="E474" s="125">
        <f t="shared" ref="E474:L474" si="299">SUMIF(Y_VRPC_PR, E$10&amp;"_"&amp;$D457&amp;"_"&amp;$D474, VRPanelQ)</f>
        <v>0</v>
      </c>
      <c r="F474" s="126">
        <f t="shared" si="299"/>
        <v>0</v>
      </c>
      <c r="G474" s="126">
        <f t="shared" si="299"/>
        <v>0</v>
      </c>
      <c r="H474" s="126">
        <f t="shared" si="299"/>
        <v>0</v>
      </c>
      <c r="I474" s="126">
        <f t="shared" si="299"/>
        <v>0</v>
      </c>
      <c r="J474" s="126">
        <f t="shared" si="299"/>
        <v>0</v>
      </c>
      <c r="K474" s="126">
        <f t="shared" si="299"/>
        <v>0</v>
      </c>
      <c r="L474" s="127">
        <f t="shared" si="299"/>
        <v>0</v>
      </c>
    </row>
    <row r="475" spans="3:12" ht="15.6" hidden="1">
      <c r="C475" s="39" t="str">
        <f t="shared" si="284"/>
        <v>H</v>
      </c>
      <c r="D475" s="45" t="str">
        <f>Parameter!C$24</f>
        <v>Project Moohan</v>
      </c>
      <c r="E475" s="125">
        <f t="shared" ref="E475:L475" si="300">SUMIF(Y_VRPC_PR, E$10&amp;"_"&amp;$D457&amp;"_"&amp;$D475, VRPanelQ)</f>
        <v>0</v>
      </c>
      <c r="F475" s="126">
        <f t="shared" si="300"/>
        <v>0</v>
      </c>
      <c r="G475" s="126">
        <f t="shared" si="300"/>
        <v>0</v>
      </c>
      <c r="H475" s="126">
        <f t="shared" si="300"/>
        <v>0</v>
      </c>
      <c r="I475" s="126">
        <f t="shared" si="300"/>
        <v>0</v>
      </c>
      <c r="J475" s="126">
        <f t="shared" si="300"/>
        <v>0</v>
      </c>
      <c r="K475" s="126">
        <f t="shared" si="300"/>
        <v>0</v>
      </c>
      <c r="L475" s="127">
        <f t="shared" si="300"/>
        <v>0</v>
      </c>
    </row>
    <row r="476" spans="3:12" ht="15.6" hidden="1">
      <c r="C476" s="39" t="str">
        <f t="shared" si="284"/>
        <v>H</v>
      </c>
      <c r="D476" s="45" t="str">
        <f>Parameter!C$25</f>
        <v>Quest</v>
      </c>
      <c r="E476" s="125">
        <f t="shared" ref="E476:L476" si="301">SUMIF(Y_VRPC_PR, E$10&amp;"_"&amp;$D457&amp;"_"&amp;$D476, VRPanelQ)</f>
        <v>0</v>
      </c>
      <c r="F476" s="126">
        <f t="shared" si="301"/>
        <v>0</v>
      </c>
      <c r="G476" s="126">
        <f t="shared" si="301"/>
        <v>0</v>
      </c>
      <c r="H476" s="126">
        <f t="shared" si="301"/>
        <v>0</v>
      </c>
      <c r="I476" s="126">
        <f t="shared" si="301"/>
        <v>0</v>
      </c>
      <c r="J476" s="126">
        <f t="shared" si="301"/>
        <v>0</v>
      </c>
      <c r="K476" s="126">
        <f t="shared" si="301"/>
        <v>0</v>
      </c>
      <c r="L476" s="127">
        <f t="shared" si="301"/>
        <v>0</v>
      </c>
    </row>
    <row r="477" spans="3:12" ht="15.6" hidden="1">
      <c r="C477" s="39" t="str">
        <f t="shared" si="284"/>
        <v>H</v>
      </c>
      <c r="D477" s="45" t="str">
        <f>Parameter!C$26</f>
        <v>Quest 2</v>
      </c>
      <c r="E477" s="125">
        <f t="shared" ref="E477:L477" si="302">SUMIF(Y_VRPC_PR, E$10&amp;"_"&amp;$D457&amp;"_"&amp;$D477, VRPanelQ)</f>
        <v>0</v>
      </c>
      <c r="F477" s="126">
        <f t="shared" si="302"/>
        <v>0</v>
      </c>
      <c r="G477" s="126">
        <f t="shared" si="302"/>
        <v>0</v>
      </c>
      <c r="H477" s="126">
        <f t="shared" si="302"/>
        <v>0</v>
      </c>
      <c r="I477" s="126">
        <f t="shared" si="302"/>
        <v>0</v>
      </c>
      <c r="J477" s="126">
        <f t="shared" si="302"/>
        <v>0</v>
      </c>
      <c r="K477" s="126">
        <f t="shared" si="302"/>
        <v>0</v>
      </c>
      <c r="L477" s="127">
        <f t="shared" si="302"/>
        <v>0</v>
      </c>
    </row>
    <row r="478" spans="3:12" ht="15.6" hidden="1">
      <c r="C478" s="39" t="str">
        <f t="shared" si="284"/>
        <v>H</v>
      </c>
      <c r="D478" s="45" t="str">
        <f>Parameter!C$27</f>
        <v>Quest 3</v>
      </c>
      <c r="E478" s="125">
        <f t="shared" ref="E478:L478" si="303">SUMIF(Y_VRPC_PR, E$10&amp;"_"&amp;$D457&amp;"_"&amp;$D478, VRPanelQ)</f>
        <v>0</v>
      </c>
      <c r="F478" s="126">
        <f t="shared" si="303"/>
        <v>0</v>
      </c>
      <c r="G478" s="126">
        <f t="shared" si="303"/>
        <v>0</v>
      </c>
      <c r="H478" s="126">
        <f t="shared" si="303"/>
        <v>0</v>
      </c>
      <c r="I478" s="126">
        <f t="shared" si="303"/>
        <v>0</v>
      </c>
      <c r="J478" s="126">
        <f t="shared" si="303"/>
        <v>0</v>
      </c>
      <c r="K478" s="126">
        <f t="shared" si="303"/>
        <v>0</v>
      </c>
      <c r="L478" s="127">
        <f t="shared" si="303"/>
        <v>0</v>
      </c>
    </row>
    <row r="479" spans="3:12" ht="15.6" hidden="1">
      <c r="C479" s="39" t="str">
        <f t="shared" si="284"/>
        <v>H</v>
      </c>
      <c r="D479" s="45" t="str">
        <f>Parameter!C$28</f>
        <v>Quest 3S</v>
      </c>
      <c r="E479" s="125">
        <f t="shared" ref="E479:L479" si="304">SUMIF(Y_VRPC_PR, E$10&amp;"_"&amp;$D457&amp;"_"&amp;$D479, VRPanelQ)</f>
        <v>0</v>
      </c>
      <c r="F479" s="126">
        <f t="shared" si="304"/>
        <v>0</v>
      </c>
      <c r="G479" s="126">
        <f t="shared" si="304"/>
        <v>0</v>
      </c>
      <c r="H479" s="126">
        <f t="shared" si="304"/>
        <v>0</v>
      </c>
      <c r="I479" s="126">
        <f t="shared" si="304"/>
        <v>0</v>
      </c>
      <c r="J479" s="126">
        <f t="shared" si="304"/>
        <v>0</v>
      </c>
      <c r="K479" s="126">
        <f t="shared" si="304"/>
        <v>0</v>
      </c>
      <c r="L479" s="127">
        <f t="shared" si="304"/>
        <v>0</v>
      </c>
    </row>
    <row r="480" spans="3:12" ht="15.6" hidden="1">
      <c r="C480" s="39" t="str">
        <f t="shared" si="284"/>
        <v>H</v>
      </c>
      <c r="D480" s="45" t="str">
        <f>Parameter!C$29</f>
        <v>Quest Pro</v>
      </c>
      <c r="E480" s="125">
        <f t="shared" ref="E480:L480" si="305">SUMIF(Y_VRPC_PR, E$10&amp;"_"&amp;$D457&amp;"_"&amp;$D480, VRPanelQ)</f>
        <v>0</v>
      </c>
      <c r="F480" s="126">
        <f t="shared" si="305"/>
        <v>0</v>
      </c>
      <c r="G480" s="126">
        <f t="shared" si="305"/>
        <v>0</v>
      </c>
      <c r="H480" s="126">
        <f t="shared" si="305"/>
        <v>0</v>
      </c>
      <c r="I480" s="126">
        <f t="shared" si="305"/>
        <v>0</v>
      </c>
      <c r="J480" s="126">
        <f t="shared" si="305"/>
        <v>0</v>
      </c>
      <c r="K480" s="126">
        <f t="shared" si="305"/>
        <v>0</v>
      </c>
      <c r="L480" s="127">
        <f t="shared" si="305"/>
        <v>0</v>
      </c>
    </row>
    <row r="481" spans="3:12" ht="15.6" hidden="1">
      <c r="C481" s="39" t="str">
        <f t="shared" si="284"/>
        <v>H</v>
      </c>
      <c r="D481" s="45" t="str">
        <f>Parameter!C$30</f>
        <v>R1</v>
      </c>
      <c r="E481" s="125">
        <f t="shared" ref="E481:L481" si="306">SUMIF(Y_VRPC_PR, E$10&amp;"_"&amp;$D457&amp;"_"&amp;$D481, VRPanelQ)</f>
        <v>0</v>
      </c>
      <c r="F481" s="126">
        <f t="shared" si="306"/>
        <v>0</v>
      </c>
      <c r="G481" s="126">
        <f t="shared" si="306"/>
        <v>0</v>
      </c>
      <c r="H481" s="126">
        <f t="shared" si="306"/>
        <v>0</v>
      </c>
      <c r="I481" s="126">
        <f t="shared" si="306"/>
        <v>0</v>
      </c>
      <c r="J481" s="126">
        <f t="shared" si="306"/>
        <v>0</v>
      </c>
      <c r="K481" s="126">
        <f t="shared" si="306"/>
        <v>0</v>
      </c>
      <c r="L481" s="127">
        <f t="shared" si="306"/>
        <v>0</v>
      </c>
    </row>
    <row r="482" spans="3:12" ht="15.6" hidden="1">
      <c r="C482" s="39" t="str">
        <f t="shared" si="284"/>
        <v>H</v>
      </c>
      <c r="D482" s="45" t="str">
        <f>Parameter!C$31</f>
        <v>Reverb</v>
      </c>
      <c r="E482" s="125">
        <f t="shared" ref="E482:L482" si="307">SUMIF(Y_VRPC_PR, E$10&amp;"_"&amp;$D457&amp;"_"&amp;$D482, VRPanelQ)</f>
        <v>0</v>
      </c>
      <c r="F482" s="126">
        <f t="shared" si="307"/>
        <v>0</v>
      </c>
      <c r="G482" s="126">
        <f t="shared" si="307"/>
        <v>0</v>
      </c>
      <c r="H482" s="126">
        <f t="shared" si="307"/>
        <v>0</v>
      </c>
      <c r="I482" s="126">
        <f t="shared" si="307"/>
        <v>0</v>
      </c>
      <c r="J482" s="126">
        <f t="shared" si="307"/>
        <v>0</v>
      </c>
      <c r="K482" s="126">
        <f t="shared" si="307"/>
        <v>0</v>
      </c>
      <c r="L482" s="127">
        <f t="shared" si="307"/>
        <v>0</v>
      </c>
    </row>
    <row r="483" spans="3:12" ht="15.6" hidden="1">
      <c r="C483" s="39" t="str">
        <f t="shared" si="284"/>
        <v>H</v>
      </c>
      <c r="D483" s="45" t="str">
        <f>Parameter!C$32</f>
        <v>Reverb G2</v>
      </c>
      <c r="E483" s="125">
        <f t="shared" ref="E483:L483" si="308">SUMIF(Y_VRPC_PR, E$10&amp;"_"&amp;$D457&amp;"_"&amp;$D483, VRPanelQ)</f>
        <v>0</v>
      </c>
      <c r="F483" s="126">
        <f t="shared" si="308"/>
        <v>0</v>
      </c>
      <c r="G483" s="126">
        <f t="shared" si="308"/>
        <v>0</v>
      </c>
      <c r="H483" s="126">
        <f t="shared" si="308"/>
        <v>0</v>
      </c>
      <c r="I483" s="126">
        <f t="shared" si="308"/>
        <v>0</v>
      </c>
      <c r="J483" s="126">
        <f t="shared" si="308"/>
        <v>0</v>
      </c>
      <c r="K483" s="126">
        <f t="shared" si="308"/>
        <v>0</v>
      </c>
      <c r="L483" s="127">
        <f t="shared" si="308"/>
        <v>0</v>
      </c>
    </row>
    <row r="484" spans="3:12" ht="15.6" hidden="1">
      <c r="C484" s="39" t="str">
        <f t="shared" si="284"/>
        <v>H</v>
      </c>
      <c r="D484" s="45" t="str">
        <f>Parameter!C$33</f>
        <v>Rift S</v>
      </c>
      <c r="E484" s="125">
        <f t="shared" ref="E484:L484" si="309">SUMIF(Y_VRPC_PR, E$10&amp;"_"&amp;$D457&amp;"_"&amp;$D484, VRPanelQ)</f>
        <v>0</v>
      </c>
      <c r="F484" s="126">
        <f t="shared" si="309"/>
        <v>0</v>
      </c>
      <c r="G484" s="126">
        <f t="shared" si="309"/>
        <v>0</v>
      </c>
      <c r="H484" s="126">
        <f t="shared" si="309"/>
        <v>0</v>
      </c>
      <c r="I484" s="126">
        <f t="shared" si="309"/>
        <v>0</v>
      </c>
      <c r="J484" s="126">
        <f t="shared" si="309"/>
        <v>0</v>
      </c>
      <c r="K484" s="126">
        <f t="shared" si="309"/>
        <v>0</v>
      </c>
      <c r="L484" s="127">
        <f t="shared" si="309"/>
        <v>0</v>
      </c>
    </row>
    <row r="485" spans="3:12" ht="15.6" hidden="1">
      <c r="C485" s="39" t="str">
        <f t="shared" si="284"/>
        <v>H</v>
      </c>
      <c r="D485" s="45" t="str">
        <f>Parameter!C$34</f>
        <v>Single LCD VR headset</v>
      </c>
      <c r="E485" s="125">
        <f t="shared" ref="E485:L485" si="310">SUMIF(Y_VRPC_PR, E$10&amp;"_"&amp;$D457&amp;"_"&amp;$D485, VRPanelQ)</f>
        <v>0</v>
      </c>
      <c r="F485" s="126">
        <f t="shared" si="310"/>
        <v>0</v>
      </c>
      <c r="G485" s="126">
        <f t="shared" si="310"/>
        <v>0</v>
      </c>
      <c r="H485" s="126">
        <f t="shared" si="310"/>
        <v>0</v>
      </c>
      <c r="I485" s="126">
        <f t="shared" si="310"/>
        <v>0</v>
      </c>
      <c r="J485" s="126">
        <f t="shared" si="310"/>
        <v>0</v>
      </c>
      <c r="K485" s="126">
        <f t="shared" si="310"/>
        <v>0</v>
      </c>
      <c r="L485" s="127">
        <f t="shared" si="310"/>
        <v>0</v>
      </c>
    </row>
    <row r="486" spans="3:12" ht="15.6" hidden="1">
      <c r="C486" s="39" t="str">
        <f t="shared" si="284"/>
        <v>H</v>
      </c>
      <c r="D486" s="45" t="str">
        <f>Parameter!C$35</f>
        <v>ThinkReality VRX</v>
      </c>
      <c r="E486" s="125">
        <f t="shared" ref="E486:L486" si="311">SUMIF(Y_VRPC_PR, E$10&amp;"_"&amp;$D457&amp;"_"&amp;$D486, VRPanelQ)</f>
        <v>0</v>
      </c>
      <c r="F486" s="126">
        <f t="shared" si="311"/>
        <v>0</v>
      </c>
      <c r="G486" s="126">
        <f t="shared" si="311"/>
        <v>0</v>
      </c>
      <c r="H486" s="126">
        <f t="shared" si="311"/>
        <v>0</v>
      </c>
      <c r="I486" s="126">
        <f t="shared" si="311"/>
        <v>0</v>
      </c>
      <c r="J486" s="126">
        <f t="shared" si="311"/>
        <v>0</v>
      </c>
      <c r="K486" s="126">
        <f t="shared" si="311"/>
        <v>0</v>
      </c>
      <c r="L486" s="127">
        <f t="shared" si="311"/>
        <v>0</v>
      </c>
    </row>
    <row r="487" spans="3:12" ht="15.6" hidden="1">
      <c r="C487" s="39" t="str">
        <f t="shared" si="284"/>
        <v>H</v>
      </c>
      <c r="D487" s="45" t="str">
        <f>Parameter!C$36</f>
        <v>Vision Pro</v>
      </c>
      <c r="E487" s="125">
        <f t="shared" ref="E487:L487" si="312">SUMIF(Y_VRPC_PR, E$10&amp;"_"&amp;$D457&amp;"_"&amp;$D487, VRPanelQ)</f>
        <v>0</v>
      </c>
      <c r="F487" s="126">
        <f t="shared" si="312"/>
        <v>0</v>
      </c>
      <c r="G487" s="126">
        <f t="shared" si="312"/>
        <v>0</v>
      </c>
      <c r="H487" s="126">
        <f t="shared" si="312"/>
        <v>0</v>
      </c>
      <c r="I487" s="126">
        <f t="shared" si="312"/>
        <v>0</v>
      </c>
      <c r="J487" s="126">
        <f t="shared" si="312"/>
        <v>0</v>
      </c>
      <c r="K487" s="126">
        <f t="shared" si="312"/>
        <v>0</v>
      </c>
      <c r="L487" s="127">
        <f t="shared" si="312"/>
        <v>0</v>
      </c>
    </row>
    <row r="488" spans="3:12" ht="15.6" hidden="1">
      <c r="C488" s="39" t="str">
        <f t="shared" si="284"/>
        <v>H</v>
      </c>
      <c r="D488" s="45" t="str">
        <f>Parameter!C$37</f>
        <v>Vive LCD headsets</v>
      </c>
      <c r="E488" s="125">
        <f t="shared" ref="E488:L488" si="313">SUMIF(Y_VRPC_PR, E$10&amp;"_"&amp;$D457&amp;"_"&amp;$D488, VRPanelQ)</f>
        <v>0</v>
      </c>
      <c r="F488" s="126">
        <f t="shared" si="313"/>
        <v>0</v>
      </c>
      <c r="G488" s="126">
        <f t="shared" si="313"/>
        <v>0</v>
      </c>
      <c r="H488" s="126">
        <f t="shared" si="313"/>
        <v>0</v>
      </c>
      <c r="I488" s="126">
        <f t="shared" si="313"/>
        <v>0</v>
      </c>
      <c r="J488" s="126">
        <f t="shared" si="313"/>
        <v>0</v>
      </c>
      <c r="K488" s="126">
        <f t="shared" si="313"/>
        <v>0</v>
      </c>
      <c r="L488" s="127">
        <f t="shared" si="313"/>
        <v>0</v>
      </c>
    </row>
    <row r="489" spans="3:12" ht="15.6" hidden="1">
      <c r="C489" s="39" t="str">
        <f t="shared" si="284"/>
        <v>H</v>
      </c>
      <c r="D489" s="45" t="str">
        <f>Parameter!C$38</f>
        <v>VR1</v>
      </c>
      <c r="E489" s="125">
        <f t="shared" ref="E489:L489" si="314">SUMIF(Y_VRPC_PR, E$10&amp;"_"&amp;$D457&amp;"_"&amp;$D489, VRPanelQ)</f>
        <v>0</v>
      </c>
      <c r="F489" s="126">
        <f t="shared" si="314"/>
        <v>0</v>
      </c>
      <c r="G489" s="126">
        <f t="shared" si="314"/>
        <v>0</v>
      </c>
      <c r="H489" s="126">
        <f t="shared" si="314"/>
        <v>0</v>
      </c>
      <c r="I489" s="126">
        <f t="shared" si="314"/>
        <v>0</v>
      </c>
      <c r="J489" s="126">
        <f t="shared" si="314"/>
        <v>0</v>
      </c>
      <c r="K489" s="126">
        <f t="shared" si="314"/>
        <v>0</v>
      </c>
      <c r="L489" s="127">
        <f t="shared" si="314"/>
        <v>0</v>
      </c>
    </row>
    <row r="490" spans="3:12" ht="15.6" hidden="1">
      <c r="C490" s="39" t="str">
        <f t="shared" si="284"/>
        <v>H</v>
      </c>
      <c r="D490" s="45" t="str">
        <f>Parameter!C$39</f>
        <v>XR-4</v>
      </c>
      <c r="E490" s="125">
        <f t="shared" ref="E490:L490" si="315">SUMIF(Y_VRPC_PR, E$10&amp;"_"&amp;$D457&amp;"_"&amp;$D490, VRPanelQ)</f>
        <v>0</v>
      </c>
      <c r="F490" s="126">
        <f t="shared" si="315"/>
        <v>0</v>
      </c>
      <c r="G490" s="126">
        <f t="shared" si="315"/>
        <v>0</v>
      </c>
      <c r="H490" s="126">
        <f t="shared" si="315"/>
        <v>0</v>
      </c>
      <c r="I490" s="126">
        <f t="shared" si="315"/>
        <v>0</v>
      </c>
      <c r="J490" s="126">
        <f t="shared" si="315"/>
        <v>0</v>
      </c>
      <c r="K490" s="126">
        <f t="shared" si="315"/>
        <v>0</v>
      </c>
      <c r="L490" s="127">
        <f t="shared" si="315"/>
        <v>0</v>
      </c>
    </row>
    <row r="491" spans="3:12" ht="15.6" hidden="1">
      <c r="C491" s="39" t="str">
        <f t="shared" si="284"/>
        <v>H</v>
      </c>
      <c r="D491" s="45">
        <f>Parameter!C$40</f>
        <v>0</v>
      </c>
      <c r="E491" s="125">
        <f t="shared" ref="E491:L491" si="316">SUMIF(Y_VRPC_PR, E$10&amp;"_"&amp;$D457&amp;"_"&amp;$D491, VRPanelQ)</f>
        <v>0</v>
      </c>
      <c r="F491" s="126">
        <f t="shared" si="316"/>
        <v>0</v>
      </c>
      <c r="G491" s="126">
        <f t="shared" si="316"/>
        <v>0</v>
      </c>
      <c r="H491" s="126">
        <f t="shared" si="316"/>
        <v>0</v>
      </c>
      <c r="I491" s="126">
        <f t="shared" si="316"/>
        <v>0</v>
      </c>
      <c r="J491" s="126">
        <f t="shared" si="316"/>
        <v>0</v>
      </c>
      <c r="K491" s="126">
        <f t="shared" si="316"/>
        <v>0</v>
      </c>
      <c r="L491" s="127">
        <f t="shared" si="316"/>
        <v>0</v>
      </c>
    </row>
    <row r="492" spans="3:12" ht="15.6" hidden="1">
      <c r="C492" s="39" t="str">
        <f t="shared" si="284"/>
        <v>H</v>
      </c>
      <c r="D492" s="45">
        <f>Parameter!C$41</f>
        <v>0</v>
      </c>
      <c r="E492" s="125">
        <f t="shared" ref="E492:L492" si="317">SUMIF(Y_VRPC_PR, E$10&amp;"_"&amp;$D457&amp;"_"&amp;$D492, VRPanelQ)</f>
        <v>0</v>
      </c>
      <c r="F492" s="126">
        <f t="shared" si="317"/>
        <v>0</v>
      </c>
      <c r="G492" s="126">
        <f t="shared" si="317"/>
        <v>0</v>
      </c>
      <c r="H492" s="126">
        <f t="shared" si="317"/>
        <v>0</v>
      </c>
      <c r="I492" s="126">
        <f t="shared" si="317"/>
        <v>0</v>
      </c>
      <c r="J492" s="126">
        <f t="shared" si="317"/>
        <v>0</v>
      </c>
      <c r="K492" s="126">
        <f t="shared" si="317"/>
        <v>0</v>
      </c>
      <c r="L492" s="127">
        <f t="shared" si="317"/>
        <v>0</v>
      </c>
    </row>
    <row r="493" spans="3:12" ht="15.6" hidden="1">
      <c r="C493" s="39" t="str">
        <f t="shared" si="284"/>
        <v>H</v>
      </c>
      <c r="D493" s="45">
        <f>Parameter!C$42</f>
        <v>0</v>
      </c>
      <c r="E493" s="125">
        <f t="shared" ref="E493:L493" si="318">SUMIF(Y_VRPC_PR, E$10&amp;"_"&amp;$D457&amp;"_"&amp;$D493, VRPanelQ)</f>
        <v>0</v>
      </c>
      <c r="F493" s="126">
        <f t="shared" si="318"/>
        <v>0</v>
      </c>
      <c r="G493" s="126">
        <f t="shared" si="318"/>
        <v>0</v>
      </c>
      <c r="H493" s="126">
        <f t="shared" si="318"/>
        <v>0</v>
      </c>
      <c r="I493" s="126">
        <f t="shared" si="318"/>
        <v>0</v>
      </c>
      <c r="J493" s="126">
        <f t="shared" si="318"/>
        <v>0</v>
      </c>
      <c r="K493" s="126">
        <f t="shared" si="318"/>
        <v>0</v>
      </c>
      <c r="L493" s="127">
        <f t="shared" si="318"/>
        <v>0</v>
      </c>
    </row>
    <row r="494" spans="3:12" ht="15.6" hidden="1">
      <c r="C494" s="39" t="str">
        <f t="shared" si="284"/>
        <v>H</v>
      </c>
      <c r="D494" s="45">
        <f>Parameter!C$43</f>
        <v>0</v>
      </c>
      <c r="E494" s="125">
        <f t="shared" ref="E494:L494" si="319">SUMIF(Y_VRPC_PR, E$10&amp;"_"&amp;$D457&amp;"_"&amp;$D494, VRPanelQ)</f>
        <v>0</v>
      </c>
      <c r="F494" s="126">
        <f t="shared" si="319"/>
        <v>0</v>
      </c>
      <c r="G494" s="126">
        <f t="shared" si="319"/>
        <v>0</v>
      </c>
      <c r="H494" s="126">
        <f t="shared" si="319"/>
        <v>0</v>
      </c>
      <c r="I494" s="126">
        <f t="shared" si="319"/>
        <v>0</v>
      </c>
      <c r="J494" s="126">
        <f t="shared" si="319"/>
        <v>0</v>
      </c>
      <c r="K494" s="126">
        <f t="shared" si="319"/>
        <v>0</v>
      </c>
      <c r="L494" s="127">
        <f t="shared" si="319"/>
        <v>0</v>
      </c>
    </row>
    <row r="495" spans="3:12" ht="15.6" hidden="1">
      <c r="C495" s="39" t="str">
        <f t="shared" si="284"/>
        <v>H</v>
      </c>
      <c r="D495" s="45">
        <f>Parameter!C$44</f>
        <v>0</v>
      </c>
      <c r="E495" s="125">
        <f t="shared" ref="E495:L495" si="320">SUMIF(Y_VRPC_PR, E$10&amp;"_"&amp;$D457&amp;"_"&amp;$D495, VRPanelQ)</f>
        <v>0</v>
      </c>
      <c r="F495" s="126">
        <f t="shared" si="320"/>
        <v>0</v>
      </c>
      <c r="G495" s="126">
        <f t="shared" si="320"/>
        <v>0</v>
      </c>
      <c r="H495" s="126">
        <f t="shared" si="320"/>
        <v>0</v>
      </c>
      <c r="I495" s="126">
        <f t="shared" si="320"/>
        <v>0</v>
      </c>
      <c r="J495" s="126">
        <f t="shared" si="320"/>
        <v>0</v>
      </c>
      <c r="K495" s="126">
        <f t="shared" si="320"/>
        <v>0</v>
      </c>
      <c r="L495" s="127">
        <f t="shared" si="320"/>
        <v>0</v>
      </c>
    </row>
    <row r="496" spans="3:12" ht="15.6" hidden="1">
      <c r="C496" s="39" t="str">
        <f t="shared" si="284"/>
        <v>H</v>
      </c>
      <c r="D496" s="45">
        <f>Parameter!C$45</f>
        <v>0</v>
      </c>
      <c r="E496" s="125">
        <f t="shared" ref="E496:L496" si="321">SUMIF(Y_VRPC_PR, E$10&amp;"_"&amp;$D457&amp;"_"&amp;$D496, VRPanelQ)</f>
        <v>0</v>
      </c>
      <c r="F496" s="126">
        <f t="shared" si="321"/>
        <v>0</v>
      </c>
      <c r="G496" s="126">
        <f t="shared" si="321"/>
        <v>0</v>
      </c>
      <c r="H496" s="126">
        <f t="shared" si="321"/>
        <v>0</v>
      </c>
      <c r="I496" s="126">
        <f t="shared" si="321"/>
        <v>0</v>
      </c>
      <c r="J496" s="126">
        <f t="shared" si="321"/>
        <v>0</v>
      </c>
      <c r="K496" s="126">
        <f t="shared" si="321"/>
        <v>0</v>
      </c>
      <c r="L496" s="127">
        <f t="shared" si="321"/>
        <v>0</v>
      </c>
    </row>
    <row r="497" spans="3:12" ht="15.6" hidden="1">
      <c r="C497" s="39" t="str">
        <f t="shared" si="284"/>
        <v>H</v>
      </c>
      <c r="D497" s="45">
        <f>Parameter!C$46</f>
        <v>0</v>
      </c>
      <c r="E497" s="125">
        <f t="shared" ref="E497:L497" si="322">SUMIF(Y_VRPC_PR, E$10&amp;"_"&amp;$D457&amp;"_"&amp;$D497, VRPanelQ)</f>
        <v>0</v>
      </c>
      <c r="F497" s="126">
        <f t="shared" si="322"/>
        <v>0</v>
      </c>
      <c r="G497" s="126">
        <f t="shared" si="322"/>
        <v>0</v>
      </c>
      <c r="H497" s="126">
        <f t="shared" si="322"/>
        <v>0</v>
      </c>
      <c r="I497" s="126">
        <f t="shared" si="322"/>
        <v>0</v>
      </c>
      <c r="J497" s="126">
        <f t="shared" si="322"/>
        <v>0</v>
      </c>
      <c r="K497" s="126">
        <f t="shared" si="322"/>
        <v>0</v>
      </c>
      <c r="L497" s="127">
        <f t="shared" si="322"/>
        <v>0</v>
      </c>
    </row>
    <row r="498" spans="3:12" ht="15.6" hidden="1">
      <c r="C498" s="39" t="str">
        <f t="shared" si="284"/>
        <v>H</v>
      </c>
      <c r="D498" s="45">
        <f>Parameter!C$47</f>
        <v>0</v>
      </c>
      <c r="E498" s="125">
        <f t="shared" ref="E498:L498" si="323">SUMIF(Y_VRPC_PR, E$10&amp;"_"&amp;$D457&amp;"_"&amp;$D498, VRPanelQ)</f>
        <v>0</v>
      </c>
      <c r="F498" s="126">
        <f t="shared" si="323"/>
        <v>0</v>
      </c>
      <c r="G498" s="126">
        <f t="shared" si="323"/>
        <v>0</v>
      </c>
      <c r="H498" s="126">
        <f t="shared" si="323"/>
        <v>0</v>
      </c>
      <c r="I498" s="126">
        <f t="shared" si="323"/>
        <v>0</v>
      </c>
      <c r="J498" s="126">
        <f t="shared" si="323"/>
        <v>0</v>
      </c>
      <c r="K498" s="126">
        <f t="shared" si="323"/>
        <v>0</v>
      </c>
      <c r="L498" s="127">
        <f t="shared" si="323"/>
        <v>0</v>
      </c>
    </row>
    <row r="499" spans="3:12" ht="15.6" hidden="1">
      <c r="C499" s="39" t="str">
        <f t="shared" si="284"/>
        <v>H</v>
      </c>
      <c r="D499" s="45">
        <f>Parameter!C$48</f>
        <v>0</v>
      </c>
      <c r="E499" s="125">
        <f t="shared" ref="E499:L499" si="324">SUMIF(Y_VRPC_PR, E$10&amp;"_"&amp;$D457&amp;"_"&amp;$D499, VRPanelQ)</f>
        <v>0</v>
      </c>
      <c r="F499" s="126">
        <f t="shared" si="324"/>
        <v>0</v>
      </c>
      <c r="G499" s="126">
        <f t="shared" si="324"/>
        <v>0</v>
      </c>
      <c r="H499" s="126">
        <f t="shared" si="324"/>
        <v>0</v>
      </c>
      <c r="I499" s="126">
        <f t="shared" si="324"/>
        <v>0</v>
      </c>
      <c r="J499" s="126">
        <f t="shared" si="324"/>
        <v>0</v>
      </c>
      <c r="K499" s="126">
        <f t="shared" si="324"/>
        <v>0</v>
      </c>
      <c r="L499" s="127">
        <f t="shared" si="324"/>
        <v>0</v>
      </c>
    </row>
    <row r="500" spans="3:12" ht="15.6" hidden="1">
      <c r="C500" s="39" t="str">
        <f t="shared" si="284"/>
        <v>H</v>
      </c>
      <c r="D500" s="45">
        <f>Parameter!C$49</f>
        <v>0</v>
      </c>
      <c r="E500" s="125">
        <f t="shared" ref="E500:L500" si="325">SUMIF(Y_VRPC_PR, E$10&amp;"_"&amp;$D457&amp;"_"&amp;$D500, VRPanelQ)</f>
        <v>0</v>
      </c>
      <c r="F500" s="126">
        <f t="shared" si="325"/>
        <v>0</v>
      </c>
      <c r="G500" s="126">
        <f t="shared" si="325"/>
        <v>0</v>
      </c>
      <c r="H500" s="126">
        <f t="shared" si="325"/>
        <v>0</v>
      </c>
      <c r="I500" s="126">
        <f t="shared" si="325"/>
        <v>0</v>
      </c>
      <c r="J500" s="126">
        <f t="shared" si="325"/>
        <v>0</v>
      </c>
      <c r="K500" s="126">
        <f t="shared" si="325"/>
        <v>0</v>
      </c>
      <c r="L500" s="127">
        <f t="shared" si="325"/>
        <v>0</v>
      </c>
    </row>
    <row r="501" spans="3:12" ht="15.6" hidden="1">
      <c r="C501" s="39" t="str">
        <f t="shared" si="284"/>
        <v>H</v>
      </c>
      <c r="D501" s="45">
        <f>Parameter!C$50</f>
        <v>0</v>
      </c>
      <c r="E501" s="125">
        <f t="shared" ref="E501:L501" si="326">SUMIF(Y_VRPC_PR, E$10&amp;"_"&amp;$D457&amp;"_"&amp;$D501, VRPanelQ)</f>
        <v>0</v>
      </c>
      <c r="F501" s="126">
        <f t="shared" si="326"/>
        <v>0</v>
      </c>
      <c r="G501" s="126">
        <f t="shared" si="326"/>
        <v>0</v>
      </c>
      <c r="H501" s="126">
        <f t="shared" si="326"/>
        <v>0</v>
      </c>
      <c r="I501" s="126">
        <f t="shared" si="326"/>
        <v>0</v>
      </c>
      <c r="J501" s="126">
        <f t="shared" si="326"/>
        <v>0</v>
      </c>
      <c r="K501" s="126">
        <f t="shared" si="326"/>
        <v>0</v>
      </c>
      <c r="L501" s="127">
        <f t="shared" si="326"/>
        <v>0</v>
      </c>
    </row>
    <row r="502" spans="3:12" ht="15.6" hidden="1">
      <c r="C502" s="39" t="str">
        <f t="shared" si="284"/>
        <v>H</v>
      </c>
      <c r="D502" s="45">
        <f>Parameter!C$51</f>
        <v>0</v>
      </c>
      <c r="E502" s="125">
        <f t="shared" ref="E502:L502" si="327">SUMIF(Y_VRPC_PR, E$10&amp;"_"&amp;$D457&amp;"_"&amp;$D502, VRPanelQ)</f>
        <v>0</v>
      </c>
      <c r="F502" s="126">
        <f t="shared" si="327"/>
        <v>0</v>
      </c>
      <c r="G502" s="126">
        <f t="shared" si="327"/>
        <v>0</v>
      </c>
      <c r="H502" s="126">
        <f t="shared" si="327"/>
        <v>0</v>
      </c>
      <c r="I502" s="126">
        <f t="shared" si="327"/>
        <v>0</v>
      </c>
      <c r="J502" s="126">
        <f t="shared" si="327"/>
        <v>0</v>
      </c>
      <c r="K502" s="126">
        <f t="shared" si="327"/>
        <v>0</v>
      </c>
      <c r="L502" s="127">
        <f t="shared" si="327"/>
        <v>0</v>
      </c>
    </row>
    <row r="503" spans="3:12" ht="15.6" hidden="1">
      <c r="C503" s="39" t="str">
        <f t="shared" si="284"/>
        <v>H</v>
      </c>
      <c r="D503" s="45">
        <f>Parameter!C$52</f>
        <v>0</v>
      </c>
      <c r="E503" s="125">
        <f t="shared" ref="E503:L503" si="328">SUMIF(Y_VRPC_PR, E$10&amp;"_"&amp;$D457&amp;"_"&amp;$D503, VRPanelQ)</f>
        <v>0</v>
      </c>
      <c r="F503" s="126">
        <f t="shared" si="328"/>
        <v>0</v>
      </c>
      <c r="G503" s="126">
        <f t="shared" si="328"/>
        <v>0</v>
      </c>
      <c r="H503" s="126">
        <f t="shared" si="328"/>
        <v>0</v>
      </c>
      <c r="I503" s="126">
        <f t="shared" si="328"/>
        <v>0</v>
      </c>
      <c r="J503" s="126">
        <f t="shared" si="328"/>
        <v>0</v>
      </c>
      <c r="K503" s="126">
        <f t="shared" si="328"/>
        <v>0</v>
      </c>
      <c r="L503" s="127">
        <f t="shared" si="328"/>
        <v>0</v>
      </c>
    </row>
    <row r="504" spans="3:12" ht="15.6" hidden="1">
      <c r="C504" s="39" t="str">
        <f t="shared" si="284"/>
        <v>H</v>
      </c>
      <c r="D504" s="45">
        <f>Parameter!C$53</f>
        <v>0</v>
      </c>
      <c r="E504" s="125">
        <f t="shared" ref="E504:L504" si="329">SUMIF(Y_VRPC_PR, E$10&amp;"_"&amp;$D457&amp;"_"&amp;$D504, VRPanelQ)</f>
        <v>0</v>
      </c>
      <c r="F504" s="126">
        <f t="shared" si="329"/>
        <v>0</v>
      </c>
      <c r="G504" s="126">
        <f t="shared" si="329"/>
        <v>0</v>
      </c>
      <c r="H504" s="126">
        <f t="shared" si="329"/>
        <v>0</v>
      </c>
      <c r="I504" s="126">
        <f t="shared" si="329"/>
        <v>0</v>
      </c>
      <c r="J504" s="126">
        <f t="shared" si="329"/>
        <v>0</v>
      </c>
      <c r="K504" s="126">
        <f t="shared" si="329"/>
        <v>0</v>
      </c>
      <c r="L504" s="127">
        <f t="shared" si="329"/>
        <v>0</v>
      </c>
    </row>
    <row r="505" spans="3:12" ht="15.6" hidden="1">
      <c r="C505" s="39" t="str">
        <f t="shared" si="284"/>
        <v>H</v>
      </c>
      <c r="D505" s="45">
        <f>Parameter!C$54</f>
        <v>0</v>
      </c>
      <c r="E505" s="125">
        <f t="shared" ref="E505:L505" si="330">SUMIF(Y_VRPC_PR, E$10&amp;"_"&amp;$D457&amp;"_"&amp;$D505, VRPanelQ)</f>
        <v>0</v>
      </c>
      <c r="F505" s="126">
        <f t="shared" si="330"/>
        <v>0</v>
      </c>
      <c r="G505" s="126">
        <f t="shared" si="330"/>
        <v>0</v>
      </c>
      <c r="H505" s="126">
        <f t="shared" si="330"/>
        <v>0</v>
      </c>
      <c r="I505" s="126">
        <f t="shared" si="330"/>
        <v>0</v>
      </c>
      <c r="J505" s="126">
        <f t="shared" si="330"/>
        <v>0</v>
      </c>
      <c r="K505" s="126">
        <f t="shared" si="330"/>
        <v>0</v>
      </c>
      <c r="L505" s="127">
        <f t="shared" si="330"/>
        <v>0</v>
      </c>
    </row>
    <row r="506" spans="3:12" ht="15.6" hidden="1">
      <c r="C506" s="39" t="str">
        <f t="shared" si="284"/>
        <v>H</v>
      </c>
      <c r="D506" s="45">
        <f>Parameter!C$55</f>
        <v>0</v>
      </c>
      <c r="E506" s="125">
        <f t="shared" ref="E506:L506" si="331">SUMIF(Y_VRPC_PR, E$10&amp;"_"&amp;$D457&amp;"_"&amp;$D506, VRPanelQ)</f>
        <v>0</v>
      </c>
      <c r="F506" s="126">
        <f t="shared" si="331"/>
        <v>0</v>
      </c>
      <c r="G506" s="126">
        <f t="shared" si="331"/>
        <v>0</v>
      </c>
      <c r="H506" s="126">
        <f t="shared" si="331"/>
        <v>0</v>
      </c>
      <c r="I506" s="126">
        <f t="shared" si="331"/>
        <v>0</v>
      </c>
      <c r="J506" s="126">
        <f t="shared" si="331"/>
        <v>0</v>
      </c>
      <c r="K506" s="126">
        <f t="shared" si="331"/>
        <v>0</v>
      </c>
      <c r="L506" s="127">
        <f t="shared" si="331"/>
        <v>0</v>
      </c>
    </row>
    <row r="507" spans="3:12" ht="15.6" hidden="1">
      <c r="C507" s="39" t="str">
        <f t="shared" si="284"/>
        <v>H</v>
      </c>
      <c r="D507" s="45">
        <f>Parameter!C$56</f>
        <v>0</v>
      </c>
      <c r="E507" s="125">
        <f t="shared" ref="E507:L507" si="332">SUMIF(Y_VRPC_PR, E$10&amp;"_"&amp;$D457&amp;"_"&amp;$D507, VRPanelQ)</f>
        <v>0</v>
      </c>
      <c r="F507" s="126">
        <f t="shared" si="332"/>
        <v>0</v>
      </c>
      <c r="G507" s="126">
        <f t="shared" si="332"/>
        <v>0</v>
      </c>
      <c r="H507" s="126">
        <f t="shared" si="332"/>
        <v>0</v>
      </c>
      <c r="I507" s="126">
        <f t="shared" si="332"/>
        <v>0</v>
      </c>
      <c r="J507" s="126">
        <f t="shared" si="332"/>
        <v>0</v>
      </c>
      <c r="K507" s="126">
        <f t="shared" si="332"/>
        <v>0</v>
      </c>
      <c r="L507" s="127">
        <f t="shared" si="332"/>
        <v>0</v>
      </c>
    </row>
    <row r="508" spans="3:12" ht="16.2" hidden="1" thickBot="1">
      <c r="C508" s="39" t="str">
        <f t="shared" si="284"/>
        <v>H</v>
      </c>
      <c r="D508" s="53" t="str">
        <f>Parameter!C$57</f>
        <v>ALL</v>
      </c>
      <c r="E508" s="128">
        <f t="shared" ref="E508:L508" si="333">SUMIF(Y_VRPC_PR, E$10&amp;"_"&amp;$D457&amp;"_"&amp;$D508, VRPanelQ)</f>
        <v>0</v>
      </c>
      <c r="F508" s="129">
        <f t="shared" si="333"/>
        <v>0</v>
      </c>
      <c r="G508" s="129">
        <f t="shared" si="333"/>
        <v>0</v>
      </c>
      <c r="H508" s="129">
        <f t="shared" si="333"/>
        <v>0</v>
      </c>
      <c r="I508" s="129">
        <f t="shared" si="333"/>
        <v>0</v>
      </c>
      <c r="J508" s="129">
        <f t="shared" si="333"/>
        <v>0</v>
      </c>
      <c r="K508" s="129">
        <f t="shared" si="333"/>
        <v>0</v>
      </c>
      <c r="L508" s="130">
        <f t="shared" si="333"/>
        <v>0</v>
      </c>
    </row>
    <row r="509" spans="3:12" ht="15.6" hidden="1">
      <c r="C509" s="39" t="str">
        <f t="shared" si="284"/>
        <v>H</v>
      </c>
      <c r="D509" s="54" t="s">
        <v>87</v>
      </c>
      <c r="E509" s="131">
        <f>SUM(E459:E508)</f>
        <v>0</v>
      </c>
      <c r="F509" s="132">
        <f t="shared" ref="F509" si="334">SUM(F459:F508)</f>
        <v>0</v>
      </c>
      <c r="G509" s="132">
        <f t="shared" ref="G509" si="335">SUM(G459:G508)</f>
        <v>0</v>
      </c>
      <c r="H509" s="132">
        <f t="shared" ref="H509" si="336">SUM(H459:H508)</f>
        <v>0</v>
      </c>
      <c r="I509" s="132">
        <f t="shared" ref="I509" si="337">SUM(I459:I508)</f>
        <v>0</v>
      </c>
      <c r="J509" s="132">
        <f t="shared" ref="J509" si="338">SUM(J459:J508)</f>
        <v>0</v>
      </c>
      <c r="K509" s="132">
        <f t="shared" ref="K509" si="339">SUM(K459:K508)</f>
        <v>0</v>
      </c>
      <c r="L509" s="133">
        <f t="shared" ref="L509" si="340">SUM(L459:L508)</f>
        <v>0</v>
      </c>
    </row>
    <row r="510" spans="3:12" ht="16.2" hidden="1" thickBot="1">
      <c r="C510" s="39" t="str">
        <f t="shared" si="284"/>
        <v>H</v>
      </c>
      <c r="D510" s="46" t="s">
        <v>88</v>
      </c>
      <c r="E510" s="47"/>
      <c r="F510" s="50" t="str">
        <f t="shared" ref="F510" si="341">IF(E509*F509=0, "", F509/E509-1)</f>
        <v/>
      </c>
      <c r="G510" s="50" t="str">
        <f t="shared" ref="G510" si="342">IF(F509*G509=0, "", G509/F509-1)</f>
        <v/>
      </c>
      <c r="H510" s="50" t="str">
        <f>IF(G509*H509=0, "", H509/G509-1)</f>
        <v/>
      </c>
      <c r="I510" s="50" t="str">
        <f t="shared" ref="I510" si="343">IF(H509*I509=0, "", I509/H509-1)</f>
        <v/>
      </c>
      <c r="J510" s="50" t="str">
        <f t="shared" ref="J510" si="344">IF(I509*J509=0, "", J509/I509-1)</f>
        <v/>
      </c>
      <c r="K510" s="50" t="str">
        <f t="shared" ref="K510" si="345">IF(J509*K509=0, "", K509/J509-1)</f>
        <v/>
      </c>
      <c r="L510" s="51" t="str">
        <f t="shared" ref="L510" si="346">IF(K509*L509=0, "", L509/K509-1)</f>
        <v/>
      </c>
    </row>
    <row r="511" spans="3:12" ht="15" hidden="1">
      <c r="C511" s="39" t="str">
        <f t="shared" si="284"/>
        <v>H</v>
      </c>
    </row>
    <row r="512" spans="3:12" ht="15.6" hidden="1" thickBot="1">
      <c r="C512" s="39" t="str">
        <f t="shared" si="284"/>
        <v>H</v>
      </c>
    </row>
    <row r="513" spans="3:12" ht="15" hidden="1" thickBot="1">
      <c r="C513" s="57" t="str">
        <f>IF(SUM(E565:L565)=0, "H", "")</f>
        <v>H</v>
      </c>
      <c r="D513" s="52">
        <f>Parameter!G17</f>
        <v>0</v>
      </c>
    </row>
    <row r="514" spans="3:12" ht="16.2" hidden="1" thickBot="1">
      <c r="C514" s="57" t="str">
        <f>IF(SUM(E565:L565)=0, "H", "")</f>
        <v>H</v>
      </c>
      <c r="D514" s="40" t="s">
        <v>85</v>
      </c>
      <c r="E514" s="41" t="s">
        <v>8</v>
      </c>
      <c r="F514" s="42" t="s">
        <v>9</v>
      </c>
      <c r="G514" s="42" t="s">
        <v>10</v>
      </c>
      <c r="H514" s="42" t="s">
        <v>11</v>
      </c>
      <c r="I514" s="42" t="s">
        <v>12</v>
      </c>
      <c r="J514" s="42" t="s">
        <v>13</v>
      </c>
      <c r="K514" s="42" t="s">
        <v>14</v>
      </c>
      <c r="L514" s="43" t="s">
        <v>86</v>
      </c>
    </row>
    <row r="515" spans="3:12" ht="15.6" hidden="1">
      <c r="C515" s="39" t="str">
        <f>IF(SUM(E515:L515)=0, "H", "")</f>
        <v>H</v>
      </c>
      <c r="D515" s="44" t="str">
        <f>Parameter!C$8</f>
        <v>5K VR</v>
      </c>
      <c r="E515" s="125">
        <f t="shared" ref="E515:L515" si="347">SUMIF(Y_VRPC_PR, E$10&amp;"_"&amp;$D513&amp;"_"&amp;$D515, VRPanelQ)</f>
        <v>0</v>
      </c>
      <c r="F515" s="126">
        <f t="shared" si="347"/>
        <v>0</v>
      </c>
      <c r="G515" s="126">
        <f t="shared" si="347"/>
        <v>0</v>
      </c>
      <c r="H515" s="126">
        <f t="shared" si="347"/>
        <v>0</v>
      </c>
      <c r="I515" s="126">
        <f t="shared" si="347"/>
        <v>0</v>
      </c>
      <c r="J515" s="126">
        <f t="shared" si="347"/>
        <v>0</v>
      </c>
      <c r="K515" s="126">
        <f t="shared" si="347"/>
        <v>0</v>
      </c>
      <c r="L515" s="127">
        <f t="shared" si="347"/>
        <v>0</v>
      </c>
    </row>
    <row r="516" spans="3:12" ht="15.6" hidden="1">
      <c r="C516" s="39" t="str">
        <f t="shared" ref="C516:C566" si="348">IF(SUM(E516:L516)=0, "H", "")</f>
        <v>H</v>
      </c>
      <c r="D516" s="44" t="str">
        <f>Parameter!C$9</f>
        <v>Aero</v>
      </c>
      <c r="E516" s="125">
        <f t="shared" ref="E516:L516" si="349">SUMIF(Y_VRPC_PR, E$10&amp;"_"&amp;$D513&amp;"_"&amp;$D516, VRPanelQ)</f>
        <v>0</v>
      </c>
      <c r="F516" s="126">
        <f t="shared" si="349"/>
        <v>0</v>
      </c>
      <c r="G516" s="126">
        <f t="shared" si="349"/>
        <v>0</v>
      </c>
      <c r="H516" s="126">
        <f t="shared" si="349"/>
        <v>0</v>
      </c>
      <c r="I516" s="126">
        <f t="shared" si="349"/>
        <v>0</v>
      </c>
      <c r="J516" s="126">
        <f t="shared" si="349"/>
        <v>0</v>
      </c>
      <c r="K516" s="126">
        <f t="shared" si="349"/>
        <v>0</v>
      </c>
      <c r="L516" s="127">
        <f t="shared" si="349"/>
        <v>0</v>
      </c>
    </row>
    <row r="517" spans="3:12" ht="15.6" hidden="1">
      <c r="C517" s="39" t="str">
        <f t="shared" si="348"/>
        <v>H</v>
      </c>
      <c r="D517" s="45" t="str">
        <f>Parameter!C$10</f>
        <v>Beyond</v>
      </c>
      <c r="E517" s="125">
        <f t="shared" ref="E517:L517" si="350">SUMIF(Y_VRPC_PR, E$10&amp;"_"&amp;$D513&amp;"_"&amp;$D517, VRPanelQ)</f>
        <v>0</v>
      </c>
      <c r="F517" s="126">
        <f t="shared" si="350"/>
        <v>0</v>
      </c>
      <c r="G517" s="126">
        <f t="shared" si="350"/>
        <v>0</v>
      </c>
      <c r="H517" s="126">
        <f t="shared" si="350"/>
        <v>0</v>
      </c>
      <c r="I517" s="126">
        <f t="shared" si="350"/>
        <v>0</v>
      </c>
      <c r="J517" s="126">
        <f t="shared" si="350"/>
        <v>0</v>
      </c>
      <c r="K517" s="126">
        <f t="shared" si="350"/>
        <v>0</v>
      </c>
      <c r="L517" s="127">
        <f t="shared" si="350"/>
        <v>0</v>
      </c>
    </row>
    <row r="518" spans="3:12" ht="15.6" hidden="1">
      <c r="C518" s="39" t="str">
        <f t="shared" si="348"/>
        <v>H</v>
      </c>
      <c r="D518" s="45" t="str">
        <f>Parameter!C$11</f>
        <v>Bionic models</v>
      </c>
      <c r="E518" s="125">
        <f t="shared" ref="E518:L518" si="351">SUMIF(Y_VRPC_PR, E$10&amp;"_"&amp;$D513&amp;"_"&amp;$D518, VRPanelQ)</f>
        <v>0</v>
      </c>
      <c r="F518" s="126">
        <f t="shared" si="351"/>
        <v>0</v>
      </c>
      <c r="G518" s="126">
        <f t="shared" si="351"/>
        <v>0</v>
      </c>
      <c r="H518" s="126">
        <f t="shared" si="351"/>
        <v>0</v>
      </c>
      <c r="I518" s="126">
        <f t="shared" si="351"/>
        <v>0</v>
      </c>
      <c r="J518" s="126">
        <f t="shared" si="351"/>
        <v>0</v>
      </c>
      <c r="K518" s="126">
        <f t="shared" si="351"/>
        <v>0</v>
      </c>
      <c r="L518" s="127">
        <f t="shared" si="351"/>
        <v>0</v>
      </c>
    </row>
    <row r="519" spans="3:12" ht="15.6" hidden="1">
      <c r="C519" s="39" t="str">
        <f t="shared" si="348"/>
        <v>H</v>
      </c>
      <c r="D519" s="45" t="str">
        <f>Parameter!C$12</f>
        <v>Dual LCD VR headset</v>
      </c>
      <c r="E519" s="125">
        <f t="shared" ref="E519:L519" si="352">SUMIF(Y_VRPC_PR, E$10&amp;"_"&amp;$D513&amp;"_"&amp;$D519, VRPanelQ)</f>
        <v>0</v>
      </c>
      <c r="F519" s="126">
        <f t="shared" si="352"/>
        <v>0</v>
      </c>
      <c r="G519" s="126">
        <f t="shared" si="352"/>
        <v>0</v>
      </c>
      <c r="H519" s="126">
        <f t="shared" si="352"/>
        <v>0</v>
      </c>
      <c r="I519" s="126">
        <f t="shared" si="352"/>
        <v>0</v>
      </c>
      <c r="J519" s="126">
        <f t="shared" si="352"/>
        <v>0</v>
      </c>
      <c r="K519" s="126">
        <f t="shared" si="352"/>
        <v>0</v>
      </c>
      <c r="L519" s="127">
        <f t="shared" si="352"/>
        <v>0</v>
      </c>
    </row>
    <row r="520" spans="3:12" ht="15.6" hidden="1">
      <c r="C520" s="39" t="str">
        <f t="shared" si="348"/>
        <v>H</v>
      </c>
      <c r="D520" s="45" t="str">
        <f>Parameter!C$13</f>
        <v>Dual SiOLED headset</v>
      </c>
      <c r="E520" s="125">
        <f t="shared" ref="E520:L520" si="353">SUMIF(Y_VRPC_PR, E$10&amp;"_"&amp;$D513&amp;"_"&amp;$D520, VRPanelQ)</f>
        <v>0</v>
      </c>
      <c r="F520" s="126">
        <f t="shared" si="353"/>
        <v>0</v>
      </c>
      <c r="G520" s="126">
        <f t="shared" si="353"/>
        <v>0</v>
      </c>
      <c r="H520" s="126">
        <f t="shared" si="353"/>
        <v>0</v>
      </c>
      <c r="I520" s="126">
        <f t="shared" si="353"/>
        <v>0</v>
      </c>
      <c r="J520" s="126">
        <f t="shared" si="353"/>
        <v>0</v>
      </c>
      <c r="K520" s="126">
        <f t="shared" si="353"/>
        <v>0</v>
      </c>
      <c r="L520" s="127">
        <f t="shared" si="353"/>
        <v>0</v>
      </c>
    </row>
    <row r="521" spans="3:12" ht="15.6" hidden="1">
      <c r="C521" s="39" t="str">
        <f t="shared" si="348"/>
        <v>H</v>
      </c>
      <c r="D521" s="45" t="str">
        <f>Parameter!C$14</f>
        <v>Index</v>
      </c>
      <c r="E521" s="125">
        <f t="shared" ref="E521:L521" si="354">SUMIF(Y_VRPC_PR, E$10&amp;"_"&amp;$D513&amp;"_"&amp;$D521, VRPanelQ)</f>
        <v>0</v>
      </c>
      <c r="F521" s="126">
        <f t="shared" si="354"/>
        <v>0</v>
      </c>
      <c r="G521" s="126">
        <f t="shared" si="354"/>
        <v>0</v>
      </c>
      <c r="H521" s="126">
        <f t="shared" si="354"/>
        <v>0</v>
      </c>
      <c r="I521" s="126">
        <f t="shared" si="354"/>
        <v>0</v>
      </c>
      <c r="J521" s="126">
        <f t="shared" si="354"/>
        <v>0</v>
      </c>
      <c r="K521" s="126">
        <f t="shared" si="354"/>
        <v>0</v>
      </c>
      <c r="L521" s="127">
        <f t="shared" si="354"/>
        <v>0</v>
      </c>
    </row>
    <row r="522" spans="3:12" ht="15.6" hidden="1">
      <c r="C522" s="39" t="str">
        <f t="shared" si="348"/>
        <v>H</v>
      </c>
      <c r="D522" s="45" t="str">
        <f>Parameter!C$15</f>
        <v>MeganeX</v>
      </c>
      <c r="E522" s="125">
        <f t="shared" ref="E522:L522" si="355">SUMIF(Y_VRPC_PR, E$10&amp;"_"&amp;$D513&amp;"_"&amp;$D522, VRPanelQ)</f>
        <v>0</v>
      </c>
      <c r="F522" s="126">
        <f t="shared" si="355"/>
        <v>0</v>
      </c>
      <c r="G522" s="126">
        <f t="shared" si="355"/>
        <v>0</v>
      </c>
      <c r="H522" s="126">
        <f t="shared" si="355"/>
        <v>0</v>
      </c>
      <c r="I522" s="126">
        <f t="shared" si="355"/>
        <v>0</v>
      </c>
      <c r="J522" s="126">
        <f t="shared" si="355"/>
        <v>0</v>
      </c>
      <c r="K522" s="126">
        <f t="shared" si="355"/>
        <v>0</v>
      </c>
      <c r="L522" s="127">
        <f t="shared" si="355"/>
        <v>0</v>
      </c>
    </row>
    <row r="523" spans="3:12" ht="15.6" hidden="1">
      <c r="C523" s="39" t="str">
        <f t="shared" si="348"/>
        <v>H</v>
      </c>
      <c r="D523" s="45" t="str">
        <f>Parameter!C$16</f>
        <v>MeganeX Superlight 8K</v>
      </c>
      <c r="E523" s="125">
        <f t="shared" ref="E523:L523" si="356">SUMIF(Y_VRPC_PR, E$10&amp;"_"&amp;$D513&amp;"_"&amp;$D523, VRPanelQ)</f>
        <v>0</v>
      </c>
      <c r="F523" s="126">
        <f t="shared" si="356"/>
        <v>0</v>
      </c>
      <c r="G523" s="126">
        <f t="shared" si="356"/>
        <v>0</v>
      </c>
      <c r="H523" s="126">
        <f t="shared" si="356"/>
        <v>0</v>
      </c>
      <c r="I523" s="126">
        <f t="shared" si="356"/>
        <v>0</v>
      </c>
      <c r="J523" s="126">
        <f t="shared" si="356"/>
        <v>0</v>
      </c>
      <c r="K523" s="126">
        <f t="shared" si="356"/>
        <v>0</v>
      </c>
      <c r="L523" s="127">
        <f t="shared" si="356"/>
        <v>0</v>
      </c>
    </row>
    <row r="524" spans="3:12" ht="15.6" hidden="1">
      <c r="C524" s="39" t="str">
        <f t="shared" si="348"/>
        <v>H</v>
      </c>
      <c r="D524" s="45" t="str">
        <f>Parameter!C$17</f>
        <v>Neo 3 / G3</v>
      </c>
      <c r="E524" s="125">
        <f t="shared" ref="E524:L524" si="357">SUMIF(Y_VRPC_PR, E$10&amp;"_"&amp;$D513&amp;"_"&amp;$D524, VRPanelQ)</f>
        <v>0</v>
      </c>
      <c r="F524" s="126">
        <f t="shared" si="357"/>
        <v>0</v>
      </c>
      <c r="G524" s="126">
        <f t="shared" si="357"/>
        <v>0</v>
      </c>
      <c r="H524" s="126">
        <f t="shared" si="357"/>
        <v>0</v>
      </c>
      <c r="I524" s="126">
        <f t="shared" si="357"/>
        <v>0</v>
      </c>
      <c r="J524" s="126">
        <f t="shared" si="357"/>
        <v>0</v>
      </c>
      <c r="K524" s="126">
        <f t="shared" si="357"/>
        <v>0</v>
      </c>
      <c r="L524" s="127">
        <f t="shared" si="357"/>
        <v>0</v>
      </c>
    </row>
    <row r="525" spans="3:12" ht="15.6" hidden="1">
      <c r="C525" s="39" t="str">
        <f t="shared" si="348"/>
        <v>H</v>
      </c>
      <c r="D525" s="45" t="str">
        <f>Parameter!C$18</f>
        <v>OLED VR headset</v>
      </c>
      <c r="E525" s="125">
        <f t="shared" ref="E525:L525" si="358">SUMIF(Y_VRPC_PR, E$10&amp;"_"&amp;$D513&amp;"_"&amp;$D525, VRPanelQ)</f>
        <v>0</v>
      </c>
      <c r="F525" s="126">
        <f t="shared" si="358"/>
        <v>0</v>
      </c>
      <c r="G525" s="126">
        <f t="shared" si="358"/>
        <v>0</v>
      </c>
      <c r="H525" s="126">
        <f t="shared" si="358"/>
        <v>0</v>
      </c>
      <c r="I525" s="126">
        <f t="shared" si="358"/>
        <v>0</v>
      </c>
      <c r="J525" s="126">
        <f t="shared" si="358"/>
        <v>0</v>
      </c>
      <c r="K525" s="126">
        <f t="shared" si="358"/>
        <v>0</v>
      </c>
      <c r="L525" s="127">
        <f t="shared" si="358"/>
        <v>0</v>
      </c>
    </row>
    <row r="526" spans="3:12" ht="15.6" hidden="1">
      <c r="C526" s="39" t="str">
        <f t="shared" si="348"/>
        <v>H</v>
      </c>
      <c r="D526" s="45" t="str">
        <f>Parameter!C$19</f>
        <v>P1 family</v>
      </c>
      <c r="E526" s="125">
        <f t="shared" ref="E526:L526" si="359">SUMIF(Y_VRPC_PR, E$10&amp;"_"&amp;$D513&amp;"_"&amp;$D526, VRPanelQ)</f>
        <v>0</v>
      </c>
      <c r="F526" s="126">
        <f t="shared" si="359"/>
        <v>0</v>
      </c>
      <c r="G526" s="126">
        <f t="shared" si="359"/>
        <v>0</v>
      </c>
      <c r="H526" s="126">
        <f t="shared" si="359"/>
        <v>0</v>
      </c>
      <c r="I526" s="126">
        <f t="shared" si="359"/>
        <v>0</v>
      </c>
      <c r="J526" s="126">
        <f t="shared" si="359"/>
        <v>0</v>
      </c>
      <c r="K526" s="126">
        <f t="shared" si="359"/>
        <v>0</v>
      </c>
      <c r="L526" s="127">
        <f t="shared" si="359"/>
        <v>0</v>
      </c>
    </row>
    <row r="527" spans="3:12" ht="15.6" hidden="1">
      <c r="C527" s="39" t="str">
        <f t="shared" si="348"/>
        <v>H</v>
      </c>
      <c r="D527" s="45" t="str">
        <f>Parameter!C$20</f>
        <v>Pico 4</v>
      </c>
      <c r="E527" s="125">
        <f t="shared" ref="E527:L527" si="360">SUMIF(Y_VRPC_PR, E$10&amp;"_"&amp;$D513&amp;"_"&amp;$D527, VRPanelQ)</f>
        <v>0</v>
      </c>
      <c r="F527" s="126">
        <f t="shared" si="360"/>
        <v>0</v>
      </c>
      <c r="G527" s="126">
        <f t="shared" si="360"/>
        <v>0</v>
      </c>
      <c r="H527" s="126">
        <f t="shared" si="360"/>
        <v>0</v>
      </c>
      <c r="I527" s="126">
        <f t="shared" si="360"/>
        <v>0</v>
      </c>
      <c r="J527" s="126">
        <f t="shared" si="360"/>
        <v>0</v>
      </c>
      <c r="K527" s="126">
        <f t="shared" si="360"/>
        <v>0</v>
      </c>
      <c r="L527" s="127">
        <f t="shared" si="360"/>
        <v>0</v>
      </c>
    </row>
    <row r="528" spans="3:12" ht="15.6" hidden="1">
      <c r="C528" s="39" t="str">
        <f t="shared" si="348"/>
        <v>H</v>
      </c>
      <c r="D528" s="45" t="str">
        <f>Parameter!C$21</f>
        <v>Pimax VR</v>
      </c>
      <c r="E528" s="125">
        <f t="shared" ref="E528:L528" si="361">SUMIF(Y_VRPC_PR, E$10&amp;"_"&amp;$D513&amp;"_"&amp;$D528, VRPanelQ)</f>
        <v>0</v>
      </c>
      <c r="F528" s="126">
        <f t="shared" si="361"/>
        <v>0</v>
      </c>
      <c r="G528" s="126">
        <f t="shared" si="361"/>
        <v>0</v>
      </c>
      <c r="H528" s="126">
        <f t="shared" si="361"/>
        <v>0</v>
      </c>
      <c r="I528" s="126">
        <f t="shared" si="361"/>
        <v>0</v>
      </c>
      <c r="J528" s="126">
        <f t="shared" si="361"/>
        <v>0</v>
      </c>
      <c r="K528" s="126">
        <f t="shared" si="361"/>
        <v>0</v>
      </c>
      <c r="L528" s="127">
        <f t="shared" si="361"/>
        <v>0</v>
      </c>
    </row>
    <row r="529" spans="3:12" ht="15.6" hidden="1">
      <c r="C529" s="39" t="str">
        <f t="shared" si="348"/>
        <v>H</v>
      </c>
      <c r="D529" s="45" t="str">
        <f>Parameter!C$22</f>
        <v>PlayStation VR</v>
      </c>
      <c r="E529" s="125">
        <f t="shared" ref="E529:L529" si="362">SUMIF(Y_VRPC_PR, E$10&amp;"_"&amp;$D513&amp;"_"&amp;$D529, VRPanelQ)</f>
        <v>0</v>
      </c>
      <c r="F529" s="126">
        <f t="shared" si="362"/>
        <v>0</v>
      </c>
      <c r="G529" s="126">
        <f t="shared" si="362"/>
        <v>0</v>
      </c>
      <c r="H529" s="126">
        <f t="shared" si="362"/>
        <v>0</v>
      </c>
      <c r="I529" s="126">
        <f t="shared" si="362"/>
        <v>0</v>
      </c>
      <c r="J529" s="126">
        <f t="shared" si="362"/>
        <v>0</v>
      </c>
      <c r="K529" s="126">
        <f t="shared" si="362"/>
        <v>0</v>
      </c>
      <c r="L529" s="127">
        <f t="shared" si="362"/>
        <v>0</v>
      </c>
    </row>
    <row r="530" spans="3:12" ht="15.6" hidden="1">
      <c r="C530" s="39" t="str">
        <f t="shared" si="348"/>
        <v>H</v>
      </c>
      <c r="D530" s="45" t="str">
        <f>Parameter!C$23</f>
        <v>PlayStation VR2</v>
      </c>
      <c r="E530" s="125">
        <f t="shared" ref="E530:L530" si="363">SUMIF(Y_VRPC_PR, E$10&amp;"_"&amp;$D513&amp;"_"&amp;$D530, VRPanelQ)</f>
        <v>0</v>
      </c>
      <c r="F530" s="126">
        <f t="shared" si="363"/>
        <v>0</v>
      </c>
      <c r="G530" s="126">
        <f t="shared" si="363"/>
        <v>0</v>
      </c>
      <c r="H530" s="126">
        <f t="shared" si="363"/>
        <v>0</v>
      </c>
      <c r="I530" s="126">
        <f t="shared" si="363"/>
        <v>0</v>
      </c>
      <c r="J530" s="126">
        <f t="shared" si="363"/>
        <v>0</v>
      </c>
      <c r="K530" s="126">
        <f t="shared" si="363"/>
        <v>0</v>
      </c>
      <c r="L530" s="127">
        <f t="shared" si="363"/>
        <v>0</v>
      </c>
    </row>
    <row r="531" spans="3:12" ht="15.6" hidden="1">
      <c r="C531" s="39" t="str">
        <f t="shared" si="348"/>
        <v>H</v>
      </c>
      <c r="D531" s="45" t="str">
        <f>Parameter!C$24</f>
        <v>Project Moohan</v>
      </c>
      <c r="E531" s="125">
        <f t="shared" ref="E531:L531" si="364">SUMIF(Y_VRPC_PR, E$10&amp;"_"&amp;$D513&amp;"_"&amp;$D531, VRPanelQ)</f>
        <v>0</v>
      </c>
      <c r="F531" s="126">
        <f t="shared" si="364"/>
        <v>0</v>
      </c>
      <c r="G531" s="126">
        <f t="shared" si="364"/>
        <v>0</v>
      </c>
      <c r="H531" s="126">
        <f t="shared" si="364"/>
        <v>0</v>
      </c>
      <c r="I531" s="126">
        <f t="shared" si="364"/>
        <v>0</v>
      </c>
      <c r="J531" s="126">
        <f t="shared" si="364"/>
        <v>0</v>
      </c>
      <c r="K531" s="126">
        <f t="shared" si="364"/>
        <v>0</v>
      </c>
      <c r="L531" s="127">
        <f t="shared" si="364"/>
        <v>0</v>
      </c>
    </row>
    <row r="532" spans="3:12" ht="15.6" hidden="1">
      <c r="C532" s="39" t="str">
        <f t="shared" si="348"/>
        <v>H</v>
      </c>
      <c r="D532" s="45" t="str">
        <f>Parameter!C$25</f>
        <v>Quest</v>
      </c>
      <c r="E532" s="125">
        <f t="shared" ref="E532:L532" si="365">SUMIF(Y_VRPC_PR, E$10&amp;"_"&amp;$D513&amp;"_"&amp;$D532, VRPanelQ)</f>
        <v>0</v>
      </c>
      <c r="F532" s="126">
        <f t="shared" si="365"/>
        <v>0</v>
      </c>
      <c r="G532" s="126">
        <f t="shared" si="365"/>
        <v>0</v>
      </c>
      <c r="H532" s="126">
        <f t="shared" si="365"/>
        <v>0</v>
      </c>
      <c r="I532" s="126">
        <f t="shared" si="365"/>
        <v>0</v>
      </c>
      <c r="J532" s="126">
        <f t="shared" si="365"/>
        <v>0</v>
      </c>
      <c r="K532" s="126">
        <f t="shared" si="365"/>
        <v>0</v>
      </c>
      <c r="L532" s="127">
        <f t="shared" si="365"/>
        <v>0</v>
      </c>
    </row>
    <row r="533" spans="3:12" ht="15.6" hidden="1">
      <c r="C533" s="39" t="str">
        <f t="shared" si="348"/>
        <v>H</v>
      </c>
      <c r="D533" s="45" t="str">
        <f>Parameter!C$26</f>
        <v>Quest 2</v>
      </c>
      <c r="E533" s="125">
        <f t="shared" ref="E533:L533" si="366">SUMIF(Y_VRPC_PR, E$10&amp;"_"&amp;$D513&amp;"_"&amp;$D533, VRPanelQ)</f>
        <v>0</v>
      </c>
      <c r="F533" s="126">
        <f t="shared" si="366"/>
        <v>0</v>
      </c>
      <c r="G533" s="126">
        <f t="shared" si="366"/>
        <v>0</v>
      </c>
      <c r="H533" s="126">
        <f t="shared" si="366"/>
        <v>0</v>
      </c>
      <c r="I533" s="126">
        <f t="shared" si="366"/>
        <v>0</v>
      </c>
      <c r="J533" s="126">
        <f t="shared" si="366"/>
        <v>0</v>
      </c>
      <c r="K533" s="126">
        <f t="shared" si="366"/>
        <v>0</v>
      </c>
      <c r="L533" s="127">
        <f t="shared" si="366"/>
        <v>0</v>
      </c>
    </row>
    <row r="534" spans="3:12" ht="15.6" hidden="1">
      <c r="C534" s="39" t="str">
        <f t="shared" si="348"/>
        <v>H</v>
      </c>
      <c r="D534" s="45" t="str">
        <f>Parameter!C$27</f>
        <v>Quest 3</v>
      </c>
      <c r="E534" s="125">
        <f t="shared" ref="E534:L534" si="367">SUMIF(Y_VRPC_PR, E$10&amp;"_"&amp;$D513&amp;"_"&amp;$D534, VRPanelQ)</f>
        <v>0</v>
      </c>
      <c r="F534" s="126">
        <f t="shared" si="367"/>
        <v>0</v>
      </c>
      <c r="G534" s="126">
        <f t="shared" si="367"/>
        <v>0</v>
      </c>
      <c r="H534" s="126">
        <f t="shared" si="367"/>
        <v>0</v>
      </c>
      <c r="I534" s="126">
        <f t="shared" si="367"/>
        <v>0</v>
      </c>
      <c r="J534" s="126">
        <f t="shared" si="367"/>
        <v>0</v>
      </c>
      <c r="K534" s="126">
        <f t="shared" si="367"/>
        <v>0</v>
      </c>
      <c r="L534" s="127">
        <f t="shared" si="367"/>
        <v>0</v>
      </c>
    </row>
    <row r="535" spans="3:12" ht="15.6" hidden="1">
      <c r="C535" s="39" t="str">
        <f t="shared" si="348"/>
        <v>H</v>
      </c>
      <c r="D535" s="45" t="str">
        <f>Parameter!C$28</f>
        <v>Quest 3S</v>
      </c>
      <c r="E535" s="125">
        <f t="shared" ref="E535:L535" si="368">SUMIF(Y_VRPC_PR, E$10&amp;"_"&amp;$D513&amp;"_"&amp;$D535, VRPanelQ)</f>
        <v>0</v>
      </c>
      <c r="F535" s="126">
        <f t="shared" si="368"/>
        <v>0</v>
      </c>
      <c r="G535" s="126">
        <f t="shared" si="368"/>
        <v>0</v>
      </c>
      <c r="H535" s="126">
        <f t="shared" si="368"/>
        <v>0</v>
      </c>
      <c r="I535" s="126">
        <f t="shared" si="368"/>
        <v>0</v>
      </c>
      <c r="J535" s="126">
        <f t="shared" si="368"/>
        <v>0</v>
      </c>
      <c r="K535" s="126">
        <f t="shared" si="368"/>
        <v>0</v>
      </c>
      <c r="L535" s="127">
        <f t="shared" si="368"/>
        <v>0</v>
      </c>
    </row>
    <row r="536" spans="3:12" ht="15.6" hidden="1">
      <c r="C536" s="39" t="str">
        <f t="shared" si="348"/>
        <v>H</v>
      </c>
      <c r="D536" s="45" t="str">
        <f>Parameter!C$29</f>
        <v>Quest Pro</v>
      </c>
      <c r="E536" s="125">
        <f t="shared" ref="E536:L536" si="369">SUMIF(Y_VRPC_PR, E$10&amp;"_"&amp;$D513&amp;"_"&amp;$D536, VRPanelQ)</f>
        <v>0</v>
      </c>
      <c r="F536" s="126">
        <f t="shared" si="369"/>
        <v>0</v>
      </c>
      <c r="G536" s="126">
        <f t="shared" si="369"/>
        <v>0</v>
      </c>
      <c r="H536" s="126">
        <f t="shared" si="369"/>
        <v>0</v>
      </c>
      <c r="I536" s="126">
        <f t="shared" si="369"/>
        <v>0</v>
      </c>
      <c r="J536" s="126">
        <f t="shared" si="369"/>
        <v>0</v>
      </c>
      <c r="K536" s="126">
        <f t="shared" si="369"/>
        <v>0</v>
      </c>
      <c r="L536" s="127">
        <f t="shared" si="369"/>
        <v>0</v>
      </c>
    </row>
    <row r="537" spans="3:12" ht="15.6" hidden="1">
      <c r="C537" s="39" t="str">
        <f t="shared" si="348"/>
        <v>H</v>
      </c>
      <c r="D537" s="45" t="str">
        <f>Parameter!C$30</f>
        <v>R1</v>
      </c>
      <c r="E537" s="125">
        <f t="shared" ref="E537:L537" si="370">SUMIF(Y_VRPC_PR, E$10&amp;"_"&amp;$D513&amp;"_"&amp;$D537, VRPanelQ)</f>
        <v>0</v>
      </c>
      <c r="F537" s="126">
        <f t="shared" si="370"/>
        <v>0</v>
      </c>
      <c r="G537" s="126">
        <f t="shared" si="370"/>
        <v>0</v>
      </c>
      <c r="H537" s="126">
        <f t="shared" si="370"/>
        <v>0</v>
      </c>
      <c r="I537" s="126">
        <f t="shared" si="370"/>
        <v>0</v>
      </c>
      <c r="J537" s="126">
        <f t="shared" si="370"/>
        <v>0</v>
      </c>
      <c r="K537" s="126">
        <f t="shared" si="370"/>
        <v>0</v>
      </c>
      <c r="L537" s="127">
        <f t="shared" si="370"/>
        <v>0</v>
      </c>
    </row>
    <row r="538" spans="3:12" ht="15.6" hidden="1">
      <c r="C538" s="39" t="str">
        <f t="shared" si="348"/>
        <v>H</v>
      </c>
      <c r="D538" s="45" t="str">
        <f>Parameter!C$31</f>
        <v>Reverb</v>
      </c>
      <c r="E538" s="125">
        <f t="shared" ref="E538:L538" si="371">SUMIF(Y_VRPC_PR, E$10&amp;"_"&amp;$D513&amp;"_"&amp;$D538, VRPanelQ)</f>
        <v>0</v>
      </c>
      <c r="F538" s="126">
        <f t="shared" si="371"/>
        <v>0</v>
      </c>
      <c r="G538" s="126">
        <f t="shared" si="371"/>
        <v>0</v>
      </c>
      <c r="H538" s="126">
        <f t="shared" si="371"/>
        <v>0</v>
      </c>
      <c r="I538" s="126">
        <f t="shared" si="371"/>
        <v>0</v>
      </c>
      <c r="J538" s="126">
        <f t="shared" si="371"/>
        <v>0</v>
      </c>
      <c r="K538" s="126">
        <f t="shared" si="371"/>
        <v>0</v>
      </c>
      <c r="L538" s="127">
        <f t="shared" si="371"/>
        <v>0</v>
      </c>
    </row>
    <row r="539" spans="3:12" ht="15.6" hidden="1">
      <c r="C539" s="39" t="str">
        <f t="shared" si="348"/>
        <v>H</v>
      </c>
      <c r="D539" s="45" t="str">
        <f>Parameter!C$32</f>
        <v>Reverb G2</v>
      </c>
      <c r="E539" s="125">
        <f t="shared" ref="E539:L539" si="372">SUMIF(Y_VRPC_PR, E$10&amp;"_"&amp;$D513&amp;"_"&amp;$D539, VRPanelQ)</f>
        <v>0</v>
      </c>
      <c r="F539" s="126">
        <f t="shared" si="372"/>
        <v>0</v>
      </c>
      <c r="G539" s="126">
        <f t="shared" si="372"/>
        <v>0</v>
      </c>
      <c r="H539" s="126">
        <f t="shared" si="372"/>
        <v>0</v>
      </c>
      <c r="I539" s="126">
        <f t="shared" si="372"/>
        <v>0</v>
      </c>
      <c r="J539" s="126">
        <f t="shared" si="372"/>
        <v>0</v>
      </c>
      <c r="K539" s="126">
        <f t="shared" si="372"/>
        <v>0</v>
      </c>
      <c r="L539" s="127">
        <f t="shared" si="372"/>
        <v>0</v>
      </c>
    </row>
    <row r="540" spans="3:12" ht="15.6" hidden="1">
      <c r="C540" s="39" t="str">
        <f t="shared" si="348"/>
        <v>H</v>
      </c>
      <c r="D540" s="45" t="str">
        <f>Parameter!C$33</f>
        <v>Rift S</v>
      </c>
      <c r="E540" s="125">
        <f t="shared" ref="E540:L540" si="373">SUMIF(Y_VRPC_PR, E$10&amp;"_"&amp;$D513&amp;"_"&amp;$D540, VRPanelQ)</f>
        <v>0</v>
      </c>
      <c r="F540" s="126">
        <f t="shared" si="373"/>
        <v>0</v>
      </c>
      <c r="G540" s="126">
        <f t="shared" si="373"/>
        <v>0</v>
      </c>
      <c r="H540" s="126">
        <f t="shared" si="373"/>
        <v>0</v>
      </c>
      <c r="I540" s="126">
        <f t="shared" si="373"/>
        <v>0</v>
      </c>
      <c r="J540" s="126">
        <f t="shared" si="373"/>
        <v>0</v>
      </c>
      <c r="K540" s="126">
        <f t="shared" si="373"/>
        <v>0</v>
      </c>
      <c r="L540" s="127">
        <f t="shared" si="373"/>
        <v>0</v>
      </c>
    </row>
    <row r="541" spans="3:12" ht="15.6" hidden="1">
      <c r="C541" s="39" t="str">
        <f t="shared" si="348"/>
        <v>H</v>
      </c>
      <c r="D541" s="45" t="str">
        <f>Parameter!C$34</f>
        <v>Single LCD VR headset</v>
      </c>
      <c r="E541" s="125">
        <f t="shared" ref="E541:L541" si="374">SUMIF(Y_VRPC_PR, E$10&amp;"_"&amp;$D513&amp;"_"&amp;$D541, VRPanelQ)</f>
        <v>0</v>
      </c>
      <c r="F541" s="126">
        <f t="shared" si="374"/>
        <v>0</v>
      </c>
      <c r="G541" s="126">
        <f t="shared" si="374"/>
        <v>0</v>
      </c>
      <c r="H541" s="126">
        <f t="shared" si="374"/>
        <v>0</v>
      </c>
      <c r="I541" s="126">
        <f t="shared" si="374"/>
        <v>0</v>
      </c>
      <c r="J541" s="126">
        <f t="shared" si="374"/>
        <v>0</v>
      </c>
      <c r="K541" s="126">
        <f t="shared" si="374"/>
        <v>0</v>
      </c>
      <c r="L541" s="127">
        <f t="shared" si="374"/>
        <v>0</v>
      </c>
    </row>
    <row r="542" spans="3:12" ht="15.6" hidden="1">
      <c r="C542" s="39" t="str">
        <f t="shared" si="348"/>
        <v>H</v>
      </c>
      <c r="D542" s="45" t="str">
        <f>Parameter!C$35</f>
        <v>ThinkReality VRX</v>
      </c>
      <c r="E542" s="125">
        <f t="shared" ref="E542:L542" si="375">SUMIF(Y_VRPC_PR, E$10&amp;"_"&amp;$D513&amp;"_"&amp;$D542, VRPanelQ)</f>
        <v>0</v>
      </c>
      <c r="F542" s="126">
        <f t="shared" si="375"/>
        <v>0</v>
      </c>
      <c r="G542" s="126">
        <f t="shared" si="375"/>
        <v>0</v>
      </c>
      <c r="H542" s="126">
        <f t="shared" si="375"/>
        <v>0</v>
      </c>
      <c r="I542" s="126">
        <f t="shared" si="375"/>
        <v>0</v>
      </c>
      <c r="J542" s="126">
        <f t="shared" si="375"/>
        <v>0</v>
      </c>
      <c r="K542" s="126">
        <f t="shared" si="375"/>
        <v>0</v>
      </c>
      <c r="L542" s="127">
        <f t="shared" si="375"/>
        <v>0</v>
      </c>
    </row>
    <row r="543" spans="3:12" ht="15.6" hidden="1">
      <c r="C543" s="39" t="str">
        <f t="shared" si="348"/>
        <v>H</v>
      </c>
      <c r="D543" s="45" t="str">
        <f>Parameter!C$36</f>
        <v>Vision Pro</v>
      </c>
      <c r="E543" s="125">
        <f t="shared" ref="E543:L543" si="376">SUMIF(Y_VRPC_PR, E$10&amp;"_"&amp;$D513&amp;"_"&amp;$D543, VRPanelQ)</f>
        <v>0</v>
      </c>
      <c r="F543" s="126">
        <f t="shared" si="376"/>
        <v>0</v>
      </c>
      <c r="G543" s="126">
        <f t="shared" si="376"/>
        <v>0</v>
      </c>
      <c r="H543" s="126">
        <f t="shared" si="376"/>
        <v>0</v>
      </c>
      <c r="I543" s="126">
        <f t="shared" si="376"/>
        <v>0</v>
      </c>
      <c r="J543" s="126">
        <f t="shared" si="376"/>
        <v>0</v>
      </c>
      <c r="K543" s="126">
        <f t="shared" si="376"/>
        <v>0</v>
      </c>
      <c r="L543" s="127">
        <f t="shared" si="376"/>
        <v>0</v>
      </c>
    </row>
    <row r="544" spans="3:12" ht="15.6" hidden="1">
      <c r="C544" s="39" t="str">
        <f t="shared" si="348"/>
        <v>H</v>
      </c>
      <c r="D544" s="45" t="str">
        <f>Parameter!C$37</f>
        <v>Vive LCD headsets</v>
      </c>
      <c r="E544" s="125">
        <f t="shared" ref="E544:L544" si="377">SUMIF(Y_VRPC_PR, E$10&amp;"_"&amp;$D513&amp;"_"&amp;$D544, VRPanelQ)</f>
        <v>0</v>
      </c>
      <c r="F544" s="126">
        <f t="shared" si="377"/>
        <v>0</v>
      </c>
      <c r="G544" s="126">
        <f t="shared" si="377"/>
        <v>0</v>
      </c>
      <c r="H544" s="126">
        <f t="shared" si="377"/>
        <v>0</v>
      </c>
      <c r="I544" s="126">
        <f t="shared" si="377"/>
        <v>0</v>
      </c>
      <c r="J544" s="126">
        <f t="shared" si="377"/>
        <v>0</v>
      </c>
      <c r="K544" s="126">
        <f t="shared" si="377"/>
        <v>0</v>
      </c>
      <c r="L544" s="127">
        <f t="shared" si="377"/>
        <v>0</v>
      </c>
    </row>
    <row r="545" spans="3:12" ht="15.6" hidden="1">
      <c r="C545" s="39" t="str">
        <f t="shared" si="348"/>
        <v>H</v>
      </c>
      <c r="D545" s="45" t="str">
        <f>Parameter!C$38</f>
        <v>VR1</v>
      </c>
      <c r="E545" s="125">
        <f t="shared" ref="E545:L545" si="378">SUMIF(Y_VRPC_PR, E$10&amp;"_"&amp;$D513&amp;"_"&amp;$D545, VRPanelQ)</f>
        <v>0</v>
      </c>
      <c r="F545" s="126">
        <f t="shared" si="378"/>
        <v>0</v>
      </c>
      <c r="G545" s="126">
        <f t="shared" si="378"/>
        <v>0</v>
      </c>
      <c r="H545" s="126">
        <f t="shared" si="378"/>
        <v>0</v>
      </c>
      <c r="I545" s="126">
        <f t="shared" si="378"/>
        <v>0</v>
      </c>
      <c r="J545" s="126">
        <f t="shared" si="378"/>
        <v>0</v>
      </c>
      <c r="K545" s="126">
        <f t="shared" si="378"/>
        <v>0</v>
      </c>
      <c r="L545" s="127">
        <f t="shared" si="378"/>
        <v>0</v>
      </c>
    </row>
    <row r="546" spans="3:12" ht="15.6" hidden="1">
      <c r="C546" s="39" t="str">
        <f t="shared" si="348"/>
        <v>H</v>
      </c>
      <c r="D546" s="45" t="str">
        <f>Parameter!C$39</f>
        <v>XR-4</v>
      </c>
      <c r="E546" s="125">
        <f t="shared" ref="E546:L546" si="379">SUMIF(Y_VRPC_PR, E$10&amp;"_"&amp;$D513&amp;"_"&amp;$D546, VRPanelQ)</f>
        <v>0</v>
      </c>
      <c r="F546" s="126">
        <f t="shared" si="379"/>
        <v>0</v>
      </c>
      <c r="G546" s="126">
        <f t="shared" si="379"/>
        <v>0</v>
      </c>
      <c r="H546" s="126">
        <f t="shared" si="379"/>
        <v>0</v>
      </c>
      <c r="I546" s="126">
        <f t="shared" si="379"/>
        <v>0</v>
      </c>
      <c r="J546" s="126">
        <f t="shared" si="379"/>
        <v>0</v>
      </c>
      <c r="K546" s="126">
        <f t="shared" si="379"/>
        <v>0</v>
      </c>
      <c r="L546" s="127">
        <f t="shared" si="379"/>
        <v>0</v>
      </c>
    </row>
    <row r="547" spans="3:12" ht="15.6" hidden="1">
      <c r="C547" s="39" t="str">
        <f t="shared" si="348"/>
        <v>H</v>
      </c>
      <c r="D547" s="45">
        <f>Parameter!C$40</f>
        <v>0</v>
      </c>
      <c r="E547" s="125">
        <f t="shared" ref="E547:L547" si="380">SUMIF(Y_VRPC_PR, E$10&amp;"_"&amp;$D513&amp;"_"&amp;$D547, VRPanelQ)</f>
        <v>0</v>
      </c>
      <c r="F547" s="126">
        <f t="shared" si="380"/>
        <v>0</v>
      </c>
      <c r="G547" s="126">
        <f t="shared" si="380"/>
        <v>0</v>
      </c>
      <c r="H547" s="126">
        <f t="shared" si="380"/>
        <v>0</v>
      </c>
      <c r="I547" s="126">
        <f t="shared" si="380"/>
        <v>0</v>
      </c>
      <c r="J547" s="126">
        <f t="shared" si="380"/>
        <v>0</v>
      </c>
      <c r="K547" s="126">
        <f t="shared" si="380"/>
        <v>0</v>
      </c>
      <c r="L547" s="127">
        <f t="shared" si="380"/>
        <v>0</v>
      </c>
    </row>
    <row r="548" spans="3:12" ht="15.6" hidden="1">
      <c r="C548" s="39" t="str">
        <f t="shared" si="348"/>
        <v>H</v>
      </c>
      <c r="D548" s="45">
        <f>Parameter!C$41</f>
        <v>0</v>
      </c>
      <c r="E548" s="125">
        <f t="shared" ref="E548:L548" si="381">SUMIF(Y_VRPC_PR, E$10&amp;"_"&amp;$D513&amp;"_"&amp;$D548, VRPanelQ)</f>
        <v>0</v>
      </c>
      <c r="F548" s="126">
        <f t="shared" si="381"/>
        <v>0</v>
      </c>
      <c r="G548" s="126">
        <f t="shared" si="381"/>
        <v>0</v>
      </c>
      <c r="H548" s="126">
        <f t="shared" si="381"/>
        <v>0</v>
      </c>
      <c r="I548" s="126">
        <f t="shared" si="381"/>
        <v>0</v>
      </c>
      <c r="J548" s="126">
        <f t="shared" si="381"/>
        <v>0</v>
      </c>
      <c r="K548" s="126">
        <f t="shared" si="381"/>
        <v>0</v>
      </c>
      <c r="L548" s="127">
        <f t="shared" si="381"/>
        <v>0</v>
      </c>
    </row>
    <row r="549" spans="3:12" ht="15.6" hidden="1">
      <c r="C549" s="39" t="str">
        <f t="shared" si="348"/>
        <v>H</v>
      </c>
      <c r="D549" s="45">
        <f>Parameter!C$42</f>
        <v>0</v>
      </c>
      <c r="E549" s="125">
        <f t="shared" ref="E549:L549" si="382">SUMIF(Y_VRPC_PR, E$10&amp;"_"&amp;$D513&amp;"_"&amp;$D549, VRPanelQ)</f>
        <v>0</v>
      </c>
      <c r="F549" s="126">
        <f t="shared" si="382"/>
        <v>0</v>
      </c>
      <c r="G549" s="126">
        <f t="shared" si="382"/>
        <v>0</v>
      </c>
      <c r="H549" s="126">
        <f t="shared" si="382"/>
        <v>0</v>
      </c>
      <c r="I549" s="126">
        <f t="shared" si="382"/>
        <v>0</v>
      </c>
      <c r="J549" s="126">
        <f t="shared" si="382"/>
        <v>0</v>
      </c>
      <c r="K549" s="126">
        <f t="shared" si="382"/>
        <v>0</v>
      </c>
      <c r="L549" s="127">
        <f t="shared" si="382"/>
        <v>0</v>
      </c>
    </row>
    <row r="550" spans="3:12" ht="15.6" hidden="1">
      <c r="C550" s="39" t="str">
        <f t="shared" si="348"/>
        <v>H</v>
      </c>
      <c r="D550" s="45">
        <f>Parameter!C$43</f>
        <v>0</v>
      </c>
      <c r="E550" s="125">
        <f t="shared" ref="E550:L550" si="383">SUMIF(Y_VRPC_PR, E$10&amp;"_"&amp;$D513&amp;"_"&amp;$D550, VRPanelQ)</f>
        <v>0</v>
      </c>
      <c r="F550" s="126">
        <f t="shared" si="383"/>
        <v>0</v>
      </c>
      <c r="G550" s="126">
        <f t="shared" si="383"/>
        <v>0</v>
      </c>
      <c r="H550" s="126">
        <f t="shared" si="383"/>
        <v>0</v>
      </c>
      <c r="I550" s="126">
        <f t="shared" si="383"/>
        <v>0</v>
      </c>
      <c r="J550" s="126">
        <f t="shared" si="383"/>
        <v>0</v>
      </c>
      <c r="K550" s="126">
        <f t="shared" si="383"/>
        <v>0</v>
      </c>
      <c r="L550" s="127">
        <f t="shared" si="383"/>
        <v>0</v>
      </c>
    </row>
    <row r="551" spans="3:12" ht="15.6" hidden="1">
      <c r="C551" s="39" t="str">
        <f t="shared" si="348"/>
        <v>H</v>
      </c>
      <c r="D551" s="45">
        <f>Parameter!C$44</f>
        <v>0</v>
      </c>
      <c r="E551" s="125">
        <f t="shared" ref="E551:L551" si="384">SUMIF(Y_VRPC_PR, E$10&amp;"_"&amp;$D513&amp;"_"&amp;$D551, VRPanelQ)</f>
        <v>0</v>
      </c>
      <c r="F551" s="126">
        <f t="shared" si="384"/>
        <v>0</v>
      </c>
      <c r="G551" s="126">
        <f t="shared" si="384"/>
        <v>0</v>
      </c>
      <c r="H551" s="126">
        <f t="shared" si="384"/>
        <v>0</v>
      </c>
      <c r="I551" s="126">
        <f t="shared" si="384"/>
        <v>0</v>
      </c>
      <c r="J551" s="126">
        <f t="shared" si="384"/>
        <v>0</v>
      </c>
      <c r="K551" s="126">
        <f t="shared" si="384"/>
        <v>0</v>
      </c>
      <c r="L551" s="127">
        <f t="shared" si="384"/>
        <v>0</v>
      </c>
    </row>
    <row r="552" spans="3:12" ht="15.6" hidden="1">
      <c r="C552" s="39" t="str">
        <f t="shared" si="348"/>
        <v>H</v>
      </c>
      <c r="D552" s="45">
        <f>Parameter!C$45</f>
        <v>0</v>
      </c>
      <c r="E552" s="125">
        <f t="shared" ref="E552:L552" si="385">SUMIF(Y_VRPC_PR, E$10&amp;"_"&amp;$D513&amp;"_"&amp;$D552, VRPanelQ)</f>
        <v>0</v>
      </c>
      <c r="F552" s="126">
        <f t="shared" si="385"/>
        <v>0</v>
      </c>
      <c r="G552" s="126">
        <f t="shared" si="385"/>
        <v>0</v>
      </c>
      <c r="H552" s="126">
        <f t="shared" si="385"/>
        <v>0</v>
      </c>
      <c r="I552" s="126">
        <f t="shared" si="385"/>
        <v>0</v>
      </c>
      <c r="J552" s="126">
        <f t="shared" si="385"/>
        <v>0</v>
      </c>
      <c r="K552" s="126">
        <f t="shared" si="385"/>
        <v>0</v>
      </c>
      <c r="L552" s="127">
        <f t="shared" si="385"/>
        <v>0</v>
      </c>
    </row>
    <row r="553" spans="3:12" ht="15.6" hidden="1">
      <c r="C553" s="39" t="str">
        <f t="shared" si="348"/>
        <v>H</v>
      </c>
      <c r="D553" s="45">
        <f>Parameter!C$46</f>
        <v>0</v>
      </c>
      <c r="E553" s="125">
        <f t="shared" ref="E553:L553" si="386">SUMIF(Y_VRPC_PR, E$10&amp;"_"&amp;$D513&amp;"_"&amp;$D553, VRPanelQ)</f>
        <v>0</v>
      </c>
      <c r="F553" s="126">
        <f t="shared" si="386"/>
        <v>0</v>
      </c>
      <c r="G553" s="126">
        <f t="shared" si="386"/>
        <v>0</v>
      </c>
      <c r="H553" s="126">
        <f t="shared" si="386"/>
        <v>0</v>
      </c>
      <c r="I553" s="126">
        <f t="shared" si="386"/>
        <v>0</v>
      </c>
      <c r="J553" s="126">
        <f t="shared" si="386"/>
        <v>0</v>
      </c>
      <c r="K553" s="126">
        <f t="shared" si="386"/>
        <v>0</v>
      </c>
      <c r="L553" s="127">
        <f t="shared" si="386"/>
        <v>0</v>
      </c>
    </row>
    <row r="554" spans="3:12" ht="15.6" hidden="1">
      <c r="C554" s="39" t="str">
        <f t="shared" si="348"/>
        <v>H</v>
      </c>
      <c r="D554" s="45">
        <f>Parameter!C$47</f>
        <v>0</v>
      </c>
      <c r="E554" s="125">
        <f t="shared" ref="E554:L554" si="387">SUMIF(Y_VRPC_PR, E$10&amp;"_"&amp;$D513&amp;"_"&amp;$D554, VRPanelQ)</f>
        <v>0</v>
      </c>
      <c r="F554" s="126">
        <f t="shared" si="387"/>
        <v>0</v>
      </c>
      <c r="G554" s="126">
        <f t="shared" si="387"/>
        <v>0</v>
      </c>
      <c r="H554" s="126">
        <f t="shared" si="387"/>
        <v>0</v>
      </c>
      <c r="I554" s="126">
        <f t="shared" si="387"/>
        <v>0</v>
      </c>
      <c r="J554" s="126">
        <f t="shared" si="387"/>
        <v>0</v>
      </c>
      <c r="K554" s="126">
        <f t="shared" si="387"/>
        <v>0</v>
      </c>
      <c r="L554" s="127">
        <f t="shared" si="387"/>
        <v>0</v>
      </c>
    </row>
    <row r="555" spans="3:12" ht="15.6" hidden="1">
      <c r="C555" s="39" t="str">
        <f t="shared" si="348"/>
        <v>H</v>
      </c>
      <c r="D555" s="45">
        <f>Parameter!C$48</f>
        <v>0</v>
      </c>
      <c r="E555" s="125">
        <f t="shared" ref="E555:L555" si="388">SUMIF(Y_VRPC_PR, E$10&amp;"_"&amp;$D513&amp;"_"&amp;$D555, VRPanelQ)</f>
        <v>0</v>
      </c>
      <c r="F555" s="126">
        <f t="shared" si="388"/>
        <v>0</v>
      </c>
      <c r="G555" s="126">
        <f t="shared" si="388"/>
        <v>0</v>
      </c>
      <c r="H555" s="126">
        <f t="shared" si="388"/>
        <v>0</v>
      </c>
      <c r="I555" s="126">
        <f t="shared" si="388"/>
        <v>0</v>
      </c>
      <c r="J555" s="126">
        <f t="shared" si="388"/>
        <v>0</v>
      </c>
      <c r="K555" s="126">
        <f t="shared" si="388"/>
        <v>0</v>
      </c>
      <c r="L555" s="127">
        <f t="shared" si="388"/>
        <v>0</v>
      </c>
    </row>
    <row r="556" spans="3:12" ht="15.6" hidden="1">
      <c r="C556" s="39" t="str">
        <f t="shared" si="348"/>
        <v>H</v>
      </c>
      <c r="D556" s="45">
        <f>Parameter!C$49</f>
        <v>0</v>
      </c>
      <c r="E556" s="125">
        <f t="shared" ref="E556:L556" si="389">SUMIF(Y_VRPC_PR, E$10&amp;"_"&amp;$D513&amp;"_"&amp;$D556, VRPanelQ)</f>
        <v>0</v>
      </c>
      <c r="F556" s="126">
        <f t="shared" si="389"/>
        <v>0</v>
      </c>
      <c r="G556" s="126">
        <f t="shared" si="389"/>
        <v>0</v>
      </c>
      <c r="H556" s="126">
        <f t="shared" si="389"/>
        <v>0</v>
      </c>
      <c r="I556" s="126">
        <f t="shared" si="389"/>
        <v>0</v>
      </c>
      <c r="J556" s="126">
        <f t="shared" si="389"/>
        <v>0</v>
      </c>
      <c r="K556" s="126">
        <f t="shared" si="389"/>
        <v>0</v>
      </c>
      <c r="L556" s="127">
        <f t="shared" si="389"/>
        <v>0</v>
      </c>
    </row>
    <row r="557" spans="3:12" ht="15.6" hidden="1">
      <c r="C557" s="39" t="str">
        <f t="shared" si="348"/>
        <v>H</v>
      </c>
      <c r="D557" s="45">
        <f>Parameter!C$50</f>
        <v>0</v>
      </c>
      <c r="E557" s="125">
        <f t="shared" ref="E557:L557" si="390">SUMIF(Y_VRPC_PR, E$10&amp;"_"&amp;$D513&amp;"_"&amp;$D557, VRPanelQ)</f>
        <v>0</v>
      </c>
      <c r="F557" s="126">
        <f t="shared" si="390"/>
        <v>0</v>
      </c>
      <c r="G557" s="126">
        <f t="shared" si="390"/>
        <v>0</v>
      </c>
      <c r="H557" s="126">
        <f t="shared" si="390"/>
        <v>0</v>
      </c>
      <c r="I557" s="126">
        <f t="shared" si="390"/>
        <v>0</v>
      </c>
      <c r="J557" s="126">
        <f t="shared" si="390"/>
        <v>0</v>
      </c>
      <c r="K557" s="126">
        <f t="shared" si="390"/>
        <v>0</v>
      </c>
      <c r="L557" s="127">
        <f t="shared" si="390"/>
        <v>0</v>
      </c>
    </row>
    <row r="558" spans="3:12" ht="15.6" hidden="1">
      <c r="C558" s="39" t="str">
        <f t="shared" si="348"/>
        <v>H</v>
      </c>
      <c r="D558" s="45">
        <f>Parameter!C$51</f>
        <v>0</v>
      </c>
      <c r="E558" s="125">
        <f t="shared" ref="E558:L558" si="391">SUMIF(Y_VRPC_PR, E$10&amp;"_"&amp;$D513&amp;"_"&amp;$D558, VRPanelQ)</f>
        <v>0</v>
      </c>
      <c r="F558" s="126">
        <f t="shared" si="391"/>
        <v>0</v>
      </c>
      <c r="G558" s="126">
        <f t="shared" si="391"/>
        <v>0</v>
      </c>
      <c r="H558" s="126">
        <f t="shared" si="391"/>
        <v>0</v>
      </c>
      <c r="I558" s="126">
        <f t="shared" si="391"/>
        <v>0</v>
      </c>
      <c r="J558" s="126">
        <f t="shared" si="391"/>
        <v>0</v>
      </c>
      <c r="K558" s="126">
        <f t="shared" si="391"/>
        <v>0</v>
      </c>
      <c r="L558" s="127">
        <f t="shared" si="391"/>
        <v>0</v>
      </c>
    </row>
    <row r="559" spans="3:12" ht="15.6" hidden="1">
      <c r="C559" s="39" t="str">
        <f t="shared" si="348"/>
        <v>H</v>
      </c>
      <c r="D559" s="45">
        <f>Parameter!C$52</f>
        <v>0</v>
      </c>
      <c r="E559" s="125">
        <f t="shared" ref="E559:L559" si="392">SUMIF(Y_VRPC_PR, E$10&amp;"_"&amp;$D513&amp;"_"&amp;$D559, VRPanelQ)</f>
        <v>0</v>
      </c>
      <c r="F559" s="126">
        <f t="shared" si="392"/>
        <v>0</v>
      </c>
      <c r="G559" s="126">
        <f t="shared" si="392"/>
        <v>0</v>
      </c>
      <c r="H559" s="126">
        <f t="shared" si="392"/>
        <v>0</v>
      </c>
      <c r="I559" s="126">
        <f t="shared" si="392"/>
        <v>0</v>
      </c>
      <c r="J559" s="126">
        <f t="shared" si="392"/>
        <v>0</v>
      </c>
      <c r="K559" s="126">
        <f t="shared" si="392"/>
        <v>0</v>
      </c>
      <c r="L559" s="127">
        <f t="shared" si="392"/>
        <v>0</v>
      </c>
    </row>
    <row r="560" spans="3:12" ht="15.6" hidden="1">
      <c r="C560" s="39" t="str">
        <f t="shared" si="348"/>
        <v>H</v>
      </c>
      <c r="D560" s="45">
        <f>Parameter!C$53</f>
        <v>0</v>
      </c>
      <c r="E560" s="125">
        <f t="shared" ref="E560:L560" si="393">SUMIF(Y_VRPC_PR, E$10&amp;"_"&amp;$D513&amp;"_"&amp;$D560, VRPanelQ)</f>
        <v>0</v>
      </c>
      <c r="F560" s="126">
        <f t="shared" si="393"/>
        <v>0</v>
      </c>
      <c r="G560" s="126">
        <f t="shared" si="393"/>
        <v>0</v>
      </c>
      <c r="H560" s="126">
        <f t="shared" si="393"/>
        <v>0</v>
      </c>
      <c r="I560" s="126">
        <f t="shared" si="393"/>
        <v>0</v>
      </c>
      <c r="J560" s="126">
        <f t="shared" si="393"/>
        <v>0</v>
      </c>
      <c r="K560" s="126">
        <f t="shared" si="393"/>
        <v>0</v>
      </c>
      <c r="L560" s="127">
        <f t="shared" si="393"/>
        <v>0</v>
      </c>
    </row>
    <row r="561" spans="3:12" ht="15.6" hidden="1">
      <c r="C561" s="39" t="str">
        <f t="shared" si="348"/>
        <v>H</v>
      </c>
      <c r="D561" s="45">
        <f>Parameter!C$54</f>
        <v>0</v>
      </c>
      <c r="E561" s="125">
        <f t="shared" ref="E561:L561" si="394">SUMIF(Y_VRPC_PR, E$10&amp;"_"&amp;$D513&amp;"_"&amp;$D561, VRPanelQ)</f>
        <v>0</v>
      </c>
      <c r="F561" s="126">
        <f t="shared" si="394"/>
        <v>0</v>
      </c>
      <c r="G561" s="126">
        <f t="shared" si="394"/>
        <v>0</v>
      </c>
      <c r="H561" s="126">
        <f t="shared" si="394"/>
        <v>0</v>
      </c>
      <c r="I561" s="126">
        <f t="shared" si="394"/>
        <v>0</v>
      </c>
      <c r="J561" s="126">
        <f t="shared" si="394"/>
        <v>0</v>
      </c>
      <c r="K561" s="126">
        <f t="shared" si="394"/>
        <v>0</v>
      </c>
      <c r="L561" s="127">
        <f t="shared" si="394"/>
        <v>0</v>
      </c>
    </row>
    <row r="562" spans="3:12" ht="15.6" hidden="1">
      <c r="C562" s="39" t="str">
        <f t="shared" si="348"/>
        <v>H</v>
      </c>
      <c r="D562" s="45">
        <f>Parameter!C$55</f>
        <v>0</v>
      </c>
      <c r="E562" s="125">
        <f t="shared" ref="E562:L562" si="395">SUMIF(Y_VRPC_PR, E$10&amp;"_"&amp;$D513&amp;"_"&amp;$D562, VRPanelQ)</f>
        <v>0</v>
      </c>
      <c r="F562" s="126">
        <f t="shared" si="395"/>
        <v>0</v>
      </c>
      <c r="G562" s="126">
        <f t="shared" si="395"/>
        <v>0</v>
      </c>
      <c r="H562" s="126">
        <f t="shared" si="395"/>
        <v>0</v>
      </c>
      <c r="I562" s="126">
        <f t="shared" si="395"/>
        <v>0</v>
      </c>
      <c r="J562" s="126">
        <f t="shared" si="395"/>
        <v>0</v>
      </c>
      <c r="K562" s="126">
        <f t="shared" si="395"/>
        <v>0</v>
      </c>
      <c r="L562" s="127">
        <f t="shared" si="395"/>
        <v>0</v>
      </c>
    </row>
    <row r="563" spans="3:12" ht="15.6" hidden="1">
      <c r="C563" s="39" t="str">
        <f t="shared" si="348"/>
        <v>H</v>
      </c>
      <c r="D563" s="45">
        <f>Parameter!C$56</f>
        <v>0</v>
      </c>
      <c r="E563" s="125">
        <f t="shared" ref="E563:L563" si="396">SUMIF(Y_VRPC_PR, E$10&amp;"_"&amp;$D513&amp;"_"&amp;$D563, VRPanelQ)</f>
        <v>0</v>
      </c>
      <c r="F563" s="126">
        <f t="shared" si="396"/>
        <v>0</v>
      </c>
      <c r="G563" s="126">
        <f t="shared" si="396"/>
        <v>0</v>
      </c>
      <c r="H563" s="126">
        <f t="shared" si="396"/>
        <v>0</v>
      </c>
      <c r="I563" s="126">
        <f t="shared" si="396"/>
        <v>0</v>
      </c>
      <c r="J563" s="126">
        <f t="shared" si="396"/>
        <v>0</v>
      </c>
      <c r="K563" s="126">
        <f t="shared" si="396"/>
        <v>0</v>
      </c>
      <c r="L563" s="127">
        <f t="shared" si="396"/>
        <v>0</v>
      </c>
    </row>
    <row r="564" spans="3:12" ht="16.2" hidden="1" thickBot="1">
      <c r="C564" s="39" t="str">
        <f t="shared" si="348"/>
        <v>H</v>
      </c>
      <c r="D564" s="53" t="str">
        <f>Parameter!C$57</f>
        <v>ALL</v>
      </c>
      <c r="E564" s="128">
        <f t="shared" ref="E564:L564" si="397">SUMIF(Y_VRPC_PR, E$10&amp;"_"&amp;$D513&amp;"_"&amp;$D564, VRPanelQ)</f>
        <v>0</v>
      </c>
      <c r="F564" s="129">
        <f t="shared" si="397"/>
        <v>0</v>
      </c>
      <c r="G564" s="129">
        <f t="shared" si="397"/>
        <v>0</v>
      </c>
      <c r="H564" s="129">
        <f t="shared" si="397"/>
        <v>0</v>
      </c>
      <c r="I564" s="129">
        <f t="shared" si="397"/>
        <v>0</v>
      </c>
      <c r="J564" s="129">
        <f t="shared" si="397"/>
        <v>0</v>
      </c>
      <c r="K564" s="129">
        <f t="shared" si="397"/>
        <v>0</v>
      </c>
      <c r="L564" s="130">
        <f t="shared" si="397"/>
        <v>0</v>
      </c>
    </row>
    <row r="565" spans="3:12" ht="15.6" hidden="1">
      <c r="C565" s="39" t="str">
        <f t="shared" si="348"/>
        <v>H</v>
      </c>
      <c r="D565" s="54" t="s">
        <v>87</v>
      </c>
      <c r="E565" s="131">
        <f>SUM(E515:E564)</f>
        <v>0</v>
      </c>
      <c r="F565" s="132">
        <f t="shared" ref="F565" si="398">SUM(F515:F564)</f>
        <v>0</v>
      </c>
      <c r="G565" s="132">
        <f t="shared" ref="G565" si="399">SUM(G515:G564)</f>
        <v>0</v>
      </c>
      <c r="H565" s="132">
        <f t="shared" ref="H565" si="400">SUM(H515:H564)</f>
        <v>0</v>
      </c>
      <c r="I565" s="132">
        <f t="shared" ref="I565" si="401">SUM(I515:I564)</f>
        <v>0</v>
      </c>
      <c r="J565" s="132">
        <f t="shared" ref="J565" si="402">SUM(J515:J564)</f>
        <v>0</v>
      </c>
      <c r="K565" s="132">
        <f t="shared" ref="K565" si="403">SUM(K515:K564)</f>
        <v>0</v>
      </c>
      <c r="L565" s="133">
        <f t="shared" ref="L565" si="404">SUM(L515:L564)</f>
        <v>0</v>
      </c>
    </row>
    <row r="566" spans="3:12" ht="16.2" hidden="1" thickBot="1">
      <c r="C566" s="39" t="str">
        <f t="shared" si="348"/>
        <v>H</v>
      </c>
      <c r="D566" s="46" t="s">
        <v>88</v>
      </c>
      <c r="E566" s="47"/>
      <c r="F566" s="50" t="str">
        <f t="shared" ref="F566" si="405">IF(E565*F565=0, "", F565/E565-1)</f>
        <v/>
      </c>
      <c r="G566" s="50" t="str">
        <f t="shared" ref="G566" si="406">IF(F565*G565=0, "", G565/F565-1)</f>
        <v/>
      </c>
      <c r="H566" s="50" t="str">
        <f>IF(G565*H565=0, "", H565/G565-1)</f>
        <v/>
      </c>
      <c r="I566" s="50" t="str">
        <f t="shared" ref="I566" si="407">IF(H565*I565=0, "", I565/H565-1)</f>
        <v/>
      </c>
      <c r="J566" s="50" t="str">
        <f t="shared" ref="J566" si="408">IF(I565*J565=0, "", J565/I565-1)</f>
        <v/>
      </c>
      <c r="K566" s="50" t="str">
        <f t="shared" ref="K566" si="409">IF(J565*K565=0, "", K565/J565-1)</f>
        <v/>
      </c>
      <c r="L566" s="51" t="str">
        <f t="shared" ref="L566" si="410">IF(K565*L565=0, "", L565/K565-1)</f>
        <v/>
      </c>
    </row>
    <row r="567" spans="3:12">
      <c r="C567"/>
    </row>
    <row r="568" spans="3:12" ht="14.4" thickBot="1">
      <c r="C568"/>
    </row>
    <row r="569" spans="3:12" ht="15" thickBot="1">
      <c r="C569"/>
      <c r="D569" s="52" t="s">
        <v>87</v>
      </c>
    </row>
    <row r="570" spans="3:12" ht="16.2" thickBot="1">
      <c r="C570"/>
      <c r="D570" s="40" t="s">
        <v>98</v>
      </c>
      <c r="E570" s="41" t="str">
        <f t="shared" ref="E570:L570" si="411">E10</f>
        <v>2022</v>
      </c>
      <c r="F570" s="42" t="str">
        <f t="shared" si="411"/>
        <v>2023</v>
      </c>
      <c r="G570" s="42" t="str">
        <f t="shared" si="411"/>
        <v>2024</v>
      </c>
      <c r="H570" s="42">
        <f t="shared" si="411"/>
        <v>2025</v>
      </c>
      <c r="I570" s="42" t="str">
        <f t="shared" si="411"/>
        <v>2026</v>
      </c>
      <c r="J570" s="42" t="str">
        <f t="shared" si="411"/>
        <v>2027</v>
      </c>
      <c r="K570" s="42" t="str">
        <f t="shared" si="411"/>
        <v>2028</v>
      </c>
      <c r="L570" s="43" t="str">
        <f t="shared" si="411"/>
        <v>2029</v>
      </c>
    </row>
    <row r="571" spans="3:12" ht="15.6" hidden="1">
      <c r="C571" s="39" t="str">
        <f>IF(SUM(E571:L571)=0, "H", "")</f>
        <v>H</v>
      </c>
      <c r="D571" s="44" t="str">
        <f>Parameter!G8</f>
        <v>1x AMOLED</v>
      </c>
      <c r="E571" s="125">
        <f t="shared" ref="E571:L580" si="412">SUMIF(ARVR_Y_PC, "VR_"&amp;E$570&amp;"_"&amp;$D571, PanelQ)</f>
        <v>0</v>
      </c>
      <c r="F571" s="126">
        <f t="shared" si="412"/>
        <v>0</v>
      </c>
      <c r="G571" s="126">
        <f t="shared" si="412"/>
        <v>0</v>
      </c>
      <c r="H571" s="126">
        <f t="shared" si="412"/>
        <v>0</v>
      </c>
      <c r="I571" s="126">
        <f t="shared" si="412"/>
        <v>0</v>
      </c>
      <c r="J571" s="126">
        <f t="shared" si="412"/>
        <v>0</v>
      </c>
      <c r="K571" s="126">
        <f t="shared" si="412"/>
        <v>0</v>
      </c>
      <c r="L571" s="127">
        <f t="shared" si="412"/>
        <v>0</v>
      </c>
    </row>
    <row r="572" spans="3:12" ht="15.6">
      <c r="C572" s="39" t="str">
        <f t="shared" ref="C572:C580" si="413">IF(SUM(E572:L572)=0, "H", "")</f>
        <v/>
      </c>
      <c r="D572" s="44" t="str">
        <f>Parameter!G9</f>
        <v>1x LCD</v>
      </c>
      <c r="E572" s="125">
        <f t="shared" si="412"/>
        <v>6.6660000000000013</v>
      </c>
      <c r="F572" s="126">
        <f t="shared" si="412"/>
        <v>1.8620030000000003</v>
      </c>
      <c r="G572" s="126">
        <f t="shared" si="412"/>
        <v>2.8341850000000002</v>
      </c>
      <c r="H572" s="126">
        <f t="shared" si="412"/>
        <v>2.677</v>
      </c>
      <c r="I572" s="126">
        <f t="shared" si="412"/>
        <v>1.6500000000000001</v>
      </c>
      <c r="J572" s="126">
        <f t="shared" si="412"/>
        <v>1.155</v>
      </c>
      <c r="K572" s="126">
        <f t="shared" si="412"/>
        <v>0.9900000000000001</v>
      </c>
      <c r="L572" s="127">
        <f t="shared" si="412"/>
        <v>0.88</v>
      </c>
    </row>
    <row r="573" spans="3:12" ht="15.6">
      <c r="C573" s="39" t="str">
        <f t="shared" si="413"/>
        <v/>
      </c>
      <c r="D573" s="45" t="str">
        <f>Parameter!G10</f>
        <v>2x AMOLED</v>
      </c>
      <c r="E573" s="125">
        <f t="shared" si="412"/>
        <v>3.2</v>
      </c>
      <c r="F573" s="126">
        <f t="shared" si="412"/>
        <v>1.7</v>
      </c>
      <c r="G573" s="126">
        <f t="shared" si="412"/>
        <v>0</v>
      </c>
      <c r="H573" s="126">
        <f t="shared" si="412"/>
        <v>0</v>
      </c>
      <c r="I573" s="126">
        <f t="shared" si="412"/>
        <v>8.7999999999999995E-2</v>
      </c>
      <c r="J573" s="126">
        <f t="shared" si="412"/>
        <v>1.2100000000000002</v>
      </c>
      <c r="K573" s="126">
        <f t="shared" si="412"/>
        <v>2.6399999999999997</v>
      </c>
      <c r="L573" s="127">
        <f t="shared" si="412"/>
        <v>2.8600000000000003</v>
      </c>
    </row>
    <row r="574" spans="3:12" ht="15.6">
      <c r="C574" s="39" t="str">
        <f t="shared" si="413"/>
        <v/>
      </c>
      <c r="D574" s="45" t="str">
        <f>Parameter!G11</f>
        <v>2x LCD</v>
      </c>
      <c r="E574" s="125">
        <f t="shared" si="412"/>
        <v>0.71059999999999979</v>
      </c>
      <c r="F574" s="126">
        <f t="shared" si="412"/>
        <v>6.9785100000000009</v>
      </c>
      <c r="G574" s="126">
        <f t="shared" si="412"/>
        <v>3.8025899999999995</v>
      </c>
      <c r="H574" s="126">
        <f t="shared" si="412"/>
        <v>3.1245000000000003</v>
      </c>
      <c r="I574" s="126">
        <f t="shared" si="412"/>
        <v>6.3360000000000003</v>
      </c>
      <c r="J574" s="126">
        <f t="shared" si="412"/>
        <v>9.8999999999999986</v>
      </c>
      <c r="K574" s="126">
        <f t="shared" si="412"/>
        <v>8.8000000000000007</v>
      </c>
      <c r="L574" s="127">
        <f t="shared" si="412"/>
        <v>9.68</v>
      </c>
    </row>
    <row r="575" spans="3:12" ht="16.2" thickBot="1">
      <c r="C575" s="39" t="str">
        <f t="shared" si="413"/>
        <v/>
      </c>
      <c r="D575" s="45" t="str">
        <f>Parameter!G12</f>
        <v>2x SiOLED</v>
      </c>
      <c r="E575" s="125">
        <f t="shared" si="412"/>
        <v>4.4000000000000003E-3</v>
      </c>
      <c r="F575" s="126">
        <f t="shared" si="412"/>
        <v>0.43603299999999995</v>
      </c>
      <c r="G575" s="126">
        <f t="shared" si="412"/>
        <v>0.83635599999999999</v>
      </c>
      <c r="H575" s="126">
        <f t="shared" si="412"/>
        <v>0.28049999999999997</v>
      </c>
      <c r="I575" s="126">
        <f t="shared" si="412"/>
        <v>1.0780000000000001</v>
      </c>
      <c r="J575" s="126">
        <f t="shared" si="412"/>
        <v>5.1479999999999997</v>
      </c>
      <c r="K575" s="126">
        <f t="shared" si="412"/>
        <v>5.9399999999999995</v>
      </c>
      <c r="L575" s="127">
        <f t="shared" si="412"/>
        <v>9.4599999999999991</v>
      </c>
    </row>
    <row r="576" spans="3:12" ht="15.6" hidden="1">
      <c r="C576" s="39" t="str">
        <f t="shared" si="413"/>
        <v>H</v>
      </c>
      <c r="D576" s="45">
        <f>Parameter!G13</f>
        <v>0</v>
      </c>
      <c r="E576" s="125">
        <f t="shared" si="412"/>
        <v>0</v>
      </c>
      <c r="F576" s="126">
        <f t="shared" si="412"/>
        <v>0</v>
      </c>
      <c r="G576" s="126">
        <f t="shared" si="412"/>
        <v>0</v>
      </c>
      <c r="H576" s="126">
        <f t="shared" si="412"/>
        <v>0</v>
      </c>
      <c r="I576" s="126">
        <f t="shared" si="412"/>
        <v>0</v>
      </c>
      <c r="J576" s="126">
        <f t="shared" si="412"/>
        <v>0</v>
      </c>
      <c r="K576" s="126">
        <f t="shared" si="412"/>
        <v>0</v>
      </c>
      <c r="L576" s="127">
        <f t="shared" si="412"/>
        <v>0</v>
      </c>
    </row>
    <row r="577" spans="3:12" ht="15.6" hidden="1">
      <c r="C577" s="39" t="str">
        <f t="shared" si="413"/>
        <v>H</v>
      </c>
      <c r="D577" s="45">
        <f>Parameter!G14</f>
        <v>0</v>
      </c>
      <c r="E577" s="125">
        <f t="shared" si="412"/>
        <v>0</v>
      </c>
      <c r="F577" s="126">
        <f t="shared" si="412"/>
        <v>0</v>
      </c>
      <c r="G577" s="126">
        <f t="shared" si="412"/>
        <v>0</v>
      </c>
      <c r="H577" s="126">
        <f t="shared" si="412"/>
        <v>0</v>
      </c>
      <c r="I577" s="126">
        <f t="shared" si="412"/>
        <v>0</v>
      </c>
      <c r="J577" s="126">
        <f t="shared" si="412"/>
        <v>0</v>
      </c>
      <c r="K577" s="126">
        <f t="shared" si="412"/>
        <v>0</v>
      </c>
      <c r="L577" s="127">
        <f t="shared" si="412"/>
        <v>0</v>
      </c>
    </row>
    <row r="578" spans="3:12" ht="15.6" hidden="1">
      <c r="C578" s="39" t="str">
        <f t="shared" si="413"/>
        <v>H</v>
      </c>
      <c r="D578" s="45">
        <f>Parameter!G15</f>
        <v>0</v>
      </c>
      <c r="E578" s="125">
        <f t="shared" si="412"/>
        <v>0</v>
      </c>
      <c r="F578" s="126">
        <f t="shared" si="412"/>
        <v>0</v>
      </c>
      <c r="G578" s="126">
        <f t="shared" si="412"/>
        <v>0</v>
      </c>
      <c r="H578" s="126">
        <f t="shared" si="412"/>
        <v>0</v>
      </c>
      <c r="I578" s="126">
        <f t="shared" si="412"/>
        <v>0</v>
      </c>
      <c r="J578" s="126">
        <f t="shared" si="412"/>
        <v>0</v>
      </c>
      <c r="K578" s="126">
        <f t="shared" si="412"/>
        <v>0</v>
      </c>
      <c r="L578" s="127">
        <f t="shared" si="412"/>
        <v>0</v>
      </c>
    </row>
    <row r="579" spans="3:12" ht="15.6" hidden="1">
      <c r="C579" s="39" t="str">
        <f t="shared" si="413"/>
        <v>H</v>
      </c>
      <c r="D579" s="45">
        <f>Parameter!G16</f>
        <v>0</v>
      </c>
      <c r="E579" s="125">
        <f t="shared" si="412"/>
        <v>0</v>
      </c>
      <c r="F579" s="126">
        <f t="shared" si="412"/>
        <v>0</v>
      </c>
      <c r="G579" s="126">
        <f t="shared" si="412"/>
        <v>0</v>
      </c>
      <c r="H579" s="126">
        <f t="shared" si="412"/>
        <v>0</v>
      </c>
      <c r="I579" s="126">
        <f t="shared" si="412"/>
        <v>0</v>
      </c>
      <c r="J579" s="126">
        <f t="shared" si="412"/>
        <v>0</v>
      </c>
      <c r="K579" s="126">
        <f t="shared" si="412"/>
        <v>0</v>
      </c>
      <c r="L579" s="127">
        <f t="shared" si="412"/>
        <v>0</v>
      </c>
    </row>
    <row r="580" spans="3:12" ht="16.2" hidden="1" thickBot="1">
      <c r="C580" s="39" t="str">
        <f t="shared" si="413"/>
        <v>H</v>
      </c>
      <c r="D580" s="45">
        <f>Parameter!G17</f>
        <v>0</v>
      </c>
      <c r="E580" s="125">
        <f t="shared" si="412"/>
        <v>0</v>
      </c>
      <c r="F580" s="126">
        <f t="shared" si="412"/>
        <v>0</v>
      </c>
      <c r="G580" s="126">
        <f t="shared" si="412"/>
        <v>0</v>
      </c>
      <c r="H580" s="126">
        <f t="shared" si="412"/>
        <v>0</v>
      </c>
      <c r="I580" s="126">
        <f t="shared" si="412"/>
        <v>0</v>
      </c>
      <c r="J580" s="126">
        <f t="shared" si="412"/>
        <v>0</v>
      </c>
      <c r="K580" s="126">
        <f t="shared" si="412"/>
        <v>0</v>
      </c>
      <c r="L580" s="127">
        <f t="shared" si="412"/>
        <v>0</v>
      </c>
    </row>
    <row r="581" spans="3:12" ht="15.6">
      <c r="C581"/>
      <c r="D581" s="54" t="s">
        <v>87</v>
      </c>
      <c r="E581" s="131">
        <f t="shared" ref="E581:L581" si="414">SUM(E571:E580)</f>
        <v>10.581000000000001</v>
      </c>
      <c r="F581" s="132">
        <f t="shared" si="414"/>
        <v>10.976546000000001</v>
      </c>
      <c r="G581" s="132">
        <f t="shared" si="414"/>
        <v>7.4731310000000004</v>
      </c>
      <c r="H581" s="132">
        <f t="shared" si="414"/>
        <v>6.0820000000000007</v>
      </c>
      <c r="I581" s="132">
        <f t="shared" si="414"/>
        <v>9.1519999999999992</v>
      </c>
      <c r="J581" s="132">
        <f t="shared" si="414"/>
        <v>17.412999999999997</v>
      </c>
      <c r="K581" s="132">
        <f t="shared" si="414"/>
        <v>18.369999999999997</v>
      </c>
      <c r="L581" s="133">
        <f t="shared" si="414"/>
        <v>22.88</v>
      </c>
    </row>
    <row r="582" spans="3:12" ht="16.2" thickBot="1">
      <c r="C582"/>
      <c r="D582" s="46" t="s">
        <v>88</v>
      </c>
      <c r="E582" s="47"/>
      <c r="F582" s="50">
        <f t="shared" ref="F582" si="415">IF(E581*F581=0, "", F581/E581-1)</f>
        <v>3.7382667044702611E-2</v>
      </c>
      <c r="G582" s="50">
        <f t="shared" ref="G582" si="416">IF(F581*G581=0, "", G581/F581-1)</f>
        <v>-0.31917280718360763</v>
      </c>
      <c r="H582" s="50">
        <f>IF(G581*H581=0, "", H581/G581-1)</f>
        <v>-0.18615102558753482</v>
      </c>
      <c r="I582" s="50">
        <f t="shared" ref="I582" si="417">IF(H581*I581=0, "", I581/H581-1)</f>
        <v>0.50476816836566885</v>
      </c>
      <c r="J582" s="50">
        <f t="shared" ref="J582" si="418">IF(I581*J581=0, "", J581/I581-1)</f>
        <v>0.90264423076923062</v>
      </c>
      <c r="K582" s="50">
        <f t="shared" ref="K582" si="419">IF(J581*K581=0, "", K581/J581-1)</f>
        <v>5.4958938723941975E-2</v>
      </c>
      <c r="L582" s="51">
        <f t="shared" ref="L582" si="420">IF(K581*L581=0, "", L581/K581-1)</f>
        <v>0.24550898203592819</v>
      </c>
    </row>
  </sheetData>
  <sheetProtection algorithmName="SHA-512" hashValue="8XBw+Q895aPDdc74m4QJm+NPNlNkNtxBV/bvmr/dWmzK5sb1oi61FKscDiariT7vLz4O/Uxonqez0BxeDJZ4gQ==" saltValue="R9Ku+H40yJV2N6QNS1Y8+Q==" spinCount="100000" sheet="1" objects="1" scenarios="1"/>
  <phoneticPr fontId="4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B3A8A-6005-4D3D-A565-9D6F43ACE453}">
  <sheetPr codeName="Sheet10">
    <tabColor rgb="FFCCFFFF"/>
  </sheetPr>
  <dimension ref="C4:L627"/>
  <sheetViews>
    <sheetView showGridLines="0" showZeros="0" zoomScale="80" zoomScaleNormal="80" workbookViewId="0">
      <selection activeCell="D4" sqref="D4"/>
    </sheetView>
  </sheetViews>
  <sheetFormatPr defaultRowHeight="13.8"/>
  <cols>
    <col min="1" max="2" width="4.59765625" customWidth="1"/>
    <col min="3" max="3" width="0" style="13" hidden="1" customWidth="1"/>
    <col min="4" max="4" width="22.19921875" customWidth="1"/>
    <col min="5" max="12" width="10.59765625" customWidth="1"/>
  </cols>
  <sheetData>
    <row r="4" spans="3:12">
      <c r="D4" s="58" t="s">
        <v>102</v>
      </c>
    </row>
    <row r="8" spans="3:12" ht="14.4" thickBot="1"/>
    <row r="9" spans="3:12" ht="15" thickBot="1">
      <c r="C9" s="57" t="str">
        <f>IF(SUM(E61:L61)=0, "H", "")</f>
        <v>H</v>
      </c>
      <c r="D9" s="52" t="str">
        <f>Parameter!G8</f>
        <v>1x AMOLED</v>
      </c>
    </row>
    <row r="10" spans="3:12" ht="16.2" thickBot="1">
      <c r="C10" s="57" t="str">
        <f>IF(SUM(E61:L61)=0, "H", "")</f>
        <v>H</v>
      </c>
      <c r="D10" s="40" t="s">
        <v>85</v>
      </c>
      <c r="E10" s="41" t="str">
        <f>VR_Panel_Shipments!E10</f>
        <v>2022</v>
      </c>
      <c r="F10" s="42" t="str">
        <f>VR_Panel_Shipments!F10</f>
        <v>2023</v>
      </c>
      <c r="G10" s="42" t="str">
        <f>VR_Panel_Shipments!G10</f>
        <v>2024</v>
      </c>
      <c r="H10" s="42">
        <f>VR_Panel_Shipments!H10</f>
        <v>2025</v>
      </c>
      <c r="I10" s="42" t="str">
        <f>VR_Panel_Shipments!I10</f>
        <v>2026</v>
      </c>
      <c r="J10" s="42" t="str">
        <f>VR_Panel_Shipments!J10</f>
        <v>2027</v>
      </c>
      <c r="K10" s="42" t="str">
        <f>VR_Panel_Shipments!K10</f>
        <v>2028</v>
      </c>
      <c r="L10" s="43" t="str">
        <f>VR_Panel_Shipments!L10</f>
        <v>2029</v>
      </c>
    </row>
    <row r="11" spans="3:12" ht="15.6" hidden="1">
      <c r="C11" s="39" t="str">
        <f>IF(SUM(E11:L11)=0, "H", "")</f>
        <v>H</v>
      </c>
      <c r="D11" s="44" t="str">
        <f>Parameter!C$8</f>
        <v>5K VR</v>
      </c>
      <c r="E11" s="134">
        <f t="shared" ref="E11:L20" si="0">SUMIF(ARVR_Y_PC_PR, "VR_"&amp;E$10&amp;"_"&amp;$D$9&amp;"_"&amp;$D11, PanelRev)</f>
        <v>0</v>
      </c>
      <c r="F11" s="135">
        <f t="shared" si="0"/>
        <v>0</v>
      </c>
      <c r="G11" s="135">
        <f t="shared" si="0"/>
        <v>0</v>
      </c>
      <c r="H11" s="135">
        <f t="shared" si="0"/>
        <v>0</v>
      </c>
      <c r="I11" s="135">
        <f t="shared" si="0"/>
        <v>0</v>
      </c>
      <c r="J11" s="135">
        <f t="shared" si="0"/>
        <v>0</v>
      </c>
      <c r="K11" s="135">
        <f t="shared" si="0"/>
        <v>0</v>
      </c>
      <c r="L11" s="136">
        <f t="shared" si="0"/>
        <v>0</v>
      </c>
    </row>
    <row r="12" spans="3:12" ht="15.6" hidden="1">
      <c r="C12" s="39" t="str">
        <f t="shared" ref="C12:C81" si="1">IF(SUM(E12:L12)=0, "H", "")</f>
        <v>H</v>
      </c>
      <c r="D12" s="44" t="str">
        <f>Parameter!C$9</f>
        <v>Aero</v>
      </c>
      <c r="E12" s="134">
        <f t="shared" si="0"/>
        <v>0</v>
      </c>
      <c r="F12" s="135">
        <f t="shared" si="0"/>
        <v>0</v>
      </c>
      <c r="G12" s="135">
        <f t="shared" si="0"/>
        <v>0</v>
      </c>
      <c r="H12" s="135">
        <f t="shared" si="0"/>
        <v>0</v>
      </c>
      <c r="I12" s="135">
        <f t="shared" si="0"/>
        <v>0</v>
      </c>
      <c r="J12" s="135">
        <f t="shared" si="0"/>
        <v>0</v>
      </c>
      <c r="K12" s="135">
        <f t="shared" si="0"/>
        <v>0</v>
      </c>
      <c r="L12" s="136">
        <f t="shared" si="0"/>
        <v>0</v>
      </c>
    </row>
    <row r="13" spans="3:12" ht="15.6" hidden="1">
      <c r="C13" s="39" t="str">
        <f t="shared" si="1"/>
        <v>H</v>
      </c>
      <c r="D13" s="45" t="str">
        <f>Parameter!C$10</f>
        <v>Beyond</v>
      </c>
      <c r="E13" s="134">
        <f t="shared" si="0"/>
        <v>0</v>
      </c>
      <c r="F13" s="135">
        <f t="shared" si="0"/>
        <v>0</v>
      </c>
      <c r="G13" s="135">
        <f t="shared" si="0"/>
        <v>0</v>
      </c>
      <c r="H13" s="135">
        <f t="shared" si="0"/>
        <v>0</v>
      </c>
      <c r="I13" s="135">
        <f t="shared" si="0"/>
        <v>0</v>
      </c>
      <c r="J13" s="135">
        <f t="shared" si="0"/>
        <v>0</v>
      </c>
      <c r="K13" s="135">
        <f t="shared" si="0"/>
        <v>0</v>
      </c>
      <c r="L13" s="136">
        <f t="shared" si="0"/>
        <v>0</v>
      </c>
    </row>
    <row r="14" spans="3:12" ht="15.6" hidden="1">
      <c r="C14" s="39" t="str">
        <f t="shared" si="1"/>
        <v>H</v>
      </c>
      <c r="D14" s="45" t="str">
        <f>Parameter!C$11</f>
        <v>Bionic models</v>
      </c>
      <c r="E14" s="134">
        <f t="shared" si="0"/>
        <v>0</v>
      </c>
      <c r="F14" s="135">
        <f t="shared" si="0"/>
        <v>0</v>
      </c>
      <c r="G14" s="135">
        <f t="shared" si="0"/>
        <v>0</v>
      </c>
      <c r="H14" s="135">
        <f t="shared" si="0"/>
        <v>0</v>
      </c>
      <c r="I14" s="135">
        <f t="shared" si="0"/>
        <v>0</v>
      </c>
      <c r="J14" s="135">
        <f t="shared" si="0"/>
        <v>0</v>
      </c>
      <c r="K14" s="135">
        <f t="shared" si="0"/>
        <v>0</v>
      </c>
      <c r="L14" s="136">
        <f t="shared" si="0"/>
        <v>0</v>
      </c>
    </row>
    <row r="15" spans="3:12" ht="15.6" hidden="1">
      <c r="C15" s="39" t="str">
        <f t="shared" si="1"/>
        <v>H</v>
      </c>
      <c r="D15" s="45" t="str">
        <f>Parameter!C$12</f>
        <v>Dual LCD VR headset</v>
      </c>
      <c r="E15" s="134">
        <f t="shared" si="0"/>
        <v>0</v>
      </c>
      <c r="F15" s="135">
        <f t="shared" si="0"/>
        <v>0</v>
      </c>
      <c r="G15" s="135">
        <f t="shared" si="0"/>
        <v>0</v>
      </c>
      <c r="H15" s="135">
        <f t="shared" si="0"/>
        <v>0</v>
      </c>
      <c r="I15" s="135">
        <f t="shared" si="0"/>
        <v>0</v>
      </c>
      <c r="J15" s="135">
        <f t="shared" si="0"/>
        <v>0</v>
      </c>
      <c r="K15" s="135">
        <f t="shared" si="0"/>
        <v>0</v>
      </c>
      <c r="L15" s="136">
        <f t="shared" si="0"/>
        <v>0</v>
      </c>
    </row>
    <row r="16" spans="3:12" ht="15.6" hidden="1">
      <c r="C16" s="39" t="str">
        <f t="shared" si="1"/>
        <v>H</v>
      </c>
      <c r="D16" s="45" t="str">
        <f>Parameter!C$13</f>
        <v>Dual SiOLED headset</v>
      </c>
      <c r="E16" s="134">
        <f t="shared" si="0"/>
        <v>0</v>
      </c>
      <c r="F16" s="135">
        <f t="shared" si="0"/>
        <v>0</v>
      </c>
      <c r="G16" s="135">
        <f t="shared" si="0"/>
        <v>0</v>
      </c>
      <c r="H16" s="135">
        <f t="shared" si="0"/>
        <v>0</v>
      </c>
      <c r="I16" s="135">
        <f t="shared" si="0"/>
        <v>0</v>
      </c>
      <c r="J16" s="135">
        <f t="shared" si="0"/>
        <v>0</v>
      </c>
      <c r="K16" s="135">
        <f t="shared" si="0"/>
        <v>0</v>
      </c>
      <c r="L16" s="136">
        <f t="shared" si="0"/>
        <v>0</v>
      </c>
    </row>
    <row r="17" spans="3:12" ht="15.6" hidden="1">
      <c r="C17" s="39" t="str">
        <f t="shared" si="1"/>
        <v>H</v>
      </c>
      <c r="D17" s="45" t="str">
        <f>Parameter!C$14</f>
        <v>Index</v>
      </c>
      <c r="E17" s="134">
        <f t="shared" si="0"/>
        <v>0</v>
      </c>
      <c r="F17" s="135">
        <f t="shared" si="0"/>
        <v>0</v>
      </c>
      <c r="G17" s="135">
        <f t="shared" si="0"/>
        <v>0</v>
      </c>
      <c r="H17" s="135">
        <f t="shared" si="0"/>
        <v>0</v>
      </c>
      <c r="I17" s="135">
        <f t="shared" si="0"/>
        <v>0</v>
      </c>
      <c r="J17" s="135">
        <f t="shared" si="0"/>
        <v>0</v>
      </c>
      <c r="K17" s="135">
        <f t="shared" si="0"/>
        <v>0</v>
      </c>
      <c r="L17" s="136">
        <f t="shared" si="0"/>
        <v>0</v>
      </c>
    </row>
    <row r="18" spans="3:12" ht="15.6" hidden="1">
      <c r="C18" s="39" t="str">
        <f t="shared" si="1"/>
        <v>H</v>
      </c>
      <c r="D18" s="45" t="str">
        <f>Parameter!C$15</f>
        <v>MeganeX</v>
      </c>
      <c r="E18" s="134">
        <f t="shared" si="0"/>
        <v>0</v>
      </c>
      <c r="F18" s="135">
        <f t="shared" si="0"/>
        <v>0</v>
      </c>
      <c r="G18" s="135">
        <f t="shared" si="0"/>
        <v>0</v>
      </c>
      <c r="H18" s="135">
        <f t="shared" si="0"/>
        <v>0</v>
      </c>
      <c r="I18" s="135">
        <f t="shared" si="0"/>
        <v>0</v>
      </c>
      <c r="J18" s="135">
        <f t="shared" si="0"/>
        <v>0</v>
      </c>
      <c r="K18" s="135">
        <f t="shared" si="0"/>
        <v>0</v>
      </c>
      <c r="L18" s="136">
        <f t="shared" si="0"/>
        <v>0</v>
      </c>
    </row>
    <row r="19" spans="3:12" ht="15.6" hidden="1">
      <c r="C19" s="39" t="str">
        <f t="shared" si="1"/>
        <v>H</v>
      </c>
      <c r="D19" s="45" t="str">
        <f>Parameter!C$16</f>
        <v>MeganeX Superlight 8K</v>
      </c>
      <c r="E19" s="134">
        <f t="shared" si="0"/>
        <v>0</v>
      </c>
      <c r="F19" s="135">
        <f t="shared" si="0"/>
        <v>0</v>
      </c>
      <c r="G19" s="135">
        <f t="shared" si="0"/>
        <v>0</v>
      </c>
      <c r="H19" s="135">
        <f t="shared" si="0"/>
        <v>0</v>
      </c>
      <c r="I19" s="135">
        <f t="shared" si="0"/>
        <v>0</v>
      </c>
      <c r="J19" s="135">
        <f t="shared" si="0"/>
        <v>0</v>
      </c>
      <c r="K19" s="135">
        <f t="shared" si="0"/>
        <v>0</v>
      </c>
      <c r="L19" s="136">
        <f t="shared" si="0"/>
        <v>0</v>
      </c>
    </row>
    <row r="20" spans="3:12" ht="15.6" hidden="1">
      <c r="C20" s="39" t="str">
        <f t="shared" si="1"/>
        <v>H</v>
      </c>
      <c r="D20" s="45" t="str">
        <f>Parameter!C$17</f>
        <v>Neo 3 / G3</v>
      </c>
      <c r="E20" s="134">
        <f t="shared" si="0"/>
        <v>0</v>
      </c>
      <c r="F20" s="135">
        <f t="shared" si="0"/>
        <v>0</v>
      </c>
      <c r="G20" s="135">
        <f t="shared" si="0"/>
        <v>0</v>
      </c>
      <c r="H20" s="135">
        <f t="shared" si="0"/>
        <v>0</v>
      </c>
      <c r="I20" s="135">
        <f t="shared" si="0"/>
        <v>0</v>
      </c>
      <c r="J20" s="135">
        <f t="shared" si="0"/>
        <v>0</v>
      </c>
      <c r="K20" s="135">
        <f t="shared" si="0"/>
        <v>0</v>
      </c>
      <c r="L20" s="136">
        <f t="shared" si="0"/>
        <v>0</v>
      </c>
    </row>
    <row r="21" spans="3:12" ht="15.6" hidden="1">
      <c r="C21" s="39" t="str">
        <f t="shared" si="1"/>
        <v>H</v>
      </c>
      <c r="D21" s="45" t="str">
        <f>Parameter!C$18</f>
        <v>OLED VR headset</v>
      </c>
      <c r="E21" s="134">
        <f t="shared" ref="E21:L30" si="2">SUMIF(ARVR_Y_PC_PR, "VR_"&amp;E$10&amp;"_"&amp;$D$9&amp;"_"&amp;$D21, PanelRev)</f>
        <v>0</v>
      </c>
      <c r="F21" s="135">
        <f t="shared" si="2"/>
        <v>0</v>
      </c>
      <c r="G21" s="135">
        <f t="shared" si="2"/>
        <v>0</v>
      </c>
      <c r="H21" s="135">
        <f t="shared" si="2"/>
        <v>0</v>
      </c>
      <c r="I21" s="135">
        <f t="shared" si="2"/>
        <v>0</v>
      </c>
      <c r="J21" s="135">
        <f t="shared" si="2"/>
        <v>0</v>
      </c>
      <c r="K21" s="135">
        <f t="shared" si="2"/>
        <v>0</v>
      </c>
      <c r="L21" s="136">
        <f t="shared" si="2"/>
        <v>0</v>
      </c>
    </row>
    <row r="22" spans="3:12" ht="15.6" hidden="1">
      <c r="C22" s="39" t="str">
        <f t="shared" si="1"/>
        <v>H</v>
      </c>
      <c r="D22" s="45" t="str">
        <f>Parameter!C$19</f>
        <v>P1 family</v>
      </c>
      <c r="E22" s="134">
        <f t="shared" si="2"/>
        <v>0</v>
      </c>
      <c r="F22" s="135">
        <f t="shared" si="2"/>
        <v>0</v>
      </c>
      <c r="G22" s="135">
        <f t="shared" si="2"/>
        <v>0</v>
      </c>
      <c r="H22" s="135">
        <f t="shared" si="2"/>
        <v>0</v>
      </c>
      <c r="I22" s="135">
        <f t="shared" si="2"/>
        <v>0</v>
      </c>
      <c r="J22" s="135">
        <f t="shared" si="2"/>
        <v>0</v>
      </c>
      <c r="K22" s="135">
        <f t="shared" si="2"/>
        <v>0</v>
      </c>
      <c r="L22" s="136">
        <f t="shared" si="2"/>
        <v>0</v>
      </c>
    </row>
    <row r="23" spans="3:12" ht="15.6" hidden="1">
      <c r="C23" s="39" t="str">
        <f t="shared" si="1"/>
        <v>H</v>
      </c>
      <c r="D23" s="45" t="str">
        <f>Parameter!C$20</f>
        <v>Pico 4</v>
      </c>
      <c r="E23" s="134">
        <f t="shared" si="2"/>
        <v>0</v>
      </c>
      <c r="F23" s="135">
        <f t="shared" si="2"/>
        <v>0</v>
      </c>
      <c r="G23" s="135">
        <f t="shared" si="2"/>
        <v>0</v>
      </c>
      <c r="H23" s="135">
        <f t="shared" si="2"/>
        <v>0</v>
      </c>
      <c r="I23" s="135">
        <f t="shared" si="2"/>
        <v>0</v>
      </c>
      <c r="J23" s="135">
        <f t="shared" si="2"/>
        <v>0</v>
      </c>
      <c r="K23" s="135">
        <f t="shared" si="2"/>
        <v>0</v>
      </c>
      <c r="L23" s="136">
        <f t="shared" si="2"/>
        <v>0</v>
      </c>
    </row>
    <row r="24" spans="3:12" ht="15.6" hidden="1">
      <c r="C24" s="39" t="str">
        <f t="shared" si="1"/>
        <v>H</v>
      </c>
      <c r="D24" s="45" t="str">
        <f>Parameter!C$21</f>
        <v>Pimax VR</v>
      </c>
      <c r="E24" s="134">
        <f t="shared" si="2"/>
        <v>0</v>
      </c>
      <c r="F24" s="135">
        <f t="shared" si="2"/>
        <v>0</v>
      </c>
      <c r="G24" s="135">
        <f t="shared" si="2"/>
        <v>0</v>
      </c>
      <c r="H24" s="135">
        <f t="shared" si="2"/>
        <v>0</v>
      </c>
      <c r="I24" s="135">
        <f t="shared" si="2"/>
        <v>0</v>
      </c>
      <c r="J24" s="135">
        <f t="shared" si="2"/>
        <v>0</v>
      </c>
      <c r="K24" s="135">
        <f t="shared" si="2"/>
        <v>0</v>
      </c>
      <c r="L24" s="136">
        <f t="shared" si="2"/>
        <v>0</v>
      </c>
    </row>
    <row r="25" spans="3:12" ht="15.6" hidden="1">
      <c r="C25" s="39" t="str">
        <f t="shared" si="1"/>
        <v>H</v>
      </c>
      <c r="D25" s="45" t="str">
        <f>Parameter!C$22</f>
        <v>PlayStation VR</v>
      </c>
      <c r="E25" s="134">
        <f t="shared" si="2"/>
        <v>0</v>
      </c>
      <c r="F25" s="135">
        <f t="shared" si="2"/>
        <v>0</v>
      </c>
      <c r="G25" s="135">
        <f t="shared" si="2"/>
        <v>0</v>
      </c>
      <c r="H25" s="135">
        <f t="shared" si="2"/>
        <v>0</v>
      </c>
      <c r="I25" s="135">
        <f t="shared" si="2"/>
        <v>0</v>
      </c>
      <c r="J25" s="135">
        <f t="shared" si="2"/>
        <v>0</v>
      </c>
      <c r="K25" s="135">
        <f t="shared" si="2"/>
        <v>0</v>
      </c>
      <c r="L25" s="136">
        <f t="shared" si="2"/>
        <v>0</v>
      </c>
    </row>
    <row r="26" spans="3:12" ht="15.6" hidden="1">
      <c r="C26" s="39" t="str">
        <f t="shared" si="1"/>
        <v>H</v>
      </c>
      <c r="D26" s="45" t="str">
        <f>Parameter!C$23</f>
        <v>PlayStation VR2</v>
      </c>
      <c r="E26" s="134">
        <f t="shared" si="2"/>
        <v>0</v>
      </c>
      <c r="F26" s="135">
        <f t="shared" si="2"/>
        <v>0</v>
      </c>
      <c r="G26" s="135">
        <f t="shared" si="2"/>
        <v>0</v>
      </c>
      <c r="H26" s="135">
        <f t="shared" si="2"/>
        <v>0</v>
      </c>
      <c r="I26" s="135">
        <f t="shared" si="2"/>
        <v>0</v>
      </c>
      <c r="J26" s="135">
        <f t="shared" si="2"/>
        <v>0</v>
      </c>
      <c r="K26" s="135">
        <f t="shared" si="2"/>
        <v>0</v>
      </c>
      <c r="L26" s="136">
        <f t="shared" si="2"/>
        <v>0</v>
      </c>
    </row>
    <row r="27" spans="3:12" ht="15.6" hidden="1">
      <c r="C27" s="39" t="str">
        <f t="shared" si="1"/>
        <v>H</v>
      </c>
      <c r="D27" s="45" t="str">
        <f>Parameter!C$24</f>
        <v>Project Moohan</v>
      </c>
      <c r="E27" s="134">
        <f t="shared" si="2"/>
        <v>0</v>
      </c>
      <c r="F27" s="135">
        <f t="shared" si="2"/>
        <v>0</v>
      </c>
      <c r="G27" s="135">
        <f t="shared" si="2"/>
        <v>0</v>
      </c>
      <c r="H27" s="135">
        <f t="shared" si="2"/>
        <v>0</v>
      </c>
      <c r="I27" s="135">
        <f t="shared" si="2"/>
        <v>0</v>
      </c>
      <c r="J27" s="135">
        <f t="shared" si="2"/>
        <v>0</v>
      </c>
      <c r="K27" s="135">
        <f t="shared" si="2"/>
        <v>0</v>
      </c>
      <c r="L27" s="136">
        <f t="shared" si="2"/>
        <v>0</v>
      </c>
    </row>
    <row r="28" spans="3:12" ht="15.6" hidden="1">
      <c r="C28" s="39" t="str">
        <f t="shared" si="1"/>
        <v>H</v>
      </c>
      <c r="D28" s="45" t="str">
        <f>Parameter!C$25</f>
        <v>Quest</v>
      </c>
      <c r="E28" s="134">
        <f t="shared" si="2"/>
        <v>0</v>
      </c>
      <c r="F28" s="135">
        <f t="shared" si="2"/>
        <v>0</v>
      </c>
      <c r="G28" s="135">
        <f t="shared" si="2"/>
        <v>0</v>
      </c>
      <c r="H28" s="135">
        <f t="shared" si="2"/>
        <v>0</v>
      </c>
      <c r="I28" s="135">
        <f t="shared" si="2"/>
        <v>0</v>
      </c>
      <c r="J28" s="135">
        <f t="shared" si="2"/>
        <v>0</v>
      </c>
      <c r="K28" s="135">
        <f t="shared" si="2"/>
        <v>0</v>
      </c>
      <c r="L28" s="136">
        <f t="shared" si="2"/>
        <v>0</v>
      </c>
    </row>
    <row r="29" spans="3:12" ht="15.6" hidden="1">
      <c r="C29" s="39" t="str">
        <f t="shared" si="1"/>
        <v>H</v>
      </c>
      <c r="D29" s="45" t="str">
        <f>Parameter!C$26</f>
        <v>Quest 2</v>
      </c>
      <c r="E29" s="134">
        <f t="shared" si="2"/>
        <v>0</v>
      </c>
      <c r="F29" s="135">
        <f t="shared" si="2"/>
        <v>0</v>
      </c>
      <c r="G29" s="135">
        <f t="shared" si="2"/>
        <v>0</v>
      </c>
      <c r="H29" s="135">
        <f t="shared" si="2"/>
        <v>0</v>
      </c>
      <c r="I29" s="135">
        <f t="shared" si="2"/>
        <v>0</v>
      </c>
      <c r="J29" s="135">
        <f t="shared" si="2"/>
        <v>0</v>
      </c>
      <c r="K29" s="135">
        <f t="shared" si="2"/>
        <v>0</v>
      </c>
      <c r="L29" s="136">
        <f t="shared" si="2"/>
        <v>0</v>
      </c>
    </row>
    <row r="30" spans="3:12" ht="15.6" hidden="1">
      <c r="C30" s="39" t="str">
        <f t="shared" si="1"/>
        <v>H</v>
      </c>
      <c r="D30" s="45" t="str">
        <f>Parameter!C$27</f>
        <v>Quest 3</v>
      </c>
      <c r="E30" s="134">
        <f t="shared" si="2"/>
        <v>0</v>
      </c>
      <c r="F30" s="135">
        <f t="shared" si="2"/>
        <v>0</v>
      </c>
      <c r="G30" s="135">
        <f t="shared" si="2"/>
        <v>0</v>
      </c>
      <c r="H30" s="135">
        <f t="shared" si="2"/>
        <v>0</v>
      </c>
      <c r="I30" s="135">
        <f t="shared" si="2"/>
        <v>0</v>
      </c>
      <c r="J30" s="135">
        <f t="shared" si="2"/>
        <v>0</v>
      </c>
      <c r="K30" s="135">
        <f t="shared" si="2"/>
        <v>0</v>
      </c>
      <c r="L30" s="136">
        <f t="shared" si="2"/>
        <v>0</v>
      </c>
    </row>
    <row r="31" spans="3:12" ht="15.6" hidden="1">
      <c r="C31" s="39" t="str">
        <f t="shared" si="1"/>
        <v>H</v>
      </c>
      <c r="D31" s="45" t="str">
        <f>Parameter!C$28</f>
        <v>Quest 3S</v>
      </c>
      <c r="E31" s="134">
        <f t="shared" ref="E31:L40" si="3">SUMIF(ARVR_Y_PC_PR, "VR_"&amp;E$10&amp;"_"&amp;$D$9&amp;"_"&amp;$D31, PanelRev)</f>
        <v>0</v>
      </c>
      <c r="F31" s="135">
        <f t="shared" si="3"/>
        <v>0</v>
      </c>
      <c r="G31" s="135">
        <f t="shared" si="3"/>
        <v>0</v>
      </c>
      <c r="H31" s="135">
        <f t="shared" si="3"/>
        <v>0</v>
      </c>
      <c r="I31" s="135">
        <f t="shared" si="3"/>
        <v>0</v>
      </c>
      <c r="J31" s="135">
        <f t="shared" si="3"/>
        <v>0</v>
      </c>
      <c r="K31" s="135">
        <f t="shared" si="3"/>
        <v>0</v>
      </c>
      <c r="L31" s="136">
        <f t="shared" si="3"/>
        <v>0</v>
      </c>
    </row>
    <row r="32" spans="3:12" ht="15.6" hidden="1">
      <c r="C32" s="39" t="str">
        <f t="shared" si="1"/>
        <v>H</v>
      </c>
      <c r="D32" s="45" t="str">
        <f>Parameter!C$29</f>
        <v>Quest Pro</v>
      </c>
      <c r="E32" s="134">
        <f t="shared" si="3"/>
        <v>0</v>
      </c>
      <c r="F32" s="135">
        <f t="shared" si="3"/>
        <v>0</v>
      </c>
      <c r="G32" s="135">
        <f t="shared" si="3"/>
        <v>0</v>
      </c>
      <c r="H32" s="135">
        <f t="shared" si="3"/>
        <v>0</v>
      </c>
      <c r="I32" s="135">
        <f t="shared" si="3"/>
        <v>0</v>
      </c>
      <c r="J32" s="135">
        <f t="shared" si="3"/>
        <v>0</v>
      </c>
      <c r="K32" s="135">
        <f t="shared" si="3"/>
        <v>0</v>
      </c>
      <c r="L32" s="136">
        <f t="shared" si="3"/>
        <v>0</v>
      </c>
    </row>
    <row r="33" spans="3:12" ht="15.6" hidden="1">
      <c r="C33" s="39" t="str">
        <f t="shared" si="1"/>
        <v>H</v>
      </c>
      <c r="D33" s="45" t="str">
        <f>Parameter!C$30</f>
        <v>R1</v>
      </c>
      <c r="E33" s="134">
        <f t="shared" si="3"/>
        <v>0</v>
      </c>
      <c r="F33" s="135">
        <f t="shared" si="3"/>
        <v>0</v>
      </c>
      <c r="G33" s="135">
        <f t="shared" si="3"/>
        <v>0</v>
      </c>
      <c r="H33" s="135">
        <f t="shared" si="3"/>
        <v>0</v>
      </c>
      <c r="I33" s="135">
        <f t="shared" si="3"/>
        <v>0</v>
      </c>
      <c r="J33" s="135">
        <f t="shared" si="3"/>
        <v>0</v>
      </c>
      <c r="K33" s="135">
        <f t="shared" si="3"/>
        <v>0</v>
      </c>
      <c r="L33" s="136">
        <f t="shared" si="3"/>
        <v>0</v>
      </c>
    </row>
    <row r="34" spans="3:12" ht="15.6" hidden="1">
      <c r="C34" s="39" t="str">
        <f t="shared" si="1"/>
        <v>H</v>
      </c>
      <c r="D34" s="45" t="str">
        <f>Parameter!C$31</f>
        <v>Reverb</v>
      </c>
      <c r="E34" s="134">
        <f t="shared" si="3"/>
        <v>0</v>
      </c>
      <c r="F34" s="135">
        <f t="shared" si="3"/>
        <v>0</v>
      </c>
      <c r="G34" s="135">
        <f t="shared" si="3"/>
        <v>0</v>
      </c>
      <c r="H34" s="135">
        <f t="shared" si="3"/>
        <v>0</v>
      </c>
      <c r="I34" s="135">
        <f t="shared" si="3"/>
        <v>0</v>
      </c>
      <c r="J34" s="135">
        <f t="shared" si="3"/>
        <v>0</v>
      </c>
      <c r="K34" s="135">
        <f t="shared" si="3"/>
        <v>0</v>
      </c>
      <c r="L34" s="136">
        <f t="shared" si="3"/>
        <v>0</v>
      </c>
    </row>
    <row r="35" spans="3:12" ht="15.6" hidden="1">
      <c r="C35" s="39" t="str">
        <f t="shared" si="1"/>
        <v>H</v>
      </c>
      <c r="D35" s="45" t="str">
        <f>Parameter!C$32</f>
        <v>Reverb G2</v>
      </c>
      <c r="E35" s="134">
        <f t="shared" si="3"/>
        <v>0</v>
      </c>
      <c r="F35" s="135">
        <f t="shared" si="3"/>
        <v>0</v>
      </c>
      <c r="G35" s="135">
        <f t="shared" si="3"/>
        <v>0</v>
      </c>
      <c r="H35" s="135">
        <f t="shared" si="3"/>
        <v>0</v>
      </c>
      <c r="I35" s="135">
        <f t="shared" si="3"/>
        <v>0</v>
      </c>
      <c r="J35" s="135">
        <f t="shared" si="3"/>
        <v>0</v>
      </c>
      <c r="K35" s="135">
        <f t="shared" si="3"/>
        <v>0</v>
      </c>
      <c r="L35" s="136">
        <f t="shared" si="3"/>
        <v>0</v>
      </c>
    </row>
    <row r="36" spans="3:12" ht="15.6" hidden="1">
      <c r="C36" s="39" t="str">
        <f t="shared" si="1"/>
        <v>H</v>
      </c>
      <c r="D36" s="45" t="str">
        <f>Parameter!C$33</f>
        <v>Rift S</v>
      </c>
      <c r="E36" s="134">
        <f t="shared" si="3"/>
        <v>0</v>
      </c>
      <c r="F36" s="135">
        <f t="shared" si="3"/>
        <v>0</v>
      </c>
      <c r="G36" s="135">
        <f t="shared" si="3"/>
        <v>0</v>
      </c>
      <c r="H36" s="135">
        <f t="shared" si="3"/>
        <v>0</v>
      </c>
      <c r="I36" s="135">
        <f t="shared" si="3"/>
        <v>0</v>
      </c>
      <c r="J36" s="135">
        <f t="shared" si="3"/>
        <v>0</v>
      </c>
      <c r="K36" s="135">
        <f t="shared" si="3"/>
        <v>0</v>
      </c>
      <c r="L36" s="136">
        <f t="shared" si="3"/>
        <v>0</v>
      </c>
    </row>
    <row r="37" spans="3:12" ht="15.6" hidden="1">
      <c r="C37" s="39" t="str">
        <f t="shared" si="1"/>
        <v>H</v>
      </c>
      <c r="D37" s="45" t="str">
        <f>Parameter!C$34</f>
        <v>Single LCD VR headset</v>
      </c>
      <c r="E37" s="134">
        <f t="shared" si="3"/>
        <v>0</v>
      </c>
      <c r="F37" s="135">
        <f t="shared" si="3"/>
        <v>0</v>
      </c>
      <c r="G37" s="135">
        <f t="shared" si="3"/>
        <v>0</v>
      </c>
      <c r="H37" s="135">
        <f t="shared" si="3"/>
        <v>0</v>
      </c>
      <c r="I37" s="135">
        <f t="shared" si="3"/>
        <v>0</v>
      </c>
      <c r="J37" s="135">
        <f t="shared" si="3"/>
        <v>0</v>
      </c>
      <c r="K37" s="135">
        <f t="shared" si="3"/>
        <v>0</v>
      </c>
      <c r="L37" s="136">
        <f t="shared" si="3"/>
        <v>0</v>
      </c>
    </row>
    <row r="38" spans="3:12" ht="15.6" hidden="1">
      <c r="C38" s="39" t="str">
        <f t="shared" si="1"/>
        <v>H</v>
      </c>
      <c r="D38" s="45" t="str">
        <f>Parameter!C$35</f>
        <v>ThinkReality VRX</v>
      </c>
      <c r="E38" s="134">
        <f t="shared" si="3"/>
        <v>0</v>
      </c>
      <c r="F38" s="135">
        <f t="shared" si="3"/>
        <v>0</v>
      </c>
      <c r="G38" s="135">
        <f t="shared" si="3"/>
        <v>0</v>
      </c>
      <c r="H38" s="135">
        <f t="shared" si="3"/>
        <v>0</v>
      </c>
      <c r="I38" s="135">
        <f t="shared" si="3"/>
        <v>0</v>
      </c>
      <c r="J38" s="135">
        <f t="shared" si="3"/>
        <v>0</v>
      </c>
      <c r="K38" s="135">
        <f t="shared" si="3"/>
        <v>0</v>
      </c>
      <c r="L38" s="136">
        <f t="shared" si="3"/>
        <v>0</v>
      </c>
    </row>
    <row r="39" spans="3:12" ht="15.6" hidden="1">
      <c r="C39" s="39" t="str">
        <f t="shared" si="1"/>
        <v>H</v>
      </c>
      <c r="D39" s="45" t="str">
        <f>Parameter!C$36</f>
        <v>Vision Pro</v>
      </c>
      <c r="E39" s="134">
        <f t="shared" si="3"/>
        <v>0</v>
      </c>
      <c r="F39" s="135">
        <f t="shared" si="3"/>
        <v>0</v>
      </c>
      <c r="G39" s="135">
        <f t="shared" si="3"/>
        <v>0</v>
      </c>
      <c r="H39" s="135">
        <f t="shared" si="3"/>
        <v>0</v>
      </c>
      <c r="I39" s="135">
        <f t="shared" si="3"/>
        <v>0</v>
      </c>
      <c r="J39" s="135">
        <f t="shared" si="3"/>
        <v>0</v>
      </c>
      <c r="K39" s="135">
        <f t="shared" si="3"/>
        <v>0</v>
      </c>
      <c r="L39" s="136">
        <f t="shared" si="3"/>
        <v>0</v>
      </c>
    </row>
    <row r="40" spans="3:12" ht="15.6" hidden="1">
      <c r="C40" s="39" t="str">
        <f t="shared" si="1"/>
        <v>H</v>
      </c>
      <c r="D40" s="45" t="str">
        <f>Parameter!C$37</f>
        <v>Vive LCD headsets</v>
      </c>
      <c r="E40" s="134">
        <f t="shared" si="3"/>
        <v>0</v>
      </c>
      <c r="F40" s="135">
        <f t="shared" si="3"/>
        <v>0</v>
      </c>
      <c r="G40" s="135">
        <f t="shared" si="3"/>
        <v>0</v>
      </c>
      <c r="H40" s="135">
        <f t="shared" si="3"/>
        <v>0</v>
      </c>
      <c r="I40" s="135">
        <f t="shared" si="3"/>
        <v>0</v>
      </c>
      <c r="J40" s="135">
        <f t="shared" si="3"/>
        <v>0</v>
      </c>
      <c r="K40" s="135">
        <f t="shared" si="3"/>
        <v>0</v>
      </c>
      <c r="L40" s="136">
        <f t="shared" si="3"/>
        <v>0</v>
      </c>
    </row>
    <row r="41" spans="3:12" ht="15.6" hidden="1">
      <c r="C41" s="39" t="str">
        <f t="shared" si="1"/>
        <v>H</v>
      </c>
      <c r="D41" s="45" t="str">
        <f>Parameter!C$38</f>
        <v>VR1</v>
      </c>
      <c r="E41" s="134">
        <f t="shared" ref="E41:L50" si="4">SUMIF(ARVR_Y_PC_PR, "VR_"&amp;E$10&amp;"_"&amp;$D$9&amp;"_"&amp;$D41, PanelRev)</f>
        <v>0</v>
      </c>
      <c r="F41" s="135">
        <f t="shared" si="4"/>
        <v>0</v>
      </c>
      <c r="G41" s="135">
        <f t="shared" si="4"/>
        <v>0</v>
      </c>
      <c r="H41" s="135">
        <f t="shared" si="4"/>
        <v>0</v>
      </c>
      <c r="I41" s="135">
        <f t="shared" si="4"/>
        <v>0</v>
      </c>
      <c r="J41" s="135">
        <f t="shared" si="4"/>
        <v>0</v>
      </c>
      <c r="K41" s="135">
        <f t="shared" si="4"/>
        <v>0</v>
      </c>
      <c r="L41" s="136">
        <f t="shared" si="4"/>
        <v>0</v>
      </c>
    </row>
    <row r="42" spans="3:12" ht="15.6" hidden="1">
      <c r="C42" s="39" t="str">
        <f t="shared" si="1"/>
        <v>H</v>
      </c>
      <c r="D42" s="45" t="str">
        <f>Parameter!C$39</f>
        <v>XR-4</v>
      </c>
      <c r="E42" s="134">
        <f t="shared" si="4"/>
        <v>0</v>
      </c>
      <c r="F42" s="135">
        <f t="shared" si="4"/>
        <v>0</v>
      </c>
      <c r="G42" s="135">
        <f t="shared" si="4"/>
        <v>0</v>
      </c>
      <c r="H42" s="135">
        <f t="shared" si="4"/>
        <v>0</v>
      </c>
      <c r="I42" s="135">
        <f t="shared" si="4"/>
        <v>0</v>
      </c>
      <c r="J42" s="135">
        <f t="shared" si="4"/>
        <v>0</v>
      </c>
      <c r="K42" s="135">
        <f t="shared" si="4"/>
        <v>0</v>
      </c>
      <c r="L42" s="136">
        <f t="shared" si="4"/>
        <v>0</v>
      </c>
    </row>
    <row r="43" spans="3:12" ht="15.6" hidden="1">
      <c r="C43" s="39" t="str">
        <f t="shared" si="1"/>
        <v>H</v>
      </c>
      <c r="D43" s="45">
        <f>Parameter!C$40</f>
        <v>0</v>
      </c>
      <c r="E43" s="134">
        <f t="shared" si="4"/>
        <v>0</v>
      </c>
      <c r="F43" s="135">
        <f t="shared" si="4"/>
        <v>0</v>
      </c>
      <c r="G43" s="135">
        <f t="shared" si="4"/>
        <v>0</v>
      </c>
      <c r="H43" s="135">
        <f t="shared" si="4"/>
        <v>0</v>
      </c>
      <c r="I43" s="135">
        <f t="shared" si="4"/>
        <v>0</v>
      </c>
      <c r="J43" s="135">
        <f t="shared" si="4"/>
        <v>0</v>
      </c>
      <c r="K43" s="135">
        <f t="shared" si="4"/>
        <v>0</v>
      </c>
      <c r="L43" s="136">
        <f t="shared" si="4"/>
        <v>0</v>
      </c>
    </row>
    <row r="44" spans="3:12" ht="15.6" hidden="1">
      <c r="C44" s="39" t="str">
        <f t="shared" si="1"/>
        <v>H</v>
      </c>
      <c r="D44" s="45">
        <f>Parameter!C$41</f>
        <v>0</v>
      </c>
      <c r="E44" s="134">
        <f t="shared" si="4"/>
        <v>0</v>
      </c>
      <c r="F44" s="135">
        <f t="shared" si="4"/>
        <v>0</v>
      </c>
      <c r="G44" s="135">
        <f t="shared" si="4"/>
        <v>0</v>
      </c>
      <c r="H44" s="135">
        <f t="shared" si="4"/>
        <v>0</v>
      </c>
      <c r="I44" s="135">
        <f t="shared" si="4"/>
        <v>0</v>
      </c>
      <c r="J44" s="135">
        <f t="shared" si="4"/>
        <v>0</v>
      </c>
      <c r="K44" s="135">
        <f t="shared" si="4"/>
        <v>0</v>
      </c>
      <c r="L44" s="136">
        <f t="shared" si="4"/>
        <v>0</v>
      </c>
    </row>
    <row r="45" spans="3:12" ht="15.6" hidden="1">
      <c r="C45" s="39" t="str">
        <f t="shared" si="1"/>
        <v>H</v>
      </c>
      <c r="D45" s="45">
        <f>Parameter!C$42</f>
        <v>0</v>
      </c>
      <c r="E45" s="134">
        <f t="shared" si="4"/>
        <v>0</v>
      </c>
      <c r="F45" s="135">
        <f t="shared" si="4"/>
        <v>0</v>
      </c>
      <c r="G45" s="135">
        <f t="shared" si="4"/>
        <v>0</v>
      </c>
      <c r="H45" s="135">
        <f t="shared" si="4"/>
        <v>0</v>
      </c>
      <c r="I45" s="135">
        <f t="shared" si="4"/>
        <v>0</v>
      </c>
      <c r="J45" s="135">
        <f t="shared" si="4"/>
        <v>0</v>
      </c>
      <c r="K45" s="135">
        <f t="shared" si="4"/>
        <v>0</v>
      </c>
      <c r="L45" s="136">
        <f t="shared" si="4"/>
        <v>0</v>
      </c>
    </row>
    <row r="46" spans="3:12" ht="15.6" hidden="1">
      <c r="C46" s="39" t="str">
        <f t="shared" si="1"/>
        <v>H</v>
      </c>
      <c r="D46" s="45">
        <f>Parameter!C$43</f>
        <v>0</v>
      </c>
      <c r="E46" s="134">
        <f t="shared" si="4"/>
        <v>0</v>
      </c>
      <c r="F46" s="135">
        <f t="shared" si="4"/>
        <v>0</v>
      </c>
      <c r="G46" s="135">
        <f t="shared" si="4"/>
        <v>0</v>
      </c>
      <c r="H46" s="135">
        <f t="shared" si="4"/>
        <v>0</v>
      </c>
      <c r="I46" s="135">
        <f t="shared" si="4"/>
        <v>0</v>
      </c>
      <c r="J46" s="135">
        <f t="shared" si="4"/>
        <v>0</v>
      </c>
      <c r="K46" s="135">
        <f t="shared" si="4"/>
        <v>0</v>
      </c>
      <c r="L46" s="136">
        <f t="shared" si="4"/>
        <v>0</v>
      </c>
    </row>
    <row r="47" spans="3:12" ht="15.6" hidden="1">
      <c r="C47" s="39" t="str">
        <f t="shared" si="1"/>
        <v>H</v>
      </c>
      <c r="D47" s="45">
        <f>Parameter!C$44</f>
        <v>0</v>
      </c>
      <c r="E47" s="134">
        <f t="shared" si="4"/>
        <v>0</v>
      </c>
      <c r="F47" s="135">
        <f t="shared" si="4"/>
        <v>0</v>
      </c>
      <c r="G47" s="135">
        <f t="shared" si="4"/>
        <v>0</v>
      </c>
      <c r="H47" s="135">
        <f t="shared" si="4"/>
        <v>0</v>
      </c>
      <c r="I47" s="135">
        <f t="shared" si="4"/>
        <v>0</v>
      </c>
      <c r="J47" s="135">
        <f t="shared" si="4"/>
        <v>0</v>
      </c>
      <c r="K47" s="135">
        <f t="shared" si="4"/>
        <v>0</v>
      </c>
      <c r="L47" s="136">
        <f t="shared" si="4"/>
        <v>0</v>
      </c>
    </row>
    <row r="48" spans="3:12" ht="15.6" hidden="1">
      <c r="C48" s="39" t="str">
        <f t="shared" si="1"/>
        <v>H</v>
      </c>
      <c r="D48" s="45">
        <f>Parameter!C$45</f>
        <v>0</v>
      </c>
      <c r="E48" s="134">
        <f t="shared" si="4"/>
        <v>0</v>
      </c>
      <c r="F48" s="135">
        <f t="shared" si="4"/>
        <v>0</v>
      </c>
      <c r="G48" s="135">
        <f t="shared" si="4"/>
        <v>0</v>
      </c>
      <c r="H48" s="135">
        <f t="shared" si="4"/>
        <v>0</v>
      </c>
      <c r="I48" s="135">
        <f t="shared" si="4"/>
        <v>0</v>
      </c>
      <c r="J48" s="135">
        <f t="shared" si="4"/>
        <v>0</v>
      </c>
      <c r="K48" s="135">
        <f t="shared" si="4"/>
        <v>0</v>
      </c>
      <c r="L48" s="136">
        <f t="shared" si="4"/>
        <v>0</v>
      </c>
    </row>
    <row r="49" spans="3:12" ht="15.6" hidden="1">
      <c r="C49" s="39" t="str">
        <f t="shared" si="1"/>
        <v>H</v>
      </c>
      <c r="D49" s="45">
        <f>Parameter!C$46</f>
        <v>0</v>
      </c>
      <c r="E49" s="134">
        <f t="shared" si="4"/>
        <v>0</v>
      </c>
      <c r="F49" s="135">
        <f t="shared" si="4"/>
        <v>0</v>
      </c>
      <c r="G49" s="135">
        <f t="shared" si="4"/>
        <v>0</v>
      </c>
      <c r="H49" s="135">
        <f t="shared" si="4"/>
        <v>0</v>
      </c>
      <c r="I49" s="135">
        <f t="shared" si="4"/>
        <v>0</v>
      </c>
      <c r="J49" s="135">
        <f t="shared" si="4"/>
        <v>0</v>
      </c>
      <c r="K49" s="135">
        <f t="shared" si="4"/>
        <v>0</v>
      </c>
      <c r="L49" s="136">
        <f t="shared" si="4"/>
        <v>0</v>
      </c>
    </row>
    <row r="50" spans="3:12" ht="15.6" hidden="1">
      <c r="C50" s="39" t="str">
        <f t="shared" si="1"/>
        <v>H</v>
      </c>
      <c r="D50" s="45">
        <f>Parameter!C$47</f>
        <v>0</v>
      </c>
      <c r="E50" s="134">
        <f t="shared" si="4"/>
        <v>0</v>
      </c>
      <c r="F50" s="135">
        <f t="shared" si="4"/>
        <v>0</v>
      </c>
      <c r="G50" s="135">
        <f t="shared" si="4"/>
        <v>0</v>
      </c>
      <c r="H50" s="135">
        <f t="shared" si="4"/>
        <v>0</v>
      </c>
      <c r="I50" s="135">
        <f t="shared" si="4"/>
        <v>0</v>
      </c>
      <c r="J50" s="135">
        <f t="shared" si="4"/>
        <v>0</v>
      </c>
      <c r="K50" s="135">
        <f t="shared" si="4"/>
        <v>0</v>
      </c>
      <c r="L50" s="136">
        <f t="shared" si="4"/>
        <v>0</v>
      </c>
    </row>
    <row r="51" spans="3:12" ht="15.6" hidden="1">
      <c r="C51" s="39" t="str">
        <f t="shared" si="1"/>
        <v>H</v>
      </c>
      <c r="D51" s="45">
        <f>Parameter!C$48</f>
        <v>0</v>
      </c>
      <c r="E51" s="134">
        <f t="shared" ref="E51:L60" si="5">SUMIF(ARVR_Y_PC_PR, "VR_"&amp;E$10&amp;"_"&amp;$D$9&amp;"_"&amp;$D51, PanelRev)</f>
        <v>0</v>
      </c>
      <c r="F51" s="135">
        <f t="shared" si="5"/>
        <v>0</v>
      </c>
      <c r="G51" s="135">
        <f t="shared" si="5"/>
        <v>0</v>
      </c>
      <c r="H51" s="135">
        <f t="shared" si="5"/>
        <v>0</v>
      </c>
      <c r="I51" s="135">
        <f t="shared" si="5"/>
        <v>0</v>
      </c>
      <c r="J51" s="135">
        <f t="shared" si="5"/>
        <v>0</v>
      </c>
      <c r="K51" s="135">
        <f t="shared" si="5"/>
        <v>0</v>
      </c>
      <c r="L51" s="136">
        <f t="shared" si="5"/>
        <v>0</v>
      </c>
    </row>
    <row r="52" spans="3:12" ht="15.6" hidden="1">
      <c r="C52" s="39" t="str">
        <f t="shared" si="1"/>
        <v>H</v>
      </c>
      <c r="D52" s="45">
        <f>Parameter!C$49</f>
        <v>0</v>
      </c>
      <c r="E52" s="134">
        <f t="shared" si="5"/>
        <v>0</v>
      </c>
      <c r="F52" s="135">
        <f t="shared" si="5"/>
        <v>0</v>
      </c>
      <c r="G52" s="135">
        <f t="shared" si="5"/>
        <v>0</v>
      </c>
      <c r="H52" s="135">
        <f t="shared" si="5"/>
        <v>0</v>
      </c>
      <c r="I52" s="135">
        <f t="shared" si="5"/>
        <v>0</v>
      </c>
      <c r="J52" s="135">
        <f t="shared" si="5"/>
        <v>0</v>
      </c>
      <c r="K52" s="135">
        <f t="shared" si="5"/>
        <v>0</v>
      </c>
      <c r="L52" s="136">
        <f t="shared" si="5"/>
        <v>0</v>
      </c>
    </row>
    <row r="53" spans="3:12" ht="15.6" hidden="1">
      <c r="C53" s="39" t="str">
        <f t="shared" si="1"/>
        <v>H</v>
      </c>
      <c r="D53" s="45">
        <f>Parameter!C$50</f>
        <v>0</v>
      </c>
      <c r="E53" s="134">
        <f t="shared" si="5"/>
        <v>0</v>
      </c>
      <c r="F53" s="135">
        <f t="shared" si="5"/>
        <v>0</v>
      </c>
      <c r="G53" s="135">
        <f t="shared" si="5"/>
        <v>0</v>
      </c>
      <c r="H53" s="135">
        <f t="shared" si="5"/>
        <v>0</v>
      </c>
      <c r="I53" s="135">
        <f t="shared" si="5"/>
        <v>0</v>
      </c>
      <c r="J53" s="135">
        <f t="shared" si="5"/>
        <v>0</v>
      </c>
      <c r="K53" s="135">
        <f t="shared" si="5"/>
        <v>0</v>
      </c>
      <c r="L53" s="136">
        <f t="shared" si="5"/>
        <v>0</v>
      </c>
    </row>
    <row r="54" spans="3:12" ht="15.6" hidden="1">
      <c r="C54" s="39" t="str">
        <f t="shared" si="1"/>
        <v>H</v>
      </c>
      <c r="D54" s="45">
        <f>Parameter!C$51</f>
        <v>0</v>
      </c>
      <c r="E54" s="134">
        <f t="shared" si="5"/>
        <v>0</v>
      </c>
      <c r="F54" s="135">
        <f t="shared" si="5"/>
        <v>0</v>
      </c>
      <c r="G54" s="135">
        <f t="shared" si="5"/>
        <v>0</v>
      </c>
      <c r="H54" s="135">
        <f t="shared" si="5"/>
        <v>0</v>
      </c>
      <c r="I54" s="135">
        <f t="shared" si="5"/>
        <v>0</v>
      </c>
      <c r="J54" s="135">
        <f t="shared" si="5"/>
        <v>0</v>
      </c>
      <c r="K54" s="135">
        <f t="shared" si="5"/>
        <v>0</v>
      </c>
      <c r="L54" s="136">
        <f t="shared" si="5"/>
        <v>0</v>
      </c>
    </row>
    <row r="55" spans="3:12" ht="15.6" hidden="1">
      <c r="C55" s="39" t="str">
        <f t="shared" si="1"/>
        <v>H</v>
      </c>
      <c r="D55" s="45">
        <f>Parameter!C$52</f>
        <v>0</v>
      </c>
      <c r="E55" s="134">
        <f t="shared" si="5"/>
        <v>0</v>
      </c>
      <c r="F55" s="135">
        <f t="shared" si="5"/>
        <v>0</v>
      </c>
      <c r="G55" s="135">
        <f t="shared" si="5"/>
        <v>0</v>
      </c>
      <c r="H55" s="135">
        <f t="shared" si="5"/>
        <v>0</v>
      </c>
      <c r="I55" s="135">
        <f t="shared" si="5"/>
        <v>0</v>
      </c>
      <c r="J55" s="135">
        <f t="shared" si="5"/>
        <v>0</v>
      </c>
      <c r="K55" s="135">
        <f t="shared" si="5"/>
        <v>0</v>
      </c>
      <c r="L55" s="136">
        <f t="shared" si="5"/>
        <v>0</v>
      </c>
    </row>
    <row r="56" spans="3:12" ht="15.6" hidden="1">
      <c r="C56" s="39" t="str">
        <f t="shared" si="1"/>
        <v>H</v>
      </c>
      <c r="D56" s="45">
        <f>Parameter!C$53</f>
        <v>0</v>
      </c>
      <c r="E56" s="134">
        <f t="shared" si="5"/>
        <v>0</v>
      </c>
      <c r="F56" s="135">
        <f t="shared" si="5"/>
        <v>0</v>
      </c>
      <c r="G56" s="135">
        <f t="shared" si="5"/>
        <v>0</v>
      </c>
      <c r="H56" s="135">
        <f t="shared" si="5"/>
        <v>0</v>
      </c>
      <c r="I56" s="135">
        <f t="shared" si="5"/>
        <v>0</v>
      </c>
      <c r="J56" s="135">
        <f t="shared" si="5"/>
        <v>0</v>
      </c>
      <c r="K56" s="135">
        <f t="shared" si="5"/>
        <v>0</v>
      </c>
      <c r="L56" s="136">
        <f t="shared" si="5"/>
        <v>0</v>
      </c>
    </row>
    <row r="57" spans="3:12" ht="15.6" hidden="1">
      <c r="C57" s="39" t="str">
        <f t="shared" si="1"/>
        <v>H</v>
      </c>
      <c r="D57" s="45">
        <f>Parameter!C$54</f>
        <v>0</v>
      </c>
      <c r="E57" s="134">
        <f t="shared" si="5"/>
        <v>0</v>
      </c>
      <c r="F57" s="135">
        <f t="shared" si="5"/>
        <v>0</v>
      </c>
      <c r="G57" s="135">
        <f t="shared" si="5"/>
        <v>0</v>
      </c>
      <c r="H57" s="135">
        <f t="shared" si="5"/>
        <v>0</v>
      </c>
      <c r="I57" s="135">
        <f t="shared" si="5"/>
        <v>0</v>
      </c>
      <c r="J57" s="135">
        <f t="shared" si="5"/>
        <v>0</v>
      </c>
      <c r="K57" s="135">
        <f t="shared" si="5"/>
        <v>0</v>
      </c>
      <c r="L57" s="136">
        <f t="shared" si="5"/>
        <v>0</v>
      </c>
    </row>
    <row r="58" spans="3:12" ht="15.6" hidden="1">
      <c r="C58" s="39" t="str">
        <f t="shared" si="1"/>
        <v>H</v>
      </c>
      <c r="D58" s="45">
        <f>Parameter!C$55</f>
        <v>0</v>
      </c>
      <c r="E58" s="134">
        <f t="shared" si="5"/>
        <v>0</v>
      </c>
      <c r="F58" s="135">
        <f t="shared" si="5"/>
        <v>0</v>
      </c>
      <c r="G58" s="135">
        <f t="shared" si="5"/>
        <v>0</v>
      </c>
      <c r="H58" s="135">
        <f t="shared" si="5"/>
        <v>0</v>
      </c>
      <c r="I58" s="135">
        <f t="shared" si="5"/>
        <v>0</v>
      </c>
      <c r="J58" s="135">
        <f t="shared" si="5"/>
        <v>0</v>
      </c>
      <c r="K58" s="135">
        <f t="shared" si="5"/>
        <v>0</v>
      </c>
      <c r="L58" s="136">
        <f t="shared" si="5"/>
        <v>0</v>
      </c>
    </row>
    <row r="59" spans="3:12" ht="15.6" hidden="1">
      <c r="C59" s="39" t="str">
        <f t="shared" si="1"/>
        <v>H</v>
      </c>
      <c r="D59" s="45">
        <f>Parameter!C$56</f>
        <v>0</v>
      </c>
      <c r="E59" s="134">
        <f t="shared" si="5"/>
        <v>0</v>
      </c>
      <c r="F59" s="135">
        <f t="shared" si="5"/>
        <v>0</v>
      </c>
      <c r="G59" s="135">
        <f t="shared" si="5"/>
        <v>0</v>
      </c>
      <c r="H59" s="135">
        <f t="shared" si="5"/>
        <v>0</v>
      </c>
      <c r="I59" s="135">
        <f t="shared" si="5"/>
        <v>0</v>
      </c>
      <c r="J59" s="135">
        <f t="shared" si="5"/>
        <v>0</v>
      </c>
      <c r="K59" s="135">
        <f t="shared" si="5"/>
        <v>0</v>
      </c>
      <c r="L59" s="136">
        <f t="shared" si="5"/>
        <v>0</v>
      </c>
    </row>
    <row r="60" spans="3:12" ht="16.2" hidden="1" thickBot="1">
      <c r="C60" s="39" t="str">
        <f t="shared" si="1"/>
        <v>H</v>
      </c>
      <c r="D60" s="53" t="str">
        <f>Parameter!C$57</f>
        <v>ALL</v>
      </c>
      <c r="E60" s="137">
        <f t="shared" si="5"/>
        <v>0</v>
      </c>
      <c r="F60" s="138">
        <f t="shared" si="5"/>
        <v>0</v>
      </c>
      <c r="G60" s="138">
        <f t="shared" si="5"/>
        <v>0</v>
      </c>
      <c r="H60" s="138">
        <f t="shared" si="5"/>
        <v>0</v>
      </c>
      <c r="I60" s="138">
        <f t="shared" si="5"/>
        <v>0</v>
      </c>
      <c r="J60" s="138">
        <f t="shared" si="5"/>
        <v>0</v>
      </c>
      <c r="K60" s="138">
        <f t="shared" si="5"/>
        <v>0</v>
      </c>
      <c r="L60" s="139">
        <f t="shared" si="5"/>
        <v>0</v>
      </c>
    </row>
    <row r="61" spans="3:12" ht="15.6" hidden="1">
      <c r="C61" s="39" t="str">
        <f t="shared" si="1"/>
        <v>H</v>
      </c>
      <c r="D61" s="54" t="s">
        <v>87</v>
      </c>
      <c r="E61" s="140">
        <f>SUM(E11:E60)</f>
        <v>0</v>
      </c>
      <c r="F61" s="141">
        <f t="shared" ref="F61:L61" si="6">SUM(F11:F60)</f>
        <v>0</v>
      </c>
      <c r="G61" s="141">
        <f t="shared" si="6"/>
        <v>0</v>
      </c>
      <c r="H61" s="141">
        <f t="shared" si="6"/>
        <v>0</v>
      </c>
      <c r="I61" s="141">
        <f t="shared" si="6"/>
        <v>0</v>
      </c>
      <c r="J61" s="141">
        <f t="shared" si="6"/>
        <v>0</v>
      </c>
      <c r="K61" s="141">
        <f t="shared" si="6"/>
        <v>0</v>
      </c>
      <c r="L61" s="142">
        <f t="shared" si="6"/>
        <v>0</v>
      </c>
    </row>
    <row r="62" spans="3:12" ht="16.2" hidden="1" thickBot="1">
      <c r="C62" s="39" t="str">
        <f t="shared" si="1"/>
        <v>H</v>
      </c>
      <c r="D62" s="46" t="s">
        <v>88</v>
      </c>
      <c r="E62" s="47"/>
      <c r="F62" s="50" t="str">
        <f t="shared" ref="F62:G62" si="7">IF(E61*F61=0, "", F61/E61-1)</f>
        <v/>
      </c>
      <c r="G62" s="50" t="str">
        <f t="shared" si="7"/>
        <v/>
      </c>
      <c r="H62" s="50" t="str">
        <f>IF(G61*H61=0, "", H61/G61-1)</f>
        <v/>
      </c>
      <c r="I62" s="50" t="str">
        <f t="shared" ref="I62:L62" si="8">IF(H61*I61=0, "", I61/H61-1)</f>
        <v/>
      </c>
      <c r="J62" s="50" t="str">
        <f t="shared" si="8"/>
        <v/>
      </c>
      <c r="K62" s="50" t="str">
        <f t="shared" si="8"/>
        <v/>
      </c>
      <c r="L62" s="51" t="str">
        <f t="shared" si="8"/>
        <v/>
      </c>
    </row>
    <row r="63" spans="3:12" ht="15.6">
      <c r="C63"/>
      <c r="D63" s="49"/>
      <c r="E63" s="55"/>
      <c r="F63" s="56"/>
      <c r="G63" s="56"/>
      <c r="H63" s="56"/>
      <c r="I63" s="56"/>
      <c r="J63" s="56"/>
      <c r="K63" s="56"/>
      <c r="L63" s="56"/>
    </row>
    <row r="64" spans="3:12" ht="14.4" thickBot="1">
      <c r="C64"/>
    </row>
    <row r="65" spans="3:12" ht="15" thickBot="1">
      <c r="C65" s="57" t="str">
        <f>IF(SUM(E117:L117)=0, "H", "")</f>
        <v/>
      </c>
      <c r="D65" s="52" t="str">
        <f>Parameter!G9</f>
        <v>1x LCD</v>
      </c>
    </row>
    <row r="66" spans="3:12" ht="16.2" thickBot="1">
      <c r="C66" s="57" t="str">
        <f>IF(SUM(E117:L117)=0, "H", "")</f>
        <v/>
      </c>
      <c r="D66" s="40" t="s">
        <v>85</v>
      </c>
      <c r="E66" s="41" t="str">
        <f t="shared" ref="E66:L66" si="9">E10</f>
        <v>2022</v>
      </c>
      <c r="F66" s="42" t="str">
        <f t="shared" si="9"/>
        <v>2023</v>
      </c>
      <c r="G66" s="42" t="str">
        <f t="shared" si="9"/>
        <v>2024</v>
      </c>
      <c r="H66" s="42">
        <f t="shared" si="9"/>
        <v>2025</v>
      </c>
      <c r="I66" s="42" t="str">
        <f t="shared" si="9"/>
        <v>2026</v>
      </c>
      <c r="J66" s="42" t="str">
        <f t="shared" si="9"/>
        <v>2027</v>
      </c>
      <c r="K66" s="42" t="str">
        <f t="shared" si="9"/>
        <v>2028</v>
      </c>
      <c r="L66" s="43" t="str">
        <f t="shared" si="9"/>
        <v>2029</v>
      </c>
    </row>
    <row r="67" spans="3:12" ht="15.6" hidden="1">
      <c r="C67" s="39" t="str">
        <f>IF(SUM(E67:L67)=0, "H", "")</f>
        <v>H</v>
      </c>
      <c r="D67" s="44" t="str">
        <f>Parameter!C$8</f>
        <v>5K VR</v>
      </c>
      <c r="E67" s="134">
        <f t="shared" ref="E67:L76" si="10">SUMIF(ARVR_Y_PC_PR, "VR_"&amp;E$66&amp;"_"&amp;$D$65&amp;"_"&amp;$D67, PanelRev)</f>
        <v>0</v>
      </c>
      <c r="F67" s="135">
        <f t="shared" si="10"/>
        <v>0</v>
      </c>
      <c r="G67" s="135">
        <f t="shared" si="10"/>
        <v>0</v>
      </c>
      <c r="H67" s="135">
        <f t="shared" si="10"/>
        <v>0</v>
      </c>
      <c r="I67" s="135">
        <f t="shared" si="10"/>
        <v>0</v>
      </c>
      <c r="J67" s="135">
        <f t="shared" si="10"/>
        <v>0</v>
      </c>
      <c r="K67" s="135">
        <f t="shared" si="10"/>
        <v>0</v>
      </c>
      <c r="L67" s="136">
        <f t="shared" si="10"/>
        <v>0</v>
      </c>
    </row>
    <row r="68" spans="3:12" ht="15.6" hidden="1">
      <c r="C68" s="39" t="str">
        <f t="shared" si="1"/>
        <v>H</v>
      </c>
      <c r="D68" s="44" t="str">
        <f>Parameter!C$9</f>
        <v>Aero</v>
      </c>
      <c r="E68" s="134">
        <f t="shared" si="10"/>
        <v>0</v>
      </c>
      <c r="F68" s="135">
        <f t="shared" si="10"/>
        <v>0</v>
      </c>
      <c r="G68" s="135">
        <f t="shared" si="10"/>
        <v>0</v>
      </c>
      <c r="H68" s="135">
        <f t="shared" si="10"/>
        <v>0</v>
      </c>
      <c r="I68" s="135">
        <f t="shared" si="10"/>
        <v>0</v>
      </c>
      <c r="J68" s="135">
        <f t="shared" si="10"/>
        <v>0</v>
      </c>
      <c r="K68" s="135">
        <f t="shared" si="10"/>
        <v>0</v>
      </c>
      <c r="L68" s="136">
        <f t="shared" si="10"/>
        <v>0</v>
      </c>
    </row>
    <row r="69" spans="3:12" ht="15.6" hidden="1">
      <c r="C69" s="39" t="str">
        <f t="shared" si="1"/>
        <v>H</v>
      </c>
      <c r="D69" s="45" t="str">
        <f>Parameter!C$10</f>
        <v>Beyond</v>
      </c>
      <c r="E69" s="134">
        <f t="shared" si="10"/>
        <v>0</v>
      </c>
      <c r="F69" s="135">
        <f t="shared" si="10"/>
        <v>0</v>
      </c>
      <c r="G69" s="135">
        <f t="shared" si="10"/>
        <v>0</v>
      </c>
      <c r="H69" s="135">
        <f t="shared" si="10"/>
        <v>0</v>
      </c>
      <c r="I69" s="135">
        <f t="shared" si="10"/>
        <v>0</v>
      </c>
      <c r="J69" s="135">
        <f t="shared" si="10"/>
        <v>0</v>
      </c>
      <c r="K69" s="135">
        <f t="shared" si="10"/>
        <v>0</v>
      </c>
      <c r="L69" s="136">
        <f t="shared" si="10"/>
        <v>0</v>
      </c>
    </row>
    <row r="70" spans="3:12" ht="15.6" hidden="1">
      <c r="C70" s="39" t="str">
        <f t="shared" si="1"/>
        <v>H</v>
      </c>
      <c r="D70" s="45" t="str">
        <f>Parameter!C$11</f>
        <v>Bionic models</v>
      </c>
      <c r="E70" s="134">
        <f t="shared" si="10"/>
        <v>0</v>
      </c>
      <c r="F70" s="135">
        <f t="shared" si="10"/>
        <v>0</v>
      </c>
      <c r="G70" s="135">
        <f t="shared" si="10"/>
        <v>0</v>
      </c>
      <c r="H70" s="135">
        <f t="shared" si="10"/>
        <v>0</v>
      </c>
      <c r="I70" s="135">
        <f t="shared" si="10"/>
        <v>0</v>
      </c>
      <c r="J70" s="135">
        <f t="shared" si="10"/>
        <v>0</v>
      </c>
      <c r="K70" s="135">
        <f t="shared" si="10"/>
        <v>0</v>
      </c>
      <c r="L70" s="136">
        <f t="shared" si="10"/>
        <v>0</v>
      </c>
    </row>
    <row r="71" spans="3:12" ht="15.6" hidden="1">
      <c r="C71" s="39" t="str">
        <f t="shared" si="1"/>
        <v>H</v>
      </c>
      <c r="D71" s="45" t="str">
        <f>Parameter!C$12</f>
        <v>Dual LCD VR headset</v>
      </c>
      <c r="E71" s="134">
        <f t="shared" si="10"/>
        <v>0</v>
      </c>
      <c r="F71" s="135">
        <f t="shared" si="10"/>
        <v>0</v>
      </c>
      <c r="G71" s="135">
        <f t="shared" si="10"/>
        <v>0</v>
      </c>
      <c r="H71" s="135">
        <f t="shared" si="10"/>
        <v>0</v>
      </c>
      <c r="I71" s="135">
        <f t="shared" si="10"/>
        <v>0</v>
      </c>
      <c r="J71" s="135">
        <f t="shared" si="10"/>
        <v>0</v>
      </c>
      <c r="K71" s="135">
        <f t="shared" si="10"/>
        <v>0</v>
      </c>
      <c r="L71" s="136">
        <f t="shared" si="10"/>
        <v>0</v>
      </c>
    </row>
    <row r="72" spans="3:12" ht="15.6" hidden="1">
      <c r="C72" s="39" t="str">
        <f t="shared" si="1"/>
        <v>H</v>
      </c>
      <c r="D72" s="45" t="str">
        <f>Parameter!C$13</f>
        <v>Dual SiOLED headset</v>
      </c>
      <c r="E72" s="134">
        <f t="shared" si="10"/>
        <v>0</v>
      </c>
      <c r="F72" s="135">
        <f t="shared" si="10"/>
        <v>0</v>
      </c>
      <c r="G72" s="135">
        <f t="shared" si="10"/>
        <v>0</v>
      </c>
      <c r="H72" s="135">
        <f t="shared" si="10"/>
        <v>0</v>
      </c>
      <c r="I72" s="135">
        <f t="shared" si="10"/>
        <v>0</v>
      </c>
      <c r="J72" s="135">
        <f t="shared" si="10"/>
        <v>0</v>
      </c>
      <c r="K72" s="135">
        <f t="shared" si="10"/>
        <v>0</v>
      </c>
      <c r="L72" s="136">
        <f t="shared" si="10"/>
        <v>0</v>
      </c>
    </row>
    <row r="73" spans="3:12" ht="15.6" hidden="1">
      <c r="C73" s="39" t="str">
        <f t="shared" si="1"/>
        <v>H</v>
      </c>
      <c r="D73" s="45" t="str">
        <f>Parameter!C$14</f>
        <v>Index</v>
      </c>
      <c r="E73" s="134">
        <f t="shared" si="10"/>
        <v>0</v>
      </c>
      <c r="F73" s="135">
        <f t="shared" si="10"/>
        <v>0</v>
      </c>
      <c r="G73" s="135">
        <f t="shared" si="10"/>
        <v>0</v>
      </c>
      <c r="H73" s="135">
        <f t="shared" si="10"/>
        <v>0</v>
      </c>
      <c r="I73" s="135">
        <f t="shared" si="10"/>
        <v>0</v>
      </c>
      <c r="J73" s="135">
        <f t="shared" si="10"/>
        <v>0</v>
      </c>
      <c r="K73" s="135">
        <f t="shared" si="10"/>
        <v>0</v>
      </c>
      <c r="L73" s="136">
        <f t="shared" si="10"/>
        <v>0</v>
      </c>
    </row>
    <row r="74" spans="3:12" ht="15.6" hidden="1">
      <c r="C74" s="39" t="str">
        <f t="shared" si="1"/>
        <v>H</v>
      </c>
      <c r="D74" s="45" t="str">
        <f>Parameter!C$15</f>
        <v>MeganeX</v>
      </c>
      <c r="E74" s="134">
        <f t="shared" si="10"/>
        <v>0</v>
      </c>
      <c r="F74" s="135">
        <f t="shared" si="10"/>
        <v>0</v>
      </c>
      <c r="G74" s="135">
        <f t="shared" si="10"/>
        <v>0</v>
      </c>
      <c r="H74" s="135">
        <f t="shared" si="10"/>
        <v>0</v>
      </c>
      <c r="I74" s="135">
        <f t="shared" si="10"/>
        <v>0</v>
      </c>
      <c r="J74" s="135">
        <f t="shared" si="10"/>
        <v>0</v>
      </c>
      <c r="K74" s="135">
        <f t="shared" si="10"/>
        <v>0</v>
      </c>
      <c r="L74" s="136">
        <f t="shared" si="10"/>
        <v>0</v>
      </c>
    </row>
    <row r="75" spans="3:12" ht="15.6" hidden="1">
      <c r="C75" s="39" t="str">
        <f t="shared" si="1"/>
        <v>H</v>
      </c>
      <c r="D75" s="45" t="str">
        <f>Parameter!C$16</f>
        <v>MeganeX Superlight 8K</v>
      </c>
      <c r="E75" s="134">
        <f t="shared" si="10"/>
        <v>0</v>
      </c>
      <c r="F75" s="135">
        <f t="shared" si="10"/>
        <v>0</v>
      </c>
      <c r="G75" s="135">
        <f t="shared" si="10"/>
        <v>0</v>
      </c>
      <c r="H75" s="135">
        <f t="shared" si="10"/>
        <v>0</v>
      </c>
      <c r="I75" s="135">
        <f t="shared" si="10"/>
        <v>0</v>
      </c>
      <c r="J75" s="135">
        <f t="shared" si="10"/>
        <v>0</v>
      </c>
      <c r="K75" s="135">
        <f t="shared" si="10"/>
        <v>0</v>
      </c>
      <c r="L75" s="136">
        <f t="shared" si="10"/>
        <v>0</v>
      </c>
    </row>
    <row r="76" spans="3:12" ht="15.6">
      <c r="C76" s="39" t="str">
        <f t="shared" si="1"/>
        <v/>
      </c>
      <c r="D76" s="45" t="str">
        <f>Parameter!C$17</f>
        <v>Neo 3 / G3</v>
      </c>
      <c r="E76" s="134">
        <f t="shared" si="10"/>
        <v>27.953402399999995</v>
      </c>
      <c r="F76" s="135">
        <f t="shared" si="10"/>
        <v>11.225589454463996</v>
      </c>
      <c r="G76" s="135">
        <f t="shared" si="10"/>
        <v>0.53692895329919987</v>
      </c>
      <c r="H76" s="135">
        <f t="shared" si="10"/>
        <v>0</v>
      </c>
      <c r="I76" s="135">
        <f t="shared" si="10"/>
        <v>0</v>
      </c>
      <c r="J76" s="135">
        <f t="shared" si="10"/>
        <v>0</v>
      </c>
      <c r="K76" s="135">
        <f t="shared" si="10"/>
        <v>0</v>
      </c>
      <c r="L76" s="136">
        <f t="shared" si="10"/>
        <v>0</v>
      </c>
    </row>
    <row r="77" spans="3:12" ht="15.6" hidden="1">
      <c r="C77" s="39" t="str">
        <f t="shared" si="1"/>
        <v>H</v>
      </c>
      <c r="D77" s="45" t="str">
        <f>Parameter!C$18</f>
        <v>OLED VR headset</v>
      </c>
      <c r="E77" s="134">
        <f t="shared" ref="E77:L86" si="11">SUMIF(ARVR_Y_PC_PR, "VR_"&amp;E$66&amp;"_"&amp;$D$65&amp;"_"&amp;$D77, PanelRev)</f>
        <v>0</v>
      </c>
      <c r="F77" s="135">
        <f t="shared" si="11"/>
        <v>0</v>
      </c>
      <c r="G77" s="135">
        <f t="shared" si="11"/>
        <v>0</v>
      </c>
      <c r="H77" s="135">
        <f t="shared" si="11"/>
        <v>0</v>
      </c>
      <c r="I77" s="135">
        <f t="shared" si="11"/>
        <v>0</v>
      </c>
      <c r="J77" s="135">
        <f t="shared" si="11"/>
        <v>0</v>
      </c>
      <c r="K77" s="135">
        <f t="shared" si="11"/>
        <v>0</v>
      </c>
      <c r="L77" s="136">
        <f t="shared" si="11"/>
        <v>0</v>
      </c>
    </row>
    <row r="78" spans="3:12" ht="15.6">
      <c r="C78" s="39" t="str">
        <f t="shared" si="1"/>
        <v/>
      </c>
      <c r="D78" s="45" t="str">
        <f>Parameter!C$19</f>
        <v>P1 family</v>
      </c>
      <c r="E78" s="134">
        <f t="shared" si="11"/>
        <v>24.847468799999998</v>
      </c>
      <c r="F78" s="135">
        <f t="shared" si="11"/>
        <v>1.4598136394687999</v>
      </c>
      <c r="G78" s="135">
        <f t="shared" si="11"/>
        <v>1.1280931544063997</v>
      </c>
      <c r="H78" s="135">
        <f t="shared" si="11"/>
        <v>0</v>
      </c>
      <c r="I78" s="135">
        <f t="shared" si="11"/>
        <v>0</v>
      </c>
      <c r="J78" s="135">
        <f t="shared" si="11"/>
        <v>0</v>
      </c>
      <c r="K78" s="135">
        <f t="shared" si="11"/>
        <v>0</v>
      </c>
      <c r="L78" s="136">
        <f t="shared" si="11"/>
        <v>0</v>
      </c>
    </row>
    <row r="79" spans="3:12" ht="15.6" hidden="1">
      <c r="C79" s="39" t="str">
        <f t="shared" si="1"/>
        <v>H</v>
      </c>
      <c r="D79" s="45" t="str">
        <f>Parameter!C$20</f>
        <v>Pico 4</v>
      </c>
      <c r="E79" s="134">
        <f t="shared" si="11"/>
        <v>0</v>
      </c>
      <c r="F79" s="135">
        <f t="shared" si="11"/>
        <v>0</v>
      </c>
      <c r="G79" s="135">
        <f t="shared" si="11"/>
        <v>0</v>
      </c>
      <c r="H79" s="135">
        <f t="shared" si="11"/>
        <v>0</v>
      </c>
      <c r="I79" s="135">
        <f t="shared" si="11"/>
        <v>0</v>
      </c>
      <c r="J79" s="135">
        <f t="shared" si="11"/>
        <v>0</v>
      </c>
      <c r="K79" s="135">
        <f t="shared" si="11"/>
        <v>0</v>
      </c>
      <c r="L79" s="136">
        <f t="shared" si="11"/>
        <v>0</v>
      </c>
    </row>
    <row r="80" spans="3:12" ht="15.6" hidden="1">
      <c r="C80" s="39" t="str">
        <f t="shared" si="1"/>
        <v>H</v>
      </c>
      <c r="D80" s="45" t="str">
        <f>Parameter!C$21</f>
        <v>Pimax VR</v>
      </c>
      <c r="E80" s="134">
        <f t="shared" si="11"/>
        <v>0</v>
      </c>
      <c r="F80" s="135">
        <f t="shared" si="11"/>
        <v>0</v>
      </c>
      <c r="G80" s="135">
        <f t="shared" si="11"/>
        <v>0</v>
      </c>
      <c r="H80" s="135">
        <f t="shared" si="11"/>
        <v>0</v>
      </c>
      <c r="I80" s="135">
        <f t="shared" si="11"/>
        <v>0</v>
      </c>
      <c r="J80" s="135">
        <f t="shared" si="11"/>
        <v>0</v>
      </c>
      <c r="K80" s="135">
        <f t="shared" si="11"/>
        <v>0</v>
      </c>
      <c r="L80" s="136">
        <f t="shared" si="11"/>
        <v>0</v>
      </c>
    </row>
    <row r="81" spans="3:12" ht="15.6" hidden="1">
      <c r="C81" s="39" t="str">
        <f t="shared" si="1"/>
        <v>H</v>
      </c>
      <c r="D81" s="45" t="str">
        <f>Parameter!C$22</f>
        <v>PlayStation VR</v>
      </c>
      <c r="E81" s="134">
        <f t="shared" si="11"/>
        <v>0</v>
      </c>
      <c r="F81" s="135">
        <f t="shared" si="11"/>
        <v>0</v>
      </c>
      <c r="G81" s="135">
        <f t="shared" si="11"/>
        <v>0</v>
      </c>
      <c r="H81" s="135">
        <f t="shared" si="11"/>
        <v>0</v>
      </c>
      <c r="I81" s="135">
        <f t="shared" si="11"/>
        <v>0</v>
      </c>
      <c r="J81" s="135">
        <f t="shared" si="11"/>
        <v>0</v>
      </c>
      <c r="K81" s="135">
        <f t="shared" si="11"/>
        <v>0</v>
      </c>
      <c r="L81" s="136">
        <f t="shared" si="11"/>
        <v>0</v>
      </c>
    </row>
    <row r="82" spans="3:12" ht="15.6" hidden="1">
      <c r="C82" s="39" t="str">
        <f t="shared" ref="C82:C118" si="12">IF(SUM(E82:L82)=0, "H", "")</f>
        <v>H</v>
      </c>
      <c r="D82" s="45" t="str">
        <f>Parameter!C$23</f>
        <v>PlayStation VR2</v>
      </c>
      <c r="E82" s="134">
        <f t="shared" si="11"/>
        <v>0</v>
      </c>
      <c r="F82" s="135">
        <f t="shared" si="11"/>
        <v>0</v>
      </c>
      <c r="G82" s="135">
        <f t="shared" si="11"/>
        <v>0</v>
      </c>
      <c r="H82" s="135">
        <f t="shared" si="11"/>
        <v>0</v>
      </c>
      <c r="I82" s="135">
        <f t="shared" si="11"/>
        <v>0</v>
      </c>
      <c r="J82" s="135">
        <f t="shared" si="11"/>
        <v>0</v>
      </c>
      <c r="K82" s="135">
        <f t="shared" si="11"/>
        <v>0</v>
      </c>
      <c r="L82" s="136">
        <f t="shared" si="11"/>
        <v>0</v>
      </c>
    </row>
    <row r="83" spans="3:12" ht="15.6" hidden="1">
      <c r="C83" s="39" t="str">
        <f t="shared" si="12"/>
        <v>H</v>
      </c>
      <c r="D83" s="45" t="str">
        <f>Parameter!C$24</f>
        <v>Project Moohan</v>
      </c>
      <c r="E83" s="134">
        <f t="shared" si="11"/>
        <v>0</v>
      </c>
      <c r="F83" s="135">
        <f t="shared" si="11"/>
        <v>0</v>
      </c>
      <c r="G83" s="135">
        <f t="shared" si="11"/>
        <v>0</v>
      </c>
      <c r="H83" s="135">
        <f t="shared" si="11"/>
        <v>0</v>
      </c>
      <c r="I83" s="135">
        <f t="shared" si="11"/>
        <v>0</v>
      </c>
      <c r="J83" s="135">
        <f t="shared" si="11"/>
        <v>0</v>
      </c>
      <c r="K83" s="135">
        <f t="shared" si="11"/>
        <v>0</v>
      </c>
      <c r="L83" s="136">
        <f t="shared" si="11"/>
        <v>0</v>
      </c>
    </row>
    <row r="84" spans="3:12" ht="15.6" hidden="1">
      <c r="C84" s="39" t="str">
        <f t="shared" si="12"/>
        <v>H</v>
      </c>
      <c r="D84" s="45" t="str">
        <f>Parameter!C$25</f>
        <v>Quest</v>
      </c>
      <c r="E84" s="134">
        <f t="shared" si="11"/>
        <v>0</v>
      </c>
      <c r="F84" s="135">
        <f t="shared" si="11"/>
        <v>0</v>
      </c>
      <c r="G84" s="135">
        <f t="shared" si="11"/>
        <v>0</v>
      </c>
      <c r="H84" s="135">
        <f t="shared" si="11"/>
        <v>0</v>
      </c>
      <c r="I84" s="135">
        <f t="shared" si="11"/>
        <v>0</v>
      </c>
      <c r="J84" s="135">
        <f t="shared" si="11"/>
        <v>0</v>
      </c>
      <c r="K84" s="135">
        <f t="shared" si="11"/>
        <v>0</v>
      </c>
      <c r="L84" s="136">
        <f t="shared" si="11"/>
        <v>0</v>
      </c>
    </row>
    <row r="85" spans="3:12" ht="15.6">
      <c r="C85" s="39" t="str">
        <f t="shared" si="12"/>
        <v/>
      </c>
      <c r="D85" s="45" t="str">
        <f>Parameter!C$26</f>
        <v>Quest 2</v>
      </c>
      <c r="E85" s="134">
        <f t="shared" si="11"/>
        <v>310.59335999999996</v>
      </c>
      <c r="F85" s="135">
        <f t="shared" si="11"/>
        <v>81.592502959967973</v>
      </c>
      <c r="G85" s="135">
        <f t="shared" si="11"/>
        <v>2.1694099123199995</v>
      </c>
      <c r="H85" s="135">
        <f t="shared" si="11"/>
        <v>0</v>
      </c>
      <c r="I85" s="135">
        <f t="shared" si="11"/>
        <v>0</v>
      </c>
      <c r="J85" s="135">
        <f t="shared" si="11"/>
        <v>0</v>
      </c>
      <c r="K85" s="135">
        <f t="shared" si="11"/>
        <v>0</v>
      </c>
      <c r="L85" s="136">
        <f t="shared" si="11"/>
        <v>0</v>
      </c>
    </row>
    <row r="86" spans="3:12" ht="15.6" hidden="1">
      <c r="C86" s="39" t="str">
        <f t="shared" si="12"/>
        <v>H</v>
      </c>
      <c r="D86" s="45" t="str">
        <f>Parameter!C$27</f>
        <v>Quest 3</v>
      </c>
      <c r="E86" s="134">
        <f t="shared" si="11"/>
        <v>0</v>
      </c>
      <c r="F86" s="135">
        <f t="shared" si="11"/>
        <v>0</v>
      </c>
      <c r="G86" s="135">
        <f t="shared" si="11"/>
        <v>0</v>
      </c>
      <c r="H86" s="135">
        <f t="shared" si="11"/>
        <v>0</v>
      </c>
      <c r="I86" s="135">
        <f t="shared" si="11"/>
        <v>0</v>
      </c>
      <c r="J86" s="135">
        <f t="shared" si="11"/>
        <v>0</v>
      </c>
      <c r="K86" s="135">
        <f t="shared" si="11"/>
        <v>0</v>
      </c>
      <c r="L86" s="136">
        <f t="shared" si="11"/>
        <v>0</v>
      </c>
    </row>
    <row r="87" spans="3:12" ht="15.6">
      <c r="C87" s="39" t="str">
        <f t="shared" si="12"/>
        <v/>
      </c>
      <c r="D87" s="45" t="str">
        <f>Parameter!C$28</f>
        <v>Quest 3S</v>
      </c>
      <c r="E87" s="134">
        <f t="shared" ref="E87:L96" si="13">SUMIF(ARVR_Y_PC_PR, "VR_"&amp;E$66&amp;"_"&amp;$D$65&amp;"_"&amp;$D87, PanelRev)</f>
        <v>0</v>
      </c>
      <c r="F87" s="135">
        <f t="shared" si="13"/>
        <v>0</v>
      </c>
      <c r="G87" s="135">
        <f t="shared" si="13"/>
        <v>142.56</v>
      </c>
      <c r="H87" s="135">
        <f t="shared" si="13"/>
        <v>140.61600000000001</v>
      </c>
      <c r="I87" s="135">
        <f t="shared" si="13"/>
        <v>0</v>
      </c>
      <c r="J87" s="135">
        <f t="shared" si="13"/>
        <v>0</v>
      </c>
      <c r="K87" s="135">
        <f t="shared" si="13"/>
        <v>0</v>
      </c>
      <c r="L87" s="136">
        <f t="shared" si="13"/>
        <v>0</v>
      </c>
    </row>
    <row r="88" spans="3:12" ht="15.6" hidden="1">
      <c r="C88" s="39" t="str">
        <f t="shared" si="12"/>
        <v>H</v>
      </c>
      <c r="D88" s="45" t="str">
        <f>Parameter!C$29</f>
        <v>Quest Pro</v>
      </c>
      <c r="E88" s="134">
        <f t="shared" si="13"/>
        <v>0</v>
      </c>
      <c r="F88" s="135">
        <f t="shared" si="13"/>
        <v>0</v>
      </c>
      <c r="G88" s="135">
        <f t="shared" si="13"/>
        <v>0</v>
      </c>
      <c r="H88" s="135">
        <f t="shared" si="13"/>
        <v>0</v>
      </c>
      <c r="I88" s="135">
        <f t="shared" si="13"/>
        <v>0</v>
      </c>
      <c r="J88" s="135">
        <f t="shared" si="13"/>
        <v>0</v>
      </c>
      <c r="K88" s="135">
        <f t="shared" si="13"/>
        <v>0</v>
      </c>
      <c r="L88" s="136">
        <f t="shared" si="13"/>
        <v>0</v>
      </c>
    </row>
    <row r="89" spans="3:12" ht="15.6" hidden="1">
      <c r="C89" s="39" t="str">
        <f t="shared" si="12"/>
        <v>H</v>
      </c>
      <c r="D89" s="45" t="str">
        <f>Parameter!C$30</f>
        <v>R1</v>
      </c>
      <c r="E89" s="134">
        <f t="shared" si="13"/>
        <v>0</v>
      </c>
      <c r="F89" s="135">
        <f t="shared" si="13"/>
        <v>0</v>
      </c>
      <c r="G89" s="135">
        <f t="shared" si="13"/>
        <v>0</v>
      </c>
      <c r="H89" s="135">
        <f t="shared" si="13"/>
        <v>0</v>
      </c>
      <c r="I89" s="135">
        <f t="shared" si="13"/>
        <v>0</v>
      </c>
      <c r="J89" s="135">
        <f t="shared" si="13"/>
        <v>0</v>
      </c>
      <c r="K89" s="135">
        <f t="shared" si="13"/>
        <v>0</v>
      </c>
      <c r="L89" s="136">
        <f t="shared" si="13"/>
        <v>0</v>
      </c>
    </row>
    <row r="90" spans="3:12" ht="15.6" hidden="1">
      <c r="C90" s="39" t="str">
        <f t="shared" si="12"/>
        <v>H</v>
      </c>
      <c r="D90" s="45" t="str">
        <f>Parameter!C$31</f>
        <v>Reverb</v>
      </c>
      <c r="E90" s="134">
        <f t="shared" si="13"/>
        <v>0</v>
      </c>
      <c r="F90" s="135">
        <f t="shared" si="13"/>
        <v>0</v>
      </c>
      <c r="G90" s="135">
        <f t="shared" si="13"/>
        <v>0</v>
      </c>
      <c r="H90" s="135">
        <f t="shared" si="13"/>
        <v>0</v>
      </c>
      <c r="I90" s="135">
        <f t="shared" si="13"/>
        <v>0</v>
      </c>
      <c r="J90" s="135">
        <f t="shared" si="13"/>
        <v>0</v>
      </c>
      <c r="K90" s="135">
        <f t="shared" si="13"/>
        <v>0</v>
      </c>
      <c r="L90" s="136">
        <f t="shared" si="13"/>
        <v>0</v>
      </c>
    </row>
    <row r="91" spans="3:12" ht="15.6" hidden="1">
      <c r="C91" s="39" t="str">
        <f t="shared" si="12"/>
        <v>H</v>
      </c>
      <c r="D91" s="45" t="str">
        <f>Parameter!C$32</f>
        <v>Reverb G2</v>
      </c>
      <c r="E91" s="134">
        <f t="shared" si="13"/>
        <v>0</v>
      </c>
      <c r="F91" s="135">
        <f t="shared" si="13"/>
        <v>0</v>
      </c>
      <c r="G91" s="135">
        <f t="shared" si="13"/>
        <v>0</v>
      </c>
      <c r="H91" s="135">
        <f t="shared" si="13"/>
        <v>0</v>
      </c>
      <c r="I91" s="135">
        <f t="shared" si="13"/>
        <v>0</v>
      </c>
      <c r="J91" s="135">
        <f t="shared" si="13"/>
        <v>0</v>
      </c>
      <c r="K91" s="135">
        <f t="shared" si="13"/>
        <v>0</v>
      </c>
      <c r="L91" s="136">
        <f t="shared" si="13"/>
        <v>0</v>
      </c>
    </row>
    <row r="92" spans="3:12" ht="15.6" hidden="1">
      <c r="C92" s="39" t="str">
        <f t="shared" si="12"/>
        <v>H</v>
      </c>
      <c r="D92" s="45" t="str">
        <f>Parameter!C$33</f>
        <v>Rift S</v>
      </c>
      <c r="E92" s="134">
        <f t="shared" si="13"/>
        <v>0</v>
      </c>
      <c r="F92" s="135">
        <f t="shared" si="13"/>
        <v>0</v>
      </c>
      <c r="G92" s="135">
        <f t="shared" si="13"/>
        <v>0</v>
      </c>
      <c r="H92" s="135">
        <f t="shared" si="13"/>
        <v>0</v>
      </c>
      <c r="I92" s="135">
        <f t="shared" si="13"/>
        <v>0</v>
      </c>
      <c r="J92" s="135">
        <f t="shared" si="13"/>
        <v>0</v>
      </c>
      <c r="K92" s="135">
        <f t="shared" si="13"/>
        <v>0</v>
      </c>
      <c r="L92" s="136">
        <f t="shared" si="13"/>
        <v>0</v>
      </c>
    </row>
    <row r="93" spans="3:12" ht="16.2" thickBot="1">
      <c r="C93" s="39" t="str">
        <f t="shared" si="12"/>
        <v/>
      </c>
      <c r="D93" s="45" t="str">
        <f>Parameter!C$34</f>
        <v>Single LCD VR headset</v>
      </c>
      <c r="E93" s="134">
        <f t="shared" si="13"/>
        <v>13.044921119999998</v>
      </c>
      <c r="F93" s="135">
        <f t="shared" si="13"/>
        <v>8.7692308075679968</v>
      </c>
      <c r="G93" s="135">
        <f t="shared" si="13"/>
        <v>6.6972395755708778</v>
      </c>
      <c r="H93" s="135">
        <f t="shared" si="13"/>
        <v>3.8690000000000002</v>
      </c>
      <c r="I93" s="135">
        <f t="shared" si="13"/>
        <v>85.944427791425255</v>
      </c>
      <c r="J93" s="135">
        <f t="shared" si="13"/>
        <v>58.957877464917729</v>
      </c>
      <c r="K93" s="135">
        <f t="shared" si="13"/>
        <v>49.524617070530894</v>
      </c>
      <c r="L93" s="136">
        <f t="shared" si="13"/>
        <v>43.12</v>
      </c>
    </row>
    <row r="94" spans="3:12" ht="15.6" hidden="1">
      <c r="C94" s="39" t="str">
        <f t="shared" si="12"/>
        <v>H</v>
      </c>
      <c r="D94" s="45" t="str">
        <f>Parameter!C$35</f>
        <v>ThinkReality VRX</v>
      </c>
      <c r="E94" s="134">
        <f t="shared" si="13"/>
        <v>0</v>
      </c>
      <c r="F94" s="135">
        <f t="shared" si="13"/>
        <v>0</v>
      </c>
      <c r="G94" s="135">
        <f t="shared" si="13"/>
        <v>0</v>
      </c>
      <c r="H94" s="135">
        <f t="shared" si="13"/>
        <v>0</v>
      </c>
      <c r="I94" s="135">
        <f t="shared" si="13"/>
        <v>0</v>
      </c>
      <c r="J94" s="135">
        <f t="shared" si="13"/>
        <v>0</v>
      </c>
      <c r="K94" s="135">
        <f t="shared" si="13"/>
        <v>0</v>
      </c>
      <c r="L94" s="136">
        <f t="shared" si="13"/>
        <v>0</v>
      </c>
    </row>
    <row r="95" spans="3:12" ht="15.6" hidden="1">
      <c r="C95" s="39" t="str">
        <f t="shared" si="12"/>
        <v>H</v>
      </c>
      <c r="D95" s="45" t="str">
        <f>Parameter!C$36</f>
        <v>Vision Pro</v>
      </c>
      <c r="E95" s="134">
        <f t="shared" si="13"/>
        <v>0</v>
      </c>
      <c r="F95" s="135">
        <f t="shared" si="13"/>
        <v>0</v>
      </c>
      <c r="G95" s="135">
        <f t="shared" si="13"/>
        <v>0</v>
      </c>
      <c r="H95" s="135">
        <f t="shared" si="13"/>
        <v>0</v>
      </c>
      <c r="I95" s="135">
        <f t="shared" si="13"/>
        <v>0</v>
      </c>
      <c r="J95" s="135">
        <f t="shared" si="13"/>
        <v>0</v>
      </c>
      <c r="K95" s="135">
        <f t="shared" si="13"/>
        <v>0</v>
      </c>
      <c r="L95" s="136">
        <f t="shared" si="13"/>
        <v>0</v>
      </c>
    </row>
    <row r="96" spans="3:12" ht="15.6" hidden="1">
      <c r="C96" s="39" t="str">
        <f t="shared" si="12"/>
        <v>H</v>
      </c>
      <c r="D96" s="45" t="str">
        <f>Parameter!C$37</f>
        <v>Vive LCD headsets</v>
      </c>
      <c r="E96" s="134">
        <f t="shared" si="13"/>
        <v>0</v>
      </c>
      <c r="F96" s="135">
        <f t="shared" si="13"/>
        <v>0</v>
      </c>
      <c r="G96" s="135">
        <f t="shared" si="13"/>
        <v>0</v>
      </c>
      <c r="H96" s="135">
        <f t="shared" si="13"/>
        <v>0</v>
      </c>
      <c r="I96" s="135">
        <f t="shared" si="13"/>
        <v>0</v>
      </c>
      <c r="J96" s="135">
        <f t="shared" si="13"/>
        <v>0</v>
      </c>
      <c r="K96" s="135">
        <f t="shared" si="13"/>
        <v>0</v>
      </c>
      <c r="L96" s="136">
        <f t="shared" si="13"/>
        <v>0</v>
      </c>
    </row>
    <row r="97" spans="3:12" ht="15.6" hidden="1">
      <c r="C97" s="39" t="str">
        <f t="shared" si="12"/>
        <v>H</v>
      </c>
      <c r="D97" s="45" t="str">
        <f>Parameter!C$38</f>
        <v>VR1</v>
      </c>
      <c r="E97" s="134">
        <f t="shared" ref="E97:L106" si="14">SUMIF(ARVR_Y_PC_PR, "VR_"&amp;E$66&amp;"_"&amp;$D$65&amp;"_"&amp;$D97, PanelRev)</f>
        <v>0</v>
      </c>
      <c r="F97" s="135">
        <f t="shared" si="14"/>
        <v>0</v>
      </c>
      <c r="G97" s="135">
        <f t="shared" si="14"/>
        <v>0</v>
      </c>
      <c r="H97" s="135">
        <f t="shared" si="14"/>
        <v>0</v>
      </c>
      <c r="I97" s="135">
        <f t="shared" si="14"/>
        <v>0</v>
      </c>
      <c r="J97" s="135">
        <f t="shared" si="14"/>
        <v>0</v>
      </c>
      <c r="K97" s="135">
        <f t="shared" si="14"/>
        <v>0</v>
      </c>
      <c r="L97" s="136">
        <f t="shared" si="14"/>
        <v>0</v>
      </c>
    </row>
    <row r="98" spans="3:12" ht="15.6" hidden="1">
      <c r="C98" s="39" t="str">
        <f t="shared" si="12"/>
        <v>H</v>
      </c>
      <c r="D98" s="45" t="str">
        <f>Parameter!C$39</f>
        <v>XR-4</v>
      </c>
      <c r="E98" s="134">
        <f t="shared" si="14"/>
        <v>0</v>
      </c>
      <c r="F98" s="135">
        <f t="shared" si="14"/>
        <v>0</v>
      </c>
      <c r="G98" s="135">
        <f t="shared" si="14"/>
        <v>0</v>
      </c>
      <c r="H98" s="135">
        <f t="shared" si="14"/>
        <v>0</v>
      </c>
      <c r="I98" s="135">
        <f t="shared" si="14"/>
        <v>0</v>
      </c>
      <c r="J98" s="135">
        <f t="shared" si="14"/>
        <v>0</v>
      </c>
      <c r="K98" s="135">
        <f t="shared" si="14"/>
        <v>0</v>
      </c>
      <c r="L98" s="136">
        <f t="shared" si="14"/>
        <v>0</v>
      </c>
    </row>
    <row r="99" spans="3:12" ht="15.6" hidden="1">
      <c r="C99" s="39" t="str">
        <f t="shared" si="12"/>
        <v>H</v>
      </c>
      <c r="D99" s="45">
        <f>Parameter!C$40</f>
        <v>0</v>
      </c>
      <c r="E99" s="134">
        <f t="shared" si="14"/>
        <v>0</v>
      </c>
      <c r="F99" s="135">
        <f t="shared" si="14"/>
        <v>0</v>
      </c>
      <c r="G99" s="135">
        <f t="shared" si="14"/>
        <v>0</v>
      </c>
      <c r="H99" s="135">
        <f t="shared" si="14"/>
        <v>0</v>
      </c>
      <c r="I99" s="135">
        <f t="shared" si="14"/>
        <v>0</v>
      </c>
      <c r="J99" s="135">
        <f t="shared" si="14"/>
        <v>0</v>
      </c>
      <c r="K99" s="135">
        <f t="shared" si="14"/>
        <v>0</v>
      </c>
      <c r="L99" s="136">
        <f t="shared" si="14"/>
        <v>0</v>
      </c>
    </row>
    <row r="100" spans="3:12" ht="15.6" hidden="1">
      <c r="C100" s="39" t="str">
        <f t="shared" si="12"/>
        <v>H</v>
      </c>
      <c r="D100" s="45">
        <f>Parameter!C$41</f>
        <v>0</v>
      </c>
      <c r="E100" s="134">
        <f t="shared" si="14"/>
        <v>0</v>
      </c>
      <c r="F100" s="135">
        <f t="shared" si="14"/>
        <v>0</v>
      </c>
      <c r="G100" s="135">
        <f t="shared" si="14"/>
        <v>0</v>
      </c>
      <c r="H100" s="135">
        <f t="shared" si="14"/>
        <v>0</v>
      </c>
      <c r="I100" s="135">
        <f t="shared" si="14"/>
        <v>0</v>
      </c>
      <c r="J100" s="135">
        <f t="shared" si="14"/>
        <v>0</v>
      </c>
      <c r="K100" s="135">
        <f t="shared" si="14"/>
        <v>0</v>
      </c>
      <c r="L100" s="136">
        <f t="shared" si="14"/>
        <v>0</v>
      </c>
    </row>
    <row r="101" spans="3:12" ht="15.6" hidden="1">
      <c r="C101" s="39" t="str">
        <f t="shared" si="12"/>
        <v>H</v>
      </c>
      <c r="D101" s="45">
        <f>Parameter!C$42</f>
        <v>0</v>
      </c>
      <c r="E101" s="134">
        <f t="shared" si="14"/>
        <v>0</v>
      </c>
      <c r="F101" s="135">
        <f t="shared" si="14"/>
        <v>0</v>
      </c>
      <c r="G101" s="135">
        <f t="shared" si="14"/>
        <v>0</v>
      </c>
      <c r="H101" s="135">
        <f t="shared" si="14"/>
        <v>0</v>
      </c>
      <c r="I101" s="135">
        <f t="shared" si="14"/>
        <v>0</v>
      </c>
      <c r="J101" s="135">
        <f t="shared" si="14"/>
        <v>0</v>
      </c>
      <c r="K101" s="135">
        <f t="shared" si="14"/>
        <v>0</v>
      </c>
      <c r="L101" s="136">
        <f t="shared" si="14"/>
        <v>0</v>
      </c>
    </row>
    <row r="102" spans="3:12" ht="15.6" hidden="1">
      <c r="C102" s="39" t="str">
        <f t="shared" si="12"/>
        <v>H</v>
      </c>
      <c r="D102" s="45">
        <f>Parameter!C$43</f>
        <v>0</v>
      </c>
      <c r="E102" s="134">
        <f t="shared" si="14"/>
        <v>0</v>
      </c>
      <c r="F102" s="135">
        <f t="shared" si="14"/>
        <v>0</v>
      </c>
      <c r="G102" s="135">
        <f t="shared" si="14"/>
        <v>0</v>
      </c>
      <c r="H102" s="135">
        <f t="shared" si="14"/>
        <v>0</v>
      </c>
      <c r="I102" s="135">
        <f t="shared" si="14"/>
        <v>0</v>
      </c>
      <c r="J102" s="135">
        <f t="shared" si="14"/>
        <v>0</v>
      </c>
      <c r="K102" s="135">
        <f t="shared" si="14"/>
        <v>0</v>
      </c>
      <c r="L102" s="136">
        <f t="shared" si="14"/>
        <v>0</v>
      </c>
    </row>
    <row r="103" spans="3:12" ht="15.6" hidden="1">
      <c r="C103" s="39" t="str">
        <f t="shared" si="12"/>
        <v>H</v>
      </c>
      <c r="D103" s="45">
        <f>Parameter!C$44</f>
        <v>0</v>
      </c>
      <c r="E103" s="134">
        <f t="shared" si="14"/>
        <v>0</v>
      </c>
      <c r="F103" s="135">
        <f t="shared" si="14"/>
        <v>0</v>
      </c>
      <c r="G103" s="135">
        <f t="shared" si="14"/>
        <v>0</v>
      </c>
      <c r="H103" s="135">
        <f t="shared" si="14"/>
        <v>0</v>
      </c>
      <c r="I103" s="135">
        <f t="shared" si="14"/>
        <v>0</v>
      </c>
      <c r="J103" s="135">
        <f t="shared" si="14"/>
        <v>0</v>
      </c>
      <c r="K103" s="135">
        <f t="shared" si="14"/>
        <v>0</v>
      </c>
      <c r="L103" s="136">
        <f t="shared" si="14"/>
        <v>0</v>
      </c>
    </row>
    <row r="104" spans="3:12" ht="15.6" hidden="1">
      <c r="C104" s="39" t="str">
        <f t="shared" si="12"/>
        <v>H</v>
      </c>
      <c r="D104" s="45">
        <f>Parameter!C$45</f>
        <v>0</v>
      </c>
      <c r="E104" s="134">
        <f t="shared" si="14"/>
        <v>0</v>
      </c>
      <c r="F104" s="135">
        <f t="shared" si="14"/>
        <v>0</v>
      </c>
      <c r="G104" s="135">
        <f t="shared" si="14"/>
        <v>0</v>
      </c>
      <c r="H104" s="135">
        <f t="shared" si="14"/>
        <v>0</v>
      </c>
      <c r="I104" s="135">
        <f t="shared" si="14"/>
        <v>0</v>
      </c>
      <c r="J104" s="135">
        <f t="shared" si="14"/>
        <v>0</v>
      </c>
      <c r="K104" s="135">
        <f t="shared" si="14"/>
        <v>0</v>
      </c>
      <c r="L104" s="136">
        <f t="shared" si="14"/>
        <v>0</v>
      </c>
    </row>
    <row r="105" spans="3:12" ht="15.6" hidden="1">
      <c r="C105" s="39" t="str">
        <f t="shared" si="12"/>
        <v>H</v>
      </c>
      <c r="D105" s="45">
        <f>Parameter!C$46</f>
        <v>0</v>
      </c>
      <c r="E105" s="134">
        <f t="shared" si="14"/>
        <v>0</v>
      </c>
      <c r="F105" s="135">
        <f t="shared" si="14"/>
        <v>0</v>
      </c>
      <c r="G105" s="135">
        <f t="shared" si="14"/>
        <v>0</v>
      </c>
      <c r="H105" s="135">
        <f t="shared" si="14"/>
        <v>0</v>
      </c>
      <c r="I105" s="135">
        <f t="shared" si="14"/>
        <v>0</v>
      </c>
      <c r="J105" s="135">
        <f t="shared" si="14"/>
        <v>0</v>
      </c>
      <c r="K105" s="135">
        <f t="shared" si="14"/>
        <v>0</v>
      </c>
      <c r="L105" s="136">
        <f t="shared" si="14"/>
        <v>0</v>
      </c>
    </row>
    <row r="106" spans="3:12" ht="15.6" hidden="1">
      <c r="C106" s="39" t="str">
        <f t="shared" si="12"/>
        <v>H</v>
      </c>
      <c r="D106" s="45">
        <f>Parameter!C$47</f>
        <v>0</v>
      </c>
      <c r="E106" s="134">
        <f t="shared" si="14"/>
        <v>0</v>
      </c>
      <c r="F106" s="135">
        <f t="shared" si="14"/>
        <v>0</v>
      </c>
      <c r="G106" s="135">
        <f t="shared" si="14"/>
        <v>0</v>
      </c>
      <c r="H106" s="135">
        <f t="shared" si="14"/>
        <v>0</v>
      </c>
      <c r="I106" s="135">
        <f t="shared" si="14"/>
        <v>0</v>
      </c>
      <c r="J106" s="135">
        <f t="shared" si="14"/>
        <v>0</v>
      </c>
      <c r="K106" s="135">
        <f t="shared" si="14"/>
        <v>0</v>
      </c>
      <c r="L106" s="136">
        <f t="shared" si="14"/>
        <v>0</v>
      </c>
    </row>
    <row r="107" spans="3:12" ht="15.6" hidden="1">
      <c r="C107" s="39" t="str">
        <f t="shared" si="12"/>
        <v>H</v>
      </c>
      <c r="D107" s="45">
        <f>Parameter!C$48</f>
        <v>0</v>
      </c>
      <c r="E107" s="134">
        <f t="shared" ref="E107:L116" si="15">SUMIF(ARVR_Y_PC_PR, "VR_"&amp;E$66&amp;"_"&amp;$D$65&amp;"_"&amp;$D107, PanelRev)</f>
        <v>0</v>
      </c>
      <c r="F107" s="135">
        <f t="shared" si="15"/>
        <v>0</v>
      </c>
      <c r="G107" s="135">
        <f t="shared" si="15"/>
        <v>0</v>
      </c>
      <c r="H107" s="135">
        <f t="shared" si="15"/>
        <v>0</v>
      </c>
      <c r="I107" s="135">
        <f t="shared" si="15"/>
        <v>0</v>
      </c>
      <c r="J107" s="135">
        <f t="shared" si="15"/>
        <v>0</v>
      </c>
      <c r="K107" s="135">
        <f t="shared" si="15"/>
        <v>0</v>
      </c>
      <c r="L107" s="136">
        <f t="shared" si="15"/>
        <v>0</v>
      </c>
    </row>
    <row r="108" spans="3:12" ht="15.6" hidden="1">
      <c r="C108" s="39" t="str">
        <f t="shared" si="12"/>
        <v>H</v>
      </c>
      <c r="D108" s="45">
        <f>Parameter!C$49</f>
        <v>0</v>
      </c>
      <c r="E108" s="134">
        <f t="shared" si="15"/>
        <v>0</v>
      </c>
      <c r="F108" s="135">
        <f t="shared" si="15"/>
        <v>0</v>
      </c>
      <c r="G108" s="135">
        <f t="shared" si="15"/>
        <v>0</v>
      </c>
      <c r="H108" s="135">
        <f t="shared" si="15"/>
        <v>0</v>
      </c>
      <c r="I108" s="135">
        <f t="shared" si="15"/>
        <v>0</v>
      </c>
      <c r="J108" s="135">
        <f t="shared" si="15"/>
        <v>0</v>
      </c>
      <c r="K108" s="135">
        <f t="shared" si="15"/>
        <v>0</v>
      </c>
      <c r="L108" s="136">
        <f t="shared" si="15"/>
        <v>0</v>
      </c>
    </row>
    <row r="109" spans="3:12" ht="15.6" hidden="1">
      <c r="C109" s="39" t="str">
        <f t="shared" si="12"/>
        <v>H</v>
      </c>
      <c r="D109" s="45">
        <f>Parameter!C$50</f>
        <v>0</v>
      </c>
      <c r="E109" s="134">
        <f t="shared" si="15"/>
        <v>0</v>
      </c>
      <c r="F109" s="135">
        <f t="shared" si="15"/>
        <v>0</v>
      </c>
      <c r="G109" s="135">
        <f t="shared" si="15"/>
        <v>0</v>
      </c>
      <c r="H109" s="135">
        <f t="shared" si="15"/>
        <v>0</v>
      </c>
      <c r="I109" s="135">
        <f t="shared" si="15"/>
        <v>0</v>
      </c>
      <c r="J109" s="135">
        <f t="shared" si="15"/>
        <v>0</v>
      </c>
      <c r="K109" s="135">
        <f t="shared" si="15"/>
        <v>0</v>
      </c>
      <c r="L109" s="136">
        <f t="shared" si="15"/>
        <v>0</v>
      </c>
    </row>
    <row r="110" spans="3:12" ht="15.6" hidden="1">
      <c r="C110" s="39" t="str">
        <f t="shared" si="12"/>
        <v>H</v>
      </c>
      <c r="D110" s="45">
        <f>Parameter!C$51</f>
        <v>0</v>
      </c>
      <c r="E110" s="134">
        <f t="shared" si="15"/>
        <v>0</v>
      </c>
      <c r="F110" s="135">
        <f t="shared" si="15"/>
        <v>0</v>
      </c>
      <c r="G110" s="135">
        <f t="shared" si="15"/>
        <v>0</v>
      </c>
      <c r="H110" s="135">
        <f t="shared" si="15"/>
        <v>0</v>
      </c>
      <c r="I110" s="135">
        <f t="shared" si="15"/>
        <v>0</v>
      </c>
      <c r="J110" s="135">
        <f t="shared" si="15"/>
        <v>0</v>
      </c>
      <c r="K110" s="135">
        <f t="shared" si="15"/>
        <v>0</v>
      </c>
      <c r="L110" s="136">
        <f t="shared" si="15"/>
        <v>0</v>
      </c>
    </row>
    <row r="111" spans="3:12" ht="15.6" hidden="1">
      <c r="C111" s="39" t="str">
        <f t="shared" si="12"/>
        <v>H</v>
      </c>
      <c r="D111" s="45">
        <f>Parameter!C$52</f>
        <v>0</v>
      </c>
      <c r="E111" s="134">
        <f t="shared" si="15"/>
        <v>0</v>
      </c>
      <c r="F111" s="135">
        <f t="shared" si="15"/>
        <v>0</v>
      </c>
      <c r="G111" s="135">
        <f t="shared" si="15"/>
        <v>0</v>
      </c>
      <c r="H111" s="135">
        <f t="shared" si="15"/>
        <v>0</v>
      </c>
      <c r="I111" s="135">
        <f t="shared" si="15"/>
        <v>0</v>
      </c>
      <c r="J111" s="135">
        <f t="shared" si="15"/>
        <v>0</v>
      </c>
      <c r="K111" s="135">
        <f t="shared" si="15"/>
        <v>0</v>
      </c>
      <c r="L111" s="136">
        <f t="shared" si="15"/>
        <v>0</v>
      </c>
    </row>
    <row r="112" spans="3:12" ht="15.6" hidden="1">
      <c r="C112" s="39" t="str">
        <f t="shared" si="12"/>
        <v>H</v>
      </c>
      <c r="D112" s="45">
        <f>Parameter!C$53</f>
        <v>0</v>
      </c>
      <c r="E112" s="134">
        <f t="shared" si="15"/>
        <v>0</v>
      </c>
      <c r="F112" s="135">
        <f t="shared" si="15"/>
        <v>0</v>
      </c>
      <c r="G112" s="135">
        <f t="shared" si="15"/>
        <v>0</v>
      </c>
      <c r="H112" s="135">
        <f t="shared" si="15"/>
        <v>0</v>
      </c>
      <c r="I112" s="135">
        <f t="shared" si="15"/>
        <v>0</v>
      </c>
      <c r="J112" s="135">
        <f t="shared" si="15"/>
        <v>0</v>
      </c>
      <c r="K112" s="135">
        <f t="shared" si="15"/>
        <v>0</v>
      </c>
      <c r="L112" s="136">
        <f t="shared" si="15"/>
        <v>0</v>
      </c>
    </row>
    <row r="113" spans="3:12" ht="15.6" hidden="1">
      <c r="C113" s="39" t="str">
        <f t="shared" si="12"/>
        <v>H</v>
      </c>
      <c r="D113" s="45">
        <f>Parameter!C$54</f>
        <v>0</v>
      </c>
      <c r="E113" s="134">
        <f t="shared" si="15"/>
        <v>0</v>
      </c>
      <c r="F113" s="135">
        <f t="shared" si="15"/>
        <v>0</v>
      </c>
      <c r="G113" s="135">
        <f t="shared" si="15"/>
        <v>0</v>
      </c>
      <c r="H113" s="135">
        <f t="shared" si="15"/>
        <v>0</v>
      </c>
      <c r="I113" s="135">
        <f t="shared" si="15"/>
        <v>0</v>
      </c>
      <c r="J113" s="135">
        <f t="shared" si="15"/>
        <v>0</v>
      </c>
      <c r="K113" s="135">
        <f t="shared" si="15"/>
        <v>0</v>
      </c>
      <c r="L113" s="136">
        <f t="shared" si="15"/>
        <v>0</v>
      </c>
    </row>
    <row r="114" spans="3:12" ht="15.6" hidden="1">
      <c r="C114" s="39" t="str">
        <f t="shared" si="12"/>
        <v>H</v>
      </c>
      <c r="D114" s="45">
        <f>Parameter!C$55</f>
        <v>0</v>
      </c>
      <c r="E114" s="134">
        <f t="shared" si="15"/>
        <v>0</v>
      </c>
      <c r="F114" s="135">
        <f t="shared" si="15"/>
        <v>0</v>
      </c>
      <c r="G114" s="135">
        <f t="shared" si="15"/>
        <v>0</v>
      </c>
      <c r="H114" s="135">
        <f t="shared" si="15"/>
        <v>0</v>
      </c>
      <c r="I114" s="135">
        <f t="shared" si="15"/>
        <v>0</v>
      </c>
      <c r="J114" s="135">
        <f t="shared" si="15"/>
        <v>0</v>
      </c>
      <c r="K114" s="135">
        <f t="shared" si="15"/>
        <v>0</v>
      </c>
      <c r="L114" s="136">
        <f t="shared" si="15"/>
        <v>0</v>
      </c>
    </row>
    <row r="115" spans="3:12" ht="15.6" hidden="1">
      <c r="C115" s="39" t="str">
        <f t="shared" si="12"/>
        <v>H</v>
      </c>
      <c r="D115" s="45">
        <f>Parameter!C$56</f>
        <v>0</v>
      </c>
      <c r="E115" s="134">
        <f t="shared" si="15"/>
        <v>0</v>
      </c>
      <c r="F115" s="135">
        <f t="shared" si="15"/>
        <v>0</v>
      </c>
      <c r="G115" s="135">
        <f t="shared" si="15"/>
        <v>0</v>
      </c>
      <c r="H115" s="135">
        <f t="shared" si="15"/>
        <v>0</v>
      </c>
      <c r="I115" s="135">
        <f t="shared" si="15"/>
        <v>0</v>
      </c>
      <c r="J115" s="135">
        <f t="shared" si="15"/>
        <v>0</v>
      </c>
      <c r="K115" s="135">
        <f t="shared" si="15"/>
        <v>0</v>
      </c>
      <c r="L115" s="136">
        <f t="shared" si="15"/>
        <v>0</v>
      </c>
    </row>
    <row r="116" spans="3:12" ht="16.2" hidden="1" thickBot="1">
      <c r="C116" s="39" t="str">
        <f t="shared" si="12"/>
        <v>H</v>
      </c>
      <c r="D116" s="53" t="str">
        <f>Parameter!C$57</f>
        <v>ALL</v>
      </c>
      <c r="E116" s="137">
        <f t="shared" si="15"/>
        <v>0</v>
      </c>
      <c r="F116" s="138">
        <f t="shared" si="15"/>
        <v>0</v>
      </c>
      <c r="G116" s="138">
        <f t="shared" si="15"/>
        <v>0</v>
      </c>
      <c r="H116" s="138">
        <f t="shared" si="15"/>
        <v>0</v>
      </c>
      <c r="I116" s="138">
        <f t="shared" si="15"/>
        <v>0</v>
      </c>
      <c r="J116" s="138">
        <f t="shared" si="15"/>
        <v>0</v>
      </c>
      <c r="K116" s="138">
        <f t="shared" si="15"/>
        <v>0</v>
      </c>
      <c r="L116" s="139">
        <f t="shared" si="15"/>
        <v>0</v>
      </c>
    </row>
    <row r="117" spans="3:12" ht="15.6">
      <c r="C117" s="39" t="str">
        <f t="shared" si="12"/>
        <v/>
      </c>
      <c r="D117" s="54" t="s">
        <v>87</v>
      </c>
      <c r="E117" s="140">
        <f>SUM(E67:E116)</f>
        <v>376.43915231999995</v>
      </c>
      <c r="F117" s="141">
        <f t="shared" ref="F117:L117" si="16">SUM(F67:F116)</f>
        <v>103.04713686146876</v>
      </c>
      <c r="G117" s="141">
        <f t="shared" si="16"/>
        <v>153.09167159559647</v>
      </c>
      <c r="H117" s="141">
        <f t="shared" si="16"/>
        <v>144.48500000000001</v>
      </c>
      <c r="I117" s="141">
        <f t="shared" si="16"/>
        <v>85.944427791425255</v>
      </c>
      <c r="J117" s="141">
        <f t="shared" si="16"/>
        <v>58.957877464917729</v>
      </c>
      <c r="K117" s="141">
        <f t="shared" si="16"/>
        <v>49.524617070530894</v>
      </c>
      <c r="L117" s="142">
        <f t="shared" si="16"/>
        <v>43.12</v>
      </c>
    </row>
    <row r="118" spans="3:12" ht="16.2" thickBot="1">
      <c r="C118" s="39" t="str">
        <f t="shared" si="12"/>
        <v/>
      </c>
      <c r="D118" s="46" t="s">
        <v>88</v>
      </c>
      <c r="E118" s="47"/>
      <c r="F118" s="50">
        <f t="shared" ref="F118:G118" si="17">IF(E117*F117=0, "", F117/E117-1)</f>
        <v>-0.72625818481848192</v>
      </c>
      <c r="G118" s="50">
        <f t="shared" si="17"/>
        <v>0.4856470180380168</v>
      </c>
      <c r="H118" s="50">
        <f>IF(G117*H117=0, "", H117/G117-1)</f>
        <v>-5.6219071265559362E-2</v>
      </c>
      <c r="I118" s="50">
        <f t="shared" ref="I118:L118" si="18">IF(H117*I117=0, "", I117/H117-1)</f>
        <v>-0.40516712605858574</v>
      </c>
      <c r="J118" s="50">
        <f t="shared" si="18"/>
        <v>-0.31399999999999995</v>
      </c>
      <c r="K118" s="50">
        <f t="shared" si="18"/>
        <v>-0.15999999999999992</v>
      </c>
      <c r="L118" s="51">
        <f t="shared" si="18"/>
        <v>-0.129321889786845</v>
      </c>
    </row>
    <row r="119" spans="3:12" ht="15.6">
      <c r="C119"/>
      <c r="D119" s="49"/>
      <c r="E119" s="55"/>
      <c r="F119" s="56"/>
      <c r="G119" s="56"/>
      <c r="H119" s="56"/>
      <c r="I119" s="56"/>
      <c r="J119" s="56"/>
      <c r="K119" s="56"/>
      <c r="L119" s="56"/>
    </row>
    <row r="120" spans="3:12" ht="14.4" thickBot="1">
      <c r="C120"/>
    </row>
    <row r="121" spans="3:12" ht="15" thickBot="1">
      <c r="C121" s="57" t="str">
        <f>IF(SUM(E173:L173)=0, "H", "")</f>
        <v/>
      </c>
      <c r="D121" s="52" t="str">
        <f>Parameter!G10</f>
        <v>2x AMOLED</v>
      </c>
    </row>
    <row r="122" spans="3:12" ht="16.2" thickBot="1">
      <c r="C122" s="57" t="str">
        <f>IF(SUM(E173:L173)=0, "H", "")</f>
        <v/>
      </c>
      <c r="D122" s="40" t="s">
        <v>85</v>
      </c>
      <c r="E122" s="41" t="str">
        <f t="shared" ref="E122:L122" si="19">E10</f>
        <v>2022</v>
      </c>
      <c r="F122" s="42" t="str">
        <f t="shared" si="19"/>
        <v>2023</v>
      </c>
      <c r="G122" s="42" t="str">
        <f t="shared" si="19"/>
        <v>2024</v>
      </c>
      <c r="H122" s="42">
        <f t="shared" si="19"/>
        <v>2025</v>
      </c>
      <c r="I122" s="42" t="str">
        <f t="shared" si="19"/>
        <v>2026</v>
      </c>
      <c r="J122" s="42" t="str">
        <f t="shared" si="19"/>
        <v>2027</v>
      </c>
      <c r="K122" s="42" t="str">
        <f t="shared" si="19"/>
        <v>2028</v>
      </c>
      <c r="L122" s="43" t="str">
        <f t="shared" si="19"/>
        <v>2029</v>
      </c>
    </row>
    <row r="123" spans="3:12" ht="15.6" hidden="1">
      <c r="C123" s="39" t="str">
        <f>IF(SUM(E123:L123)=0, "H", "")</f>
        <v>H</v>
      </c>
      <c r="D123" s="44" t="str">
        <f>Parameter!C$8</f>
        <v>5K VR</v>
      </c>
      <c r="E123" s="134">
        <f t="shared" ref="E123:L132" si="20">SUMIF(ARVR_Y_PC_PR, "VR_"&amp;E$122&amp;"_"&amp;$D$121&amp;"_"&amp;$D123, PanelRev)</f>
        <v>0</v>
      </c>
      <c r="F123" s="135">
        <f t="shared" si="20"/>
        <v>0</v>
      </c>
      <c r="G123" s="135">
        <f t="shared" si="20"/>
        <v>0</v>
      </c>
      <c r="H123" s="135">
        <f t="shared" si="20"/>
        <v>0</v>
      </c>
      <c r="I123" s="135">
        <f t="shared" si="20"/>
        <v>0</v>
      </c>
      <c r="J123" s="135">
        <f t="shared" si="20"/>
        <v>0</v>
      </c>
      <c r="K123" s="135">
        <f t="shared" si="20"/>
        <v>0</v>
      </c>
      <c r="L123" s="136">
        <f t="shared" si="20"/>
        <v>0</v>
      </c>
    </row>
    <row r="124" spans="3:12" ht="15.6" hidden="1">
      <c r="C124" s="39" t="str">
        <f t="shared" ref="C124:C174" si="21">IF(SUM(E124:L124)=0, "H", "")</f>
        <v>H</v>
      </c>
      <c r="D124" s="44" t="str">
        <f>Parameter!C$9</f>
        <v>Aero</v>
      </c>
      <c r="E124" s="134">
        <f t="shared" si="20"/>
        <v>0</v>
      </c>
      <c r="F124" s="135">
        <f t="shared" si="20"/>
        <v>0</v>
      </c>
      <c r="G124" s="135">
        <f t="shared" si="20"/>
        <v>0</v>
      </c>
      <c r="H124" s="135">
        <f t="shared" si="20"/>
        <v>0</v>
      </c>
      <c r="I124" s="135">
        <f t="shared" si="20"/>
        <v>0</v>
      </c>
      <c r="J124" s="135">
        <f t="shared" si="20"/>
        <v>0</v>
      </c>
      <c r="K124" s="135">
        <f t="shared" si="20"/>
        <v>0</v>
      </c>
      <c r="L124" s="136">
        <f t="shared" si="20"/>
        <v>0</v>
      </c>
    </row>
    <row r="125" spans="3:12" ht="15.6" hidden="1">
      <c r="C125" s="39" t="str">
        <f t="shared" si="21"/>
        <v>H</v>
      </c>
      <c r="D125" s="45" t="str">
        <f>Parameter!C$10</f>
        <v>Beyond</v>
      </c>
      <c r="E125" s="134">
        <f t="shared" si="20"/>
        <v>0</v>
      </c>
      <c r="F125" s="135">
        <f t="shared" si="20"/>
        <v>0</v>
      </c>
      <c r="G125" s="135">
        <f t="shared" si="20"/>
        <v>0</v>
      </c>
      <c r="H125" s="135">
        <f t="shared" si="20"/>
        <v>0</v>
      </c>
      <c r="I125" s="135">
        <f t="shared" si="20"/>
        <v>0</v>
      </c>
      <c r="J125" s="135">
        <f t="shared" si="20"/>
        <v>0</v>
      </c>
      <c r="K125" s="135">
        <f t="shared" si="20"/>
        <v>0</v>
      </c>
      <c r="L125" s="136">
        <f t="shared" si="20"/>
        <v>0</v>
      </c>
    </row>
    <row r="126" spans="3:12" ht="15.6" hidden="1">
      <c r="C126" s="39" t="str">
        <f t="shared" si="21"/>
        <v>H</v>
      </c>
      <c r="D126" s="45" t="str">
        <f>Parameter!C$11</f>
        <v>Bionic models</v>
      </c>
      <c r="E126" s="134">
        <f t="shared" si="20"/>
        <v>0</v>
      </c>
      <c r="F126" s="135">
        <f t="shared" si="20"/>
        <v>0</v>
      </c>
      <c r="G126" s="135">
        <f t="shared" si="20"/>
        <v>0</v>
      </c>
      <c r="H126" s="135">
        <f t="shared" si="20"/>
        <v>0</v>
      </c>
      <c r="I126" s="135">
        <f t="shared" si="20"/>
        <v>0</v>
      </c>
      <c r="J126" s="135">
        <f t="shared" si="20"/>
        <v>0</v>
      </c>
      <c r="K126" s="135">
        <f t="shared" si="20"/>
        <v>0</v>
      </c>
      <c r="L126" s="136">
        <f t="shared" si="20"/>
        <v>0</v>
      </c>
    </row>
    <row r="127" spans="3:12" ht="15.6" hidden="1">
      <c r="C127" s="39" t="str">
        <f t="shared" si="21"/>
        <v>H</v>
      </c>
      <c r="D127" s="45" t="str">
        <f>Parameter!C$12</f>
        <v>Dual LCD VR headset</v>
      </c>
      <c r="E127" s="134">
        <f t="shared" si="20"/>
        <v>0</v>
      </c>
      <c r="F127" s="135">
        <f t="shared" si="20"/>
        <v>0</v>
      </c>
      <c r="G127" s="135">
        <f t="shared" si="20"/>
        <v>0</v>
      </c>
      <c r="H127" s="135">
        <f t="shared" si="20"/>
        <v>0</v>
      </c>
      <c r="I127" s="135">
        <f t="shared" si="20"/>
        <v>0</v>
      </c>
      <c r="J127" s="135">
        <f t="shared" si="20"/>
        <v>0</v>
      </c>
      <c r="K127" s="135">
        <f t="shared" si="20"/>
        <v>0</v>
      </c>
      <c r="L127" s="136">
        <f t="shared" si="20"/>
        <v>0</v>
      </c>
    </row>
    <row r="128" spans="3:12" ht="15.6" hidden="1">
      <c r="C128" s="39" t="str">
        <f t="shared" si="21"/>
        <v>H</v>
      </c>
      <c r="D128" s="45" t="str">
        <f>Parameter!C$13</f>
        <v>Dual SiOLED headset</v>
      </c>
      <c r="E128" s="134">
        <f t="shared" si="20"/>
        <v>0</v>
      </c>
      <c r="F128" s="135">
        <f t="shared" si="20"/>
        <v>0</v>
      </c>
      <c r="G128" s="135">
        <f t="shared" si="20"/>
        <v>0</v>
      </c>
      <c r="H128" s="135">
        <f t="shared" si="20"/>
        <v>0</v>
      </c>
      <c r="I128" s="135">
        <f t="shared" si="20"/>
        <v>0</v>
      </c>
      <c r="J128" s="135">
        <f t="shared" si="20"/>
        <v>0</v>
      </c>
      <c r="K128" s="135">
        <f t="shared" si="20"/>
        <v>0</v>
      </c>
      <c r="L128" s="136">
        <f t="shared" si="20"/>
        <v>0</v>
      </c>
    </row>
    <row r="129" spans="3:12" ht="15.6" hidden="1">
      <c r="C129" s="39" t="str">
        <f t="shared" si="21"/>
        <v>H</v>
      </c>
      <c r="D129" s="45" t="str">
        <f>Parameter!C$14</f>
        <v>Index</v>
      </c>
      <c r="E129" s="134">
        <f t="shared" si="20"/>
        <v>0</v>
      </c>
      <c r="F129" s="135">
        <f t="shared" si="20"/>
        <v>0</v>
      </c>
      <c r="G129" s="135">
        <f t="shared" si="20"/>
        <v>0</v>
      </c>
      <c r="H129" s="135">
        <f t="shared" si="20"/>
        <v>0</v>
      </c>
      <c r="I129" s="135">
        <f t="shared" si="20"/>
        <v>0</v>
      </c>
      <c r="J129" s="135">
        <f t="shared" si="20"/>
        <v>0</v>
      </c>
      <c r="K129" s="135">
        <f t="shared" si="20"/>
        <v>0</v>
      </c>
      <c r="L129" s="136">
        <f t="shared" si="20"/>
        <v>0</v>
      </c>
    </row>
    <row r="130" spans="3:12" ht="15.6" hidden="1">
      <c r="C130" s="39" t="str">
        <f t="shared" si="21"/>
        <v>H</v>
      </c>
      <c r="D130" s="45" t="str">
        <f>Parameter!C$15</f>
        <v>MeganeX</v>
      </c>
      <c r="E130" s="134">
        <f t="shared" si="20"/>
        <v>0</v>
      </c>
      <c r="F130" s="135">
        <f t="shared" si="20"/>
        <v>0</v>
      </c>
      <c r="G130" s="135">
        <f t="shared" si="20"/>
        <v>0</v>
      </c>
      <c r="H130" s="135">
        <f t="shared" si="20"/>
        <v>0</v>
      </c>
      <c r="I130" s="135">
        <f t="shared" si="20"/>
        <v>0</v>
      </c>
      <c r="J130" s="135">
        <f t="shared" si="20"/>
        <v>0</v>
      </c>
      <c r="K130" s="135">
        <f t="shared" si="20"/>
        <v>0</v>
      </c>
      <c r="L130" s="136">
        <f t="shared" si="20"/>
        <v>0</v>
      </c>
    </row>
    <row r="131" spans="3:12" ht="15.6" hidden="1">
      <c r="C131" s="39" t="str">
        <f t="shared" si="21"/>
        <v>H</v>
      </c>
      <c r="D131" s="45" t="str">
        <f>Parameter!C$16</f>
        <v>MeganeX Superlight 8K</v>
      </c>
      <c r="E131" s="134">
        <f t="shared" si="20"/>
        <v>0</v>
      </c>
      <c r="F131" s="135">
        <f t="shared" si="20"/>
        <v>0</v>
      </c>
      <c r="G131" s="135">
        <f t="shared" si="20"/>
        <v>0</v>
      </c>
      <c r="H131" s="135">
        <f t="shared" si="20"/>
        <v>0</v>
      </c>
      <c r="I131" s="135">
        <f t="shared" si="20"/>
        <v>0</v>
      </c>
      <c r="J131" s="135">
        <f t="shared" si="20"/>
        <v>0</v>
      </c>
      <c r="K131" s="135">
        <f t="shared" si="20"/>
        <v>0</v>
      </c>
      <c r="L131" s="136">
        <f t="shared" si="20"/>
        <v>0</v>
      </c>
    </row>
    <row r="132" spans="3:12" ht="15.6" hidden="1">
      <c r="C132" s="39" t="str">
        <f t="shared" si="21"/>
        <v>H</v>
      </c>
      <c r="D132" s="45" t="str">
        <f>Parameter!C$17</f>
        <v>Neo 3 / G3</v>
      </c>
      <c r="E132" s="134">
        <f t="shared" si="20"/>
        <v>0</v>
      </c>
      <c r="F132" s="135">
        <f t="shared" si="20"/>
        <v>0</v>
      </c>
      <c r="G132" s="135">
        <f t="shared" si="20"/>
        <v>0</v>
      </c>
      <c r="H132" s="135">
        <f t="shared" si="20"/>
        <v>0</v>
      </c>
      <c r="I132" s="135">
        <f t="shared" si="20"/>
        <v>0</v>
      </c>
      <c r="J132" s="135">
        <f t="shared" si="20"/>
        <v>0</v>
      </c>
      <c r="K132" s="135">
        <f t="shared" si="20"/>
        <v>0</v>
      </c>
      <c r="L132" s="136">
        <f t="shared" si="20"/>
        <v>0</v>
      </c>
    </row>
    <row r="133" spans="3:12" ht="15.6">
      <c r="C133" s="39" t="str">
        <f t="shared" si="21"/>
        <v/>
      </c>
      <c r="D133" s="45" t="str">
        <f>Parameter!C$18</f>
        <v>OLED VR headset</v>
      </c>
      <c r="E133" s="134">
        <f t="shared" ref="E133:L142" si="22">SUMIF(ARVR_Y_PC_PR, "VR_"&amp;E$122&amp;"_"&amp;$D$121&amp;"_"&amp;$D133, PanelRev)</f>
        <v>0</v>
      </c>
      <c r="F133" s="135">
        <f t="shared" si="22"/>
        <v>0</v>
      </c>
      <c r="G133" s="135">
        <f t="shared" si="22"/>
        <v>0</v>
      </c>
      <c r="H133" s="135">
        <f t="shared" si="22"/>
        <v>0</v>
      </c>
      <c r="I133" s="135">
        <f t="shared" si="22"/>
        <v>3.4628422212676191</v>
      </c>
      <c r="J133" s="135">
        <f t="shared" si="22"/>
        <v>44.820874338991757</v>
      </c>
      <c r="K133" s="135">
        <f t="shared" si="22"/>
        <v>92.054241264574003</v>
      </c>
      <c r="L133" s="136">
        <f t="shared" si="22"/>
        <v>93.875190437595279</v>
      </c>
    </row>
    <row r="134" spans="3:12" ht="15.6" hidden="1">
      <c r="C134" s="39" t="str">
        <f t="shared" si="21"/>
        <v>H</v>
      </c>
      <c r="D134" s="45" t="str">
        <f>Parameter!C$19</f>
        <v>P1 family</v>
      </c>
      <c r="E134" s="134">
        <f t="shared" si="22"/>
        <v>0</v>
      </c>
      <c r="F134" s="135">
        <f t="shared" si="22"/>
        <v>0</v>
      </c>
      <c r="G134" s="135">
        <f t="shared" si="22"/>
        <v>0</v>
      </c>
      <c r="H134" s="135">
        <f t="shared" si="22"/>
        <v>0</v>
      </c>
      <c r="I134" s="135">
        <f t="shared" si="22"/>
        <v>0</v>
      </c>
      <c r="J134" s="135">
        <f t="shared" si="22"/>
        <v>0</v>
      </c>
      <c r="K134" s="135">
        <f t="shared" si="22"/>
        <v>0</v>
      </c>
      <c r="L134" s="136">
        <f t="shared" si="22"/>
        <v>0</v>
      </c>
    </row>
    <row r="135" spans="3:12" ht="15.6" hidden="1">
      <c r="C135" s="39" t="str">
        <f t="shared" si="21"/>
        <v>H</v>
      </c>
      <c r="D135" s="45" t="str">
        <f>Parameter!C$20</f>
        <v>Pico 4</v>
      </c>
      <c r="E135" s="134">
        <f t="shared" si="22"/>
        <v>0</v>
      </c>
      <c r="F135" s="135">
        <f t="shared" si="22"/>
        <v>0</v>
      </c>
      <c r="G135" s="135">
        <f t="shared" si="22"/>
        <v>0</v>
      </c>
      <c r="H135" s="135">
        <f t="shared" si="22"/>
        <v>0</v>
      </c>
      <c r="I135" s="135">
        <f t="shared" si="22"/>
        <v>0</v>
      </c>
      <c r="J135" s="135">
        <f t="shared" si="22"/>
        <v>0</v>
      </c>
      <c r="K135" s="135">
        <f t="shared" si="22"/>
        <v>0</v>
      </c>
      <c r="L135" s="136">
        <f t="shared" si="22"/>
        <v>0</v>
      </c>
    </row>
    <row r="136" spans="3:12" ht="15.6" hidden="1">
      <c r="C136" s="39" t="str">
        <f t="shared" si="21"/>
        <v>H</v>
      </c>
      <c r="D136" s="45" t="str">
        <f>Parameter!C$21</f>
        <v>Pimax VR</v>
      </c>
      <c r="E136" s="134">
        <f t="shared" si="22"/>
        <v>0</v>
      </c>
      <c r="F136" s="135">
        <f t="shared" si="22"/>
        <v>0</v>
      </c>
      <c r="G136" s="135">
        <f t="shared" si="22"/>
        <v>0</v>
      </c>
      <c r="H136" s="135">
        <f t="shared" si="22"/>
        <v>0</v>
      </c>
      <c r="I136" s="135">
        <f t="shared" si="22"/>
        <v>0</v>
      </c>
      <c r="J136" s="135">
        <f t="shared" si="22"/>
        <v>0</v>
      </c>
      <c r="K136" s="135">
        <f t="shared" si="22"/>
        <v>0</v>
      </c>
      <c r="L136" s="136">
        <f t="shared" si="22"/>
        <v>0</v>
      </c>
    </row>
    <row r="137" spans="3:12" ht="15.6" hidden="1">
      <c r="C137" s="39" t="str">
        <f t="shared" si="21"/>
        <v>H</v>
      </c>
      <c r="D137" s="45" t="str">
        <f>Parameter!C$22</f>
        <v>PlayStation VR</v>
      </c>
      <c r="E137" s="134">
        <f t="shared" si="22"/>
        <v>0</v>
      </c>
      <c r="F137" s="135">
        <f t="shared" si="22"/>
        <v>0</v>
      </c>
      <c r="G137" s="135">
        <f t="shared" si="22"/>
        <v>0</v>
      </c>
      <c r="H137" s="135">
        <f t="shared" si="22"/>
        <v>0</v>
      </c>
      <c r="I137" s="135">
        <f t="shared" si="22"/>
        <v>0</v>
      </c>
      <c r="J137" s="135">
        <f t="shared" si="22"/>
        <v>0</v>
      </c>
      <c r="K137" s="135">
        <f t="shared" si="22"/>
        <v>0</v>
      </c>
      <c r="L137" s="136">
        <f t="shared" si="22"/>
        <v>0</v>
      </c>
    </row>
    <row r="138" spans="3:12" ht="16.2" thickBot="1">
      <c r="C138" s="39" t="str">
        <f t="shared" si="21"/>
        <v/>
      </c>
      <c r="D138" s="45" t="str">
        <f>Parameter!C$23</f>
        <v>PlayStation VR2</v>
      </c>
      <c r="E138" s="134">
        <f t="shared" si="22"/>
        <v>156.024</v>
      </c>
      <c r="F138" s="135">
        <f t="shared" si="22"/>
        <v>80.001319999999993</v>
      </c>
      <c r="G138" s="135">
        <f t="shared" si="22"/>
        <v>0</v>
      </c>
      <c r="H138" s="135">
        <f t="shared" si="22"/>
        <v>0</v>
      </c>
      <c r="I138" s="135">
        <f t="shared" si="22"/>
        <v>0</v>
      </c>
      <c r="J138" s="135">
        <f t="shared" si="22"/>
        <v>0</v>
      </c>
      <c r="K138" s="135">
        <f t="shared" si="22"/>
        <v>0</v>
      </c>
      <c r="L138" s="136">
        <f t="shared" si="22"/>
        <v>0</v>
      </c>
    </row>
    <row r="139" spans="3:12" ht="15.6" hidden="1">
      <c r="C139" s="39" t="str">
        <f t="shared" si="21"/>
        <v>H</v>
      </c>
      <c r="D139" s="45" t="str">
        <f>Parameter!C$24</f>
        <v>Project Moohan</v>
      </c>
      <c r="E139" s="134">
        <f t="shared" si="22"/>
        <v>0</v>
      </c>
      <c r="F139" s="135">
        <f t="shared" si="22"/>
        <v>0</v>
      </c>
      <c r="G139" s="135">
        <f t="shared" si="22"/>
        <v>0</v>
      </c>
      <c r="H139" s="135">
        <f t="shared" si="22"/>
        <v>0</v>
      </c>
      <c r="I139" s="135">
        <f t="shared" si="22"/>
        <v>0</v>
      </c>
      <c r="J139" s="135">
        <f t="shared" si="22"/>
        <v>0</v>
      </c>
      <c r="K139" s="135">
        <f t="shared" si="22"/>
        <v>0</v>
      </c>
      <c r="L139" s="136">
        <f t="shared" si="22"/>
        <v>0</v>
      </c>
    </row>
    <row r="140" spans="3:12" ht="15.6" hidden="1">
      <c r="C140" s="39" t="str">
        <f t="shared" si="21"/>
        <v>H</v>
      </c>
      <c r="D140" s="45" t="str">
        <f>Parameter!C$25</f>
        <v>Quest</v>
      </c>
      <c r="E140" s="134">
        <f t="shared" si="22"/>
        <v>0</v>
      </c>
      <c r="F140" s="135">
        <f t="shared" si="22"/>
        <v>0</v>
      </c>
      <c r="G140" s="135">
        <f t="shared" si="22"/>
        <v>0</v>
      </c>
      <c r="H140" s="135">
        <f t="shared" si="22"/>
        <v>0</v>
      </c>
      <c r="I140" s="135">
        <f t="shared" si="22"/>
        <v>0</v>
      </c>
      <c r="J140" s="135">
        <f t="shared" si="22"/>
        <v>0</v>
      </c>
      <c r="K140" s="135">
        <f t="shared" si="22"/>
        <v>0</v>
      </c>
      <c r="L140" s="136">
        <f t="shared" si="22"/>
        <v>0</v>
      </c>
    </row>
    <row r="141" spans="3:12" ht="15.6" hidden="1">
      <c r="C141" s="39" t="str">
        <f t="shared" si="21"/>
        <v>H</v>
      </c>
      <c r="D141" s="45" t="str">
        <f>Parameter!C$26</f>
        <v>Quest 2</v>
      </c>
      <c r="E141" s="134">
        <f t="shared" si="22"/>
        <v>0</v>
      </c>
      <c r="F141" s="135">
        <f t="shared" si="22"/>
        <v>0</v>
      </c>
      <c r="G141" s="135">
        <f t="shared" si="22"/>
        <v>0</v>
      </c>
      <c r="H141" s="135">
        <f t="shared" si="22"/>
        <v>0</v>
      </c>
      <c r="I141" s="135">
        <f t="shared" si="22"/>
        <v>0</v>
      </c>
      <c r="J141" s="135">
        <f t="shared" si="22"/>
        <v>0</v>
      </c>
      <c r="K141" s="135">
        <f t="shared" si="22"/>
        <v>0</v>
      </c>
      <c r="L141" s="136">
        <f t="shared" si="22"/>
        <v>0</v>
      </c>
    </row>
    <row r="142" spans="3:12" ht="15.6" hidden="1">
      <c r="C142" s="39" t="str">
        <f t="shared" si="21"/>
        <v>H</v>
      </c>
      <c r="D142" s="45" t="str">
        <f>Parameter!C$27</f>
        <v>Quest 3</v>
      </c>
      <c r="E142" s="134">
        <f t="shared" si="22"/>
        <v>0</v>
      </c>
      <c r="F142" s="135">
        <f t="shared" si="22"/>
        <v>0</v>
      </c>
      <c r="G142" s="135">
        <f t="shared" si="22"/>
        <v>0</v>
      </c>
      <c r="H142" s="135">
        <f t="shared" si="22"/>
        <v>0</v>
      </c>
      <c r="I142" s="135">
        <f t="shared" si="22"/>
        <v>0</v>
      </c>
      <c r="J142" s="135">
        <f t="shared" si="22"/>
        <v>0</v>
      </c>
      <c r="K142" s="135">
        <f t="shared" si="22"/>
        <v>0</v>
      </c>
      <c r="L142" s="136">
        <f t="shared" si="22"/>
        <v>0</v>
      </c>
    </row>
    <row r="143" spans="3:12" ht="15.6" hidden="1">
      <c r="C143" s="39" t="str">
        <f t="shared" si="21"/>
        <v>H</v>
      </c>
      <c r="D143" s="45" t="str">
        <f>Parameter!C$28</f>
        <v>Quest 3S</v>
      </c>
      <c r="E143" s="134">
        <f t="shared" ref="E143:L152" si="23">SUMIF(ARVR_Y_PC_PR, "VR_"&amp;E$122&amp;"_"&amp;$D$121&amp;"_"&amp;$D143, PanelRev)</f>
        <v>0</v>
      </c>
      <c r="F143" s="135">
        <f t="shared" si="23"/>
        <v>0</v>
      </c>
      <c r="G143" s="135">
        <f t="shared" si="23"/>
        <v>0</v>
      </c>
      <c r="H143" s="135">
        <f t="shared" si="23"/>
        <v>0</v>
      </c>
      <c r="I143" s="135">
        <f t="shared" si="23"/>
        <v>0</v>
      </c>
      <c r="J143" s="135">
        <f t="shared" si="23"/>
        <v>0</v>
      </c>
      <c r="K143" s="135">
        <f t="shared" si="23"/>
        <v>0</v>
      </c>
      <c r="L143" s="136">
        <f t="shared" si="23"/>
        <v>0</v>
      </c>
    </row>
    <row r="144" spans="3:12" ht="15.6" hidden="1">
      <c r="C144" s="39" t="str">
        <f t="shared" si="21"/>
        <v>H</v>
      </c>
      <c r="D144" s="45" t="str">
        <f>Parameter!C$29</f>
        <v>Quest Pro</v>
      </c>
      <c r="E144" s="134">
        <f t="shared" si="23"/>
        <v>0</v>
      </c>
      <c r="F144" s="135">
        <f t="shared" si="23"/>
        <v>0</v>
      </c>
      <c r="G144" s="135">
        <f t="shared" si="23"/>
        <v>0</v>
      </c>
      <c r="H144" s="135">
        <f t="shared" si="23"/>
        <v>0</v>
      </c>
      <c r="I144" s="135">
        <f t="shared" si="23"/>
        <v>0</v>
      </c>
      <c r="J144" s="135">
        <f t="shared" si="23"/>
        <v>0</v>
      </c>
      <c r="K144" s="135">
        <f t="shared" si="23"/>
        <v>0</v>
      </c>
      <c r="L144" s="136">
        <f t="shared" si="23"/>
        <v>0</v>
      </c>
    </row>
    <row r="145" spans="3:12" ht="15.6" hidden="1">
      <c r="C145" s="39" t="str">
        <f t="shared" si="21"/>
        <v>H</v>
      </c>
      <c r="D145" s="45" t="str">
        <f>Parameter!C$30</f>
        <v>R1</v>
      </c>
      <c r="E145" s="134">
        <f t="shared" si="23"/>
        <v>0</v>
      </c>
      <c r="F145" s="135">
        <f t="shared" si="23"/>
        <v>0</v>
      </c>
      <c r="G145" s="135">
        <f t="shared" si="23"/>
        <v>0</v>
      </c>
      <c r="H145" s="135">
        <f t="shared" si="23"/>
        <v>0</v>
      </c>
      <c r="I145" s="135">
        <f t="shared" si="23"/>
        <v>0</v>
      </c>
      <c r="J145" s="135">
        <f t="shared" si="23"/>
        <v>0</v>
      </c>
      <c r="K145" s="135">
        <f t="shared" si="23"/>
        <v>0</v>
      </c>
      <c r="L145" s="136">
        <f t="shared" si="23"/>
        <v>0</v>
      </c>
    </row>
    <row r="146" spans="3:12" ht="15.6" hidden="1">
      <c r="C146" s="39" t="str">
        <f t="shared" si="21"/>
        <v>H</v>
      </c>
      <c r="D146" s="45" t="str">
        <f>Parameter!C$31</f>
        <v>Reverb</v>
      </c>
      <c r="E146" s="134">
        <f t="shared" si="23"/>
        <v>0</v>
      </c>
      <c r="F146" s="135">
        <f t="shared" si="23"/>
        <v>0</v>
      </c>
      <c r="G146" s="135">
        <f t="shared" si="23"/>
        <v>0</v>
      </c>
      <c r="H146" s="135">
        <f t="shared" si="23"/>
        <v>0</v>
      </c>
      <c r="I146" s="135">
        <f t="shared" si="23"/>
        <v>0</v>
      </c>
      <c r="J146" s="135">
        <f t="shared" si="23"/>
        <v>0</v>
      </c>
      <c r="K146" s="135">
        <f t="shared" si="23"/>
        <v>0</v>
      </c>
      <c r="L146" s="136">
        <f t="shared" si="23"/>
        <v>0</v>
      </c>
    </row>
    <row r="147" spans="3:12" ht="15.6" hidden="1">
      <c r="C147" s="39" t="str">
        <f t="shared" si="21"/>
        <v>H</v>
      </c>
      <c r="D147" s="45" t="str">
        <f>Parameter!C$32</f>
        <v>Reverb G2</v>
      </c>
      <c r="E147" s="134">
        <f t="shared" si="23"/>
        <v>0</v>
      </c>
      <c r="F147" s="135">
        <f t="shared" si="23"/>
        <v>0</v>
      </c>
      <c r="G147" s="135">
        <f t="shared" si="23"/>
        <v>0</v>
      </c>
      <c r="H147" s="135">
        <f t="shared" si="23"/>
        <v>0</v>
      </c>
      <c r="I147" s="135">
        <f t="shared" si="23"/>
        <v>0</v>
      </c>
      <c r="J147" s="135">
        <f t="shared" si="23"/>
        <v>0</v>
      </c>
      <c r="K147" s="135">
        <f t="shared" si="23"/>
        <v>0</v>
      </c>
      <c r="L147" s="136">
        <f t="shared" si="23"/>
        <v>0</v>
      </c>
    </row>
    <row r="148" spans="3:12" ht="15.6" hidden="1">
      <c r="C148" s="39" t="str">
        <f t="shared" si="21"/>
        <v>H</v>
      </c>
      <c r="D148" s="45" t="str">
        <f>Parameter!C$33</f>
        <v>Rift S</v>
      </c>
      <c r="E148" s="134">
        <f t="shared" si="23"/>
        <v>0</v>
      </c>
      <c r="F148" s="135">
        <f t="shared" si="23"/>
        <v>0</v>
      </c>
      <c r="G148" s="135">
        <f t="shared" si="23"/>
        <v>0</v>
      </c>
      <c r="H148" s="135">
        <f t="shared" si="23"/>
        <v>0</v>
      </c>
      <c r="I148" s="135">
        <f t="shared" si="23"/>
        <v>0</v>
      </c>
      <c r="J148" s="135">
        <f t="shared" si="23"/>
        <v>0</v>
      </c>
      <c r="K148" s="135">
        <f t="shared" si="23"/>
        <v>0</v>
      </c>
      <c r="L148" s="136">
        <f t="shared" si="23"/>
        <v>0</v>
      </c>
    </row>
    <row r="149" spans="3:12" ht="15.6" hidden="1">
      <c r="C149" s="39" t="str">
        <f t="shared" si="21"/>
        <v>H</v>
      </c>
      <c r="D149" s="45" t="str">
        <f>Parameter!C$34</f>
        <v>Single LCD VR headset</v>
      </c>
      <c r="E149" s="134">
        <f t="shared" si="23"/>
        <v>0</v>
      </c>
      <c r="F149" s="135">
        <f t="shared" si="23"/>
        <v>0</v>
      </c>
      <c r="G149" s="135">
        <f t="shared" si="23"/>
        <v>0</v>
      </c>
      <c r="H149" s="135">
        <f t="shared" si="23"/>
        <v>0</v>
      </c>
      <c r="I149" s="135">
        <f t="shared" si="23"/>
        <v>0</v>
      </c>
      <c r="J149" s="135">
        <f t="shared" si="23"/>
        <v>0</v>
      </c>
      <c r="K149" s="135">
        <f t="shared" si="23"/>
        <v>0</v>
      </c>
      <c r="L149" s="136">
        <f t="shared" si="23"/>
        <v>0</v>
      </c>
    </row>
    <row r="150" spans="3:12" ht="15.6" hidden="1">
      <c r="C150" s="39" t="str">
        <f t="shared" si="21"/>
        <v>H</v>
      </c>
      <c r="D150" s="45" t="str">
        <f>Parameter!C$35</f>
        <v>ThinkReality VRX</v>
      </c>
      <c r="E150" s="134">
        <f t="shared" si="23"/>
        <v>0</v>
      </c>
      <c r="F150" s="135">
        <f t="shared" si="23"/>
        <v>0</v>
      </c>
      <c r="G150" s="135">
        <f t="shared" si="23"/>
        <v>0</v>
      </c>
      <c r="H150" s="135">
        <f t="shared" si="23"/>
        <v>0</v>
      </c>
      <c r="I150" s="135">
        <f t="shared" si="23"/>
        <v>0</v>
      </c>
      <c r="J150" s="135">
        <f t="shared" si="23"/>
        <v>0</v>
      </c>
      <c r="K150" s="135">
        <f t="shared" si="23"/>
        <v>0</v>
      </c>
      <c r="L150" s="136">
        <f t="shared" si="23"/>
        <v>0</v>
      </c>
    </row>
    <row r="151" spans="3:12" ht="15.6" hidden="1">
      <c r="C151" s="39" t="str">
        <f t="shared" si="21"/>
        <v>H</v>
      </c>
      <c r="D151" s="45" t="str">
        <f>Parameter!C$36</f>
        <v>Vision Pro</v>
      </c>
      <c r="E151" s="134">
        <f t="shared" si="23"/>
        <v>0</v>
      </c>
      <c r="F151" s="135">
        <f t="shared" si="23"/>
        <v>0</v>
      </c>
      <c r="G151" s="135">
        <f t="shared" si="23"/>
        <v>0</v>
      </c>
      <c r="H151" s="135">
        <f t="shared" si="23"/>
        <v>0</v>
      </c>
      <c r="I151" s="135">
        <f t="shared" si="23"/>
        <v>0</v>
      </c>
      <c r="J151" s="135">
        <f t="shared" si="23"/>
        <v>0</v>
      </c>
      <c r="K151" s="135">
        <f t="shared" si="23"/>
        <v>0</v>
      </c>
      <c r="L151" s="136">
        <f t="shared" si="23"/>
        <v>0</v>
      </c>
    </row>
    <row r="152" spans="3:12" ht="15.6" hidden="1">
      <c r="C152" s="39" t="str">
        <f t="shared" si="21"/>
        <v>H</v>
      </c>
      <c r="D152" s="45" t="str">
        <f>Parameter!C$37</f>
        <v>Vive LCD headsets</v>
      </c>
      <c r="E152" s="134">
        <f t="shared" si="23"/>
        <v>0</v>
      </c>
      <c r="F152" s="135">
        <f t="shared" si="23"/>
        <v>0</v>
      </c>
      <c r="G152" s="135">
        <f t="shared" si="23"/>
        <v>0</v>
      </c>
      <c r="H152" s="135">
        <f t="shared" si="23"/>
        <v>0</v>
      </c>
      <c r="I152" s="135">
        <f t="shared" si="23"/>
        <v>0</v>
      </c>
      <c r="J152" s="135">
        <f t="shared" si="23"/>
        <v>0</v>
      </c>
      <c r="K152" s="135">
        <f t="shared" si="23"/>
        <v>0</v>
      </c>
      <c r="L152" s="136">
        <f t="shared" si="23"/>
        <v>0</v>
      </c>
    </row>
    <row r="153" spans="3:12" ht="15.6" hidden="1">
      <c r="C153" s="39" t="str">
        <f t="shared" si="21"/>
        <v>H</v>
      </c>
      <c r="D153" s="45" t="str">
        <f>Parameter!C$38</f>
        <v>VR1</v>
      </c>
      <c r="E153" s="134">
        <f t="shared" ref="E153:L162" si="24">SUMIF(ARVR_Y_PC_PR, "VR_"&amp;E$122&amp;"_"&amp;$D$121&amp;"_"&amp;$D153, PanelRev)</f>
        <v>0</v>
      </c>
      <c r="F153" s="135">
        <f t="shared" si="24"/>
        <v>0</v>
      </c>
      <c r="G153" s="135">
        <f t="shared" si="24"/>
        <v>0</v>
      </c>
      <c r="H153" s="135">
        <f t="shared" si="24"/>
        <v>0</v>
      </c>
      <c r="I153" s="135">
        <f t="shared" si="24"/>
        <v>0</v>
      </c>
      <c r="J153" s="135">
        <f t="shared" si="24"/>
        <v>0</v>
      </c>
      <c r="K153" s="135">
        <f t="shared" si="24"/>
        <v>0</v>
      </c>
      <c r="L153" s="136">
        <f t="shared" si="24"/>
        <v>0</v>
      </c>
    </row>
    <row r="154" spans="3:12" ht="15.6" hidden="1">
      <c r="C154" s="39" t="str">
        <f t="shared" si="21"/>
        <v>H</v>
      </c>
      <c r="D154" s="45" t="str">
        <f>Parameter!C$39</f>
        <v>XR-4</v>
      </c>
      <c r="E154" s="134">
        <f t="shared" si="24"/>
        <v>0</v>
      </c>
      <c r="F154" s="135">
        <f t="shared" si="24"/>
        <v>0</v>
      </c>
      <c r="G154" s="135">
        <f t="shared" si="24"/>
        <v>0</v>
      </c>
      <c r="H154" s="135">
        <f t="shared" si="24"/>
        <v>0</v>
      </c>
      <c r="I154" s="135">
        <f t="shared" si="24"/>
        <v>0</v>
      </c>
      <c r="J154" s="135">
        <f t="shared" si="24"/>
        <v>0</v>
      </c>
      <c r="K154" s="135">
        <f t="shared" si="24"/>
        <v>0</v>
      </c>
      <c r="L154" s="136">
        <f t="shared" si="24"/>
        <v>0</v>
      </c>
    </row>
    <row r="155" spans="3:12" ht="15.6" hidden="1">
      <c r="C155" s="39" t="str">
        <f t="shared" si="21"/>
        <v>H</v>
      </c>
      <c r="D155" s="45">
        <f>Parameter!C$40</f>
        <v>0</v>
      </c>
      <c r="E155" s="134">
        <f t="shared" si="24"/>
        <v>0</v>
      </c>
      <c r="F155" s="135">
        <f t="shared" si="24"/>
        <v>0</v>
      </c>
      <c r="G155" s="135">
        <f t="shared" si="24"/>
        <v>0</v>
      </c>
      <c r="H155" s="135">
        <f t="shared" si="24"/>
        <v>0</v>
      </c>
      <c r="I155" s="135">
        <f t="shared" si="24"/>
        <v>0</v>
      </c>
      <c r="J155" s="135">
        <f t="shared" si="24"/>
        <v>0</v>
      </c>
      <c r="K155" s="135">
        <f t="shared" si="24"/>
        <v>0</v>
      </c>
      <c r="L155" s="136">
        <f t="shared" si="24"/>
        <v>0</v>
      </c>
    </row>
    <row r="156" spans="3:12" ht="15.6" hidden="1">
      <c r="C156" s="39" t="str">
        <f t="shared" si="21"/>
        <v>H</v>
      </c>
      <c r="D156" s="45">
        <f>Parameter!C$41</f>
        <v>0</v>
      </c>
      <c r="E156" s="134">
        <f t="shared" si="24"/>
        <v>0</v>
      </c>
      <c r="F156" s="135">
        <f t="shared" si="24"/>
        <v>0</v>
      </c>
      <c r="G156" s="135">
        <f t="shared" si="24"/>
        <v>0</v>
      </c>
      <c r="H156" s="135">
        <f t="shared" si="24"/>
        <v>0</v>
      </c>
      <c r="I156" s="135">
        <f t="shared" si="24"/>
        <v>0</v>
      </c>
      <c r="J156" s="135">
        <f t="shared" si="24"/>
        <v>0</v>
      </c>
      <c r="K156" s="135">
        <f t="shared" si="24"/>
        <v>0</v>
      </c>
      <c r="L156" s="136">
        <f t="shared" si="24"/>
        <v>0</v>
      </c>
    </row>
    <row r="157" spans="3:12" ht="15.6" hidden="1">
      <c r="C157" s="39" t="str">
        <f t="shared" si="21"/>
        <v>H</v>
      </c>
      <c r="D157" s="45">
        <f>Parameter!C$42</f>
        <v>0</v>
      </c>
      <c r="E157" s="134">
        <f t="shared" si="24"/>
        <v>0</v>
      </c>
      <c r="F157" s="135">
        <f t="shared" si="24"/>
        <v>0</v>
      </c>
      <c r="G157" s="135">
        <f t="shared" si="24"/>
        <v>0</v>
      </c>
      <c r="H157" s="135">
        <f t="shared" si="24"/>
        <v>0</v>
      </c>
      <c r="I157" s="135">
        <f t="shared" si="24"/>
        <v>0</v>
      </c>
      <c r="J157" s="135">
        <f t="shared" si="24"/>
        <v>0</v>
      </c>
      <c r="K157" s="135">
        <f t="shared" si="24"/>
        <v>0</v>
      </c>
      <c r="L157" s="136">
        <f t="shared" si="24"/>
        <v>0</v>
      </c>
    </row>
    <row r="158" spans="3:12" ht="15.6" hidden="1">
      <c r="C158" s="39" t="str">
        <f t="shared" si="21"/>
        <v>H</v>
      </c>
      <c r="D158" s="45">
        <f>Parameter!C$43</f>
        <v>0</v>
      </c>
      <c r="E158" s="134">
        <f t="shared" si="24"/>
        <v>0</v>
      </c>
      <c r="F158" s="135">
        <f t="shared" si="24"/>
        <v>0</v>
      </c>
      <c r="G158" s="135">
        <f t="shared" si="24"/>
        <v>0</v>
      </c>
      <c r="H158" s="135">
        <f t="shared" si="24"/>
        <v>0</v>
      </c>
      <c r="I158" s="135">
        <f t="shared" si="24"/>
        <v>0</v>
      </c>
      <c r="J158" s="135">
        <f t="shared" si="24"/>
        <v>0</v>
      </c>
      <c r="K158" s="135">
        <f t="shared" si="24"/>
        <v>0</v>
      </c>
      <c r="L158" s="136">
        <f t="shared" si="24"/>
        <v>0</v>
      </c>
    </row>
    <row r="159" spans="3:12" ht="15.6" hidden="1">
      <c r="C159" s="39" t="str">
        <f t="shared" si="21"/>
        <v>H</v>
      </c>
      <c r="D159" s="45">
        <f>Parameter!C$44</f>
        <v>0</v>
      </c>
      <c r="E159" s="134">
        <f t="shared" si="24"/>
        <v>0</v>
      </c>
      <c r="F159" s="135">
        <f t="shared" si="24"/>
        <v>0</v>
      </c>
      <c r="G159" s="135">
        <f t="shared" si="24"/>
        <v>0</v>
      </c>
      <c r="H159" s="135">
        <f t="shared" si="24"/>
        <v>0</v>
      </c>
      <c r="I159" s="135">
        <f t="shared" si="24"/>
        <v>0</v>
      </c>
      <c r="J159" s="135">
        <f t="shared" si="24"/>
        <v>0</v>
      </c>
      <c r="K159" s="135">
        <f t="shared" si="24"/>
        <v>0</v>
      </c>
      <c r="L159" s="136">
        <f t="shared" si="24"/>
        <v>0</v>
      </c>
    </row>
    <row r="160" spans="3:12" ht="15.6" hidden="1">
      <c r="C160" s="39" t="str">
        <f t="shared" si="21"/>
        <v>H</v>
      </c>
      <c r="D160" s="45">
        <f>Parameter!C$45</f>
        <v>0</v>
      </c>
      <c r="E160" s="134">
        <f t="shared" si="24"/>
        <v>0</v>
      </c>
      <c r="F160" s="135">
        <f t="shared" si="24"/>
        <v>0</v>
      </c>
      <c r="G160" s="135">
        <f t="shared" si="24"/>
        <v>0</v>
      </c>
      <c r="H160" s="135">
        <f t="shared" si="24"/>
        <v>0</v>
      </c>
      <c r="I160" s="135">
        <f t="shared" si="24"/>
        <v>0</v>
      </c>
      <c r="J160" s="135">
        <f t="shared" si="24"/>
        <v>0</v>
      </c>
      <c r="K160" s="135">
        <f t="shared" si="24"/>
        <v>0</v>
      </c>
      <c r="L160" s="136">
        <f t="shared" si="24"/>
        <v>0</v>
      </c>
    </row>
    <row r="161" spans="3:12" ht="15.6" hidden="1">
      <c r="C161" s="39" t="str">
        <f t="shared" si="21"/>
        <v>H</v>
      </c>
      <c r="D161" s="45">
        <f>Parameter!C$46</f>
        <v>0</v>
      </c>
      <c r="E161" s="134">
        <f t="shared" si="24"/>
        <v>0</v>
      </c>
      <c r="F161" s="135">
        <f t="shared" si="24"/>
        <v>0</v>
      </c>
      <c r="G161" s="135">
        <f t="shared" si="24"/>
        <v>0</v>
      </c>
      <c r="H161" s="135">
        <f t="shared" si="24"/>
        <v>0</v>
      </c>
      <c r="I161" s="135">
        <f t="shared" si="24"/>
        <v>0</v>
      </c>
      <c r="J161" s="135">
        <f t="shared" si="24"/>
        <v>0</v>
      </c>
      <c r="K161" s="135">
        <f t="shared" si="24"/>
        <v>0</v>
      </c>
      <c r="L161" s="136">
        <f t="shared" si="24"/>
        <v>0</v>
      </c>
    </row>
    <row r="162" spans="3:12" ht="15.6" hidden="1">
      <c r="C162" s="39" t="str">
        <f t="shared" si="21"/>
        <v>H</v>
      </c>
      <c r="D162" s="45">
        <f>Parameter!C$47</f>
        <v>0</v>
      </c>
      <c r="E162" s="134">
        <f t="shared" si="24"/>
        <v>0</v>
      </c>
      <c r="F162" s="135">
        <f t="shared" si="24"/>
        <v>0</v>
      </c>
      <c r="G162" s="135">
        <f t="shared" si="24"/>
        <v>0</v>
      </c>
      <c r="H162" s="135">
        <f t="shared" si="24"/>
        <v>0</v>
      </c>
      <c r="I162" s="135">
        <f t="shared" si="24"/>
        <v>0</v>
      </c>
      <c r="J162" s="135">
        <f t="shared" si="24"/>
        <v>0</v>
      </c>
      <c r="K162" s="135">
        <f t="shared" si="24"/>
        <v>0</v>
      </c>
      <c r="L162" s="136">
        <f t="shared" si="24"/>
        <v>0</v>
      </c>
    </row>
    <row r="163" spans="3:12" ht="15.6" hidden="1">
      <c r="C163" s="39" t="str">
        <f t="shared" si="21"/>
        <v>H</v>
      </c>
      <c r="D163" s="45">
        <f>Parameter!C$48</f>
        <v>0</v>
      </c>
      <c r="E163" s="134">
        <f t="shared" ref="E163:L172" si="25">SUMIF(ARVR_Y_PC_PR, "VR_"&amp;E$122&amp;"_"&amp;$D$121&amp;"_"&amp;$D163, PanelRev)</f>
        <v>0</v>
      </c>
      <c r="F163" s="135">
        <f t="shared" si="25"/>
        <v>0</v>
      </c>
      <c r="G163" s="135">
        <f t="shared" si="25"/>
        <v>0</v>
      </c>
      <c r="H163" s="135">
        <f t="shared" si="25"/>
        <v>0</v>
      </c>
      <c r="I163" s="135">
        <f t="shared" si="25"/>
        <v>0</v>
      </c>
      <c r="J163" s="135">
        <f t="shared" si="25"/>
        <v>0</v>
      </c>
      <c r="K163" s="135">
        <f t="shared" si="25"/>
        <v>0</v>
      </c>
      <c r="L163" s="136">
        <f t="shared" si="25"/>
        <v>0</v>
      </c>
    </row>
    <row r="164" spans="3:12" ht="15.6" hidden="1">
      <c r="C164" s="39" t="str">
        <f t="shared" si="21"/>
        <v>H</v>
      </c>
      <c r="D164" s="45">
        <f>Parameter!C$49</f>
        <v>0</v>
      </c>
      <c r="E164" s="134">
        <f t="shared" si="25"/>
        <v>0</v>
      </c>
      <c r="F164" s="135">
        <f t="shared" si="25"/>
        <v>0</v>
      </c>
      <c r="G164" s="135">
        <f t="shared" si="25"/>
        <v>0</v>
      </c>
      <c r="H164" s="135">
        <f t="shared" si="25"/>
        <v>0</v>
      </c>
      <c r="I164" s="135">
        <f t="shared" si="25"/>
        <v>0</v>
      </c>
      <c r="J164" s="135">
        <f t="shared" si="25"/>
        <v>0</v>
      </c>
      <c r="K164" s="135">
        <f t="shared" si="25"/>
        <v>0</v>
      </c>
      <c r="L164" s="136">
        <f t="shared" si="25"/>
        <v>0</v>
      </c>
    </row>
    <row r="165" spans="3:12" ht="15.6" hidden="1">
      <c r="C165" s="39" t="str">
        <f t="shared" si="21"/>
        <v>H</v>
      </c>
      <c r="D165" s="45">
        <f>Parameter!C$50</f>
        <v>0</v>
      </c>
      <c r="E165" s="134">
        <f t="shared" si="25"/>
        <v>0</v>
      </c>
      <c r="F165" s="135">
        <f t="shared" si="25"/>
        <v>0</v>
      </c>
      <c r="G165" s="135">
        <f t="shared" si="25"/>
        <v>0</v>
      </c>
      <c r="H165" s="135">
        <f t="shared" si="25"/>
        <v>0</v>
      </c>
      <c r="I165" s="135">
        <f t="shared" si="25"/>
        <v>0</v>
      </c>
      <c r="J165" s="135">
        <f t="shared" si="25"/>
        <v>0</v>
      </c>
      <c r="K165" s="135">
        <f t="shared" si="25"/>
        <v>0</v>
      </c>
      <c r="L165" s="136">
        <f t="shared" si="25"/>
        <v>0</v>
      </c>
    </row>
    <row r="166" spans="3:12" ht="15.6" hidden="1">
      <c r="C166" s="39" t="str">
        <f t="shared" si="21"/>
        <v>H</v>
      </c>
      <c r="D166" s="45">
        <f>Parameter!C$51</f>
        <v>0</v>
      </c>
      <c r="E166" s="134">
        <f t="shared" si="25"/>
        <v>0</v>
      </c>
      <c r="F166" s="135">
        <f t="shared" si="25"/>
        <v>0</v>
      </c>
      <c r="G166" s="135">
        <f t="shared" si="25"/>
        <v>0</v>
      </c>
      <c r="H166" s="135">
        <f t="shared" si="25"/>
        <v>0</v>
      </c>
      <c r="I166" s="135">
        <f t="shared" si="25"/>
        <v>0</v>
      </c>
      <c r="J166" s="135">
        <f t="shared" si="25"/>
        <v>0</v>
      </c>
      <c r="K166" s="135">
        <f t="shared" si="25"/>
        <v>0</v>
      </c>
      <c r="L166" s="136">
        <f t="shared" si="25"/>
        <v>0</v>
      </c>
    </row>
    <row r="167" spans="3:12" ht="15.6" hidden="1">
      <c r="C167" s="39" t="str">
        <f t="shared" si="21"/>
        <v>H</v>
      </c>
      <c r="D167" s="45">
        <f>Parameter!C$52</f>
        <v>0</v>
      </c>
      <c r="E167" s="134">
        <f t="shared" si="25"/>
        <v>0</v>
      </c>
      <c r="F167" s="135">
        <f t="shared" si="25"/>
        <v>0</v>
      </c>
      <c r="G167" s="135">
        <f t="shared" si="25"/>
        <v>0</v>
      </c>
      <c r="H167" s="135">
        <f t="shared" si="25"/>
        <v>0</v>
      </c>
      <c r="I167" s="135">
        <f t="shared" si="25"/>
        <v>0</v>
      </c>
      <c r="J167" s="135">
        <f t="shared" si="25"/>
        <v>0</v>
      </c>
      <c r="K167" s="135">
        <f t="shared" si="25"/>
        <v>0</v>
      </c>
      <c r="L167" s="136">
        <f t="shared" si="25"/>
        <v>0</v>
      </c>
    </row>
    <row r="168" spans="3:12" ht="15.6" hidden="1">
      <c r="C168" s="39" t="str">
        <f t="shared" si="21"/>
        <v>H</v>
      </c>
      <c r="D168" s="45">
        <f>Parameter!C$53</f>
        <v>0</v>
      </c>
      <c r="E168" s="134">
        <f t="shared" si="25"/>
        <v>0</v>
      </c>
      <c r="F168" s="135">
        <f t="shared" si="25"/>
        <v>0</v>
      </c>
      <c r="G168" s="135">
        <f t="shared" si="25"/>
        <v>0</v>
      </c>
      <c r="H168" s="135">
        <f t="shared" si="25"/>
        <v>0</v>
      </c>
      <c r="I168" s="135">
        <f t="shared" si="25"/>
        <v>0</v>
      </c>
      <c r="J168" s="135">
        <f t="shared" si="25"/>
        <v>0</v>
      </c>
      <c r="K168" s="135">
        <f t="shared" si="25"/>
        <v>0</v>
      </c>
      <c r="L168" s="136">
        <f t="shared" si="25"/>
        <v>0</v>
      </c>
    </row>
    <row r="169" spans="3:12" ht="15.6" hidden="1">
      <c r="C169" s="39" t="str">
        <f t="shared" si="21"/>
        <v>H</v>
      </c>
      <c r="D169" s="45">
        <f>Parameter!C$54</f>
        <v>0</v>
      </c>
      <c r="E169" s="134">
        <f t="shared" si="25"/>
        <v>0</v>
      </c>
      <c r="F169" s="135">
        <f t="shared" si="25"/>
        <v>0</v>
      </c>
      <c r="G169" s="135">
        <f t="shared" si="25"/>
        <v>0</v>
      </c>
      <c r="H169" s="135">
        <f t="shared" si="25"/>
        <v>0</v>
      </c>
      <c r="I169" s="135">
        <f t="shared" si="25"/>
        <v>0</v>
      </c>
      <c r="J169" s="135">
        <f t="shared" si="25"/>
        <v>0</v>
      </c>
      <c r="K169" s="135">
        <f t="shared" si="25"/>
        <v>0</v>
      </c>
      <c r="L169" s="136">
        <f t="shared" si="25"/>
        <v>0</v>
      </c>
    </row>
    <row r="170" spans="3:12" ht="15.6" hidden="1">
      <c r="C170" s="39" t="str">
        <f t="shared" si="21"/>
        <v>H</v>
      </c>
      <c r="D170" s="45">
        <f>Parameter!C$55</f>
        <v>0</v>
      </c>
      <c r="E170" s="134">
        <f t="shared" si="25"/>
        <v>0</v>
      </c>
      <c r="F170" s="135">
        <f t="shared" si="25"/>
        <v>0</v>
      </c>
      <c r="G170" s="135">
        <f t="shared" si="25"/>
        <v>0</v>
      </c>
      <c r="H170" s="135">
        <f t="shared" si="25"/>
        <v>0</v>
      </c>
      <c r="I170" s="135">
        <f t="shared" si="25"/>
        <v>0</v>
      </c>
      <c r="J170" s="135">
        <f t="shared" si="25"/>
        <v>0</v>
      </c>
      <c r="K170" s="135">
        <f t="shared" si="25"/>
        <v>0</v>
      </c>
      <c r="L170" s="136">
        <f t="shared" si="25"/>
        <v>0</v>
      </c>
    </row>
    <row r="171" spans="3:12" ht="15.6" hidden="1">
      <c r="C171" s="39" t="str">
        <f t="shared" si="21"/>
        <v>H</v>
      </c>
      <c r="D171" s="45">
        <f>Parameter!C$56</f>
        <v>0</v>
      </c>
      <c r="E171" s="134">
        <f t="shared" si="25"/>
        <v>0</v>
      </c>
      <c r="F171" s="135">
        <f t="shared" si="25"/>
        <v>0</v>
      </c>
      <c r="G171" s="135">
        <f t="shared" si="25"/>
        <v>0</v>
      </c>
      <c r="H171" s="135">
        <f t="shared" si="25"/>
        <v>0</v>
      </c>
      <c r="I171" s="135">
        <f t="shared" si="25"/>
        <v>0</v>
      </c>
      <c r="J171" s="135">
        <f t="shared" si="25"/>
        <v>0</v>
      </c>
      <c r="K171" s="135">
        <f t="shared" si="25"/>
        <v>0</v>
      </c>
      <c r="L171" s="136">
        <f t="shared" si="25"/>
        <v>0</v>
      </c>
    </row>
    <row r="172" spans="3:12" ht="16.2" hidden="1" thickBot="1">
      <c r="C172" s="39" t="str">
        <f t="shared" si="21"/>
        <v>H</v>
      </c>
      <c r="D172" s="53" t="str">
        <f>Parameter!C$57</f>
        <v>ALL</v>
      </c>
      <c r="E172" s="137">
        <f t="shared" si="25"/>
        <v>0</v>
      </c>
      <c r="F172" s="138">
        <f t="shared" si="25"/>
        <v>0</v>
      </c>
      <c r="G172" s="138">
        <f t="shared" si="25"/>
        <v>0</v>
      </c>
      <c r="H172" s="138">
        <f t="shared" si="25"/>
        <v>0</v>
      </c>
      <c r="I172" s="138">
        <f t="shared" si="25"/>
        <v>0</v>
      </c>
      <c r="J172" s="138">
        <f t="shared" si="25"/>
        <v>0</v>
      </c>
      <c r="K172" s="138">
        <f t="shared" si="25"/>
        <v>0</v>
      </c>
      <c r="L172" s="139">
        <f t="shared" si="25"/>
        <v>0</v>
      </c>
    </row>
    <row r="173" spans="3:12" ht="15.6">
      <c r="C173" s="39" t="str">
        <f t="shared" si="21"/>
        <v/>
      </c>
      <c r="D173" s="54" t="s">
        <v>87</v>
      </c>
      <c r="E173" s="140">
        <f>SUM(E123:E172)</f>
        <v>156.024</v>
      </c>
      <c r="F173" s="141">
        <f t="shared" ref="F173:L173" si="26">SUM(F123:F172)</f>
        <v>80.001319999999993</v>
      </c>
      <c r="G173" s="141">
        <f t="shared" si="26"/>
        <v>0</v>
      </c>
      <c r="H173" s="141">
        <f t="shared" si="26"/>
        <v>0</v>
      </c>
      <c r="I173" s="141">
        <f t="shared" si="26"/>
        <v>3.4628422212676191</v>
      </c>
      <c r="J173" s="141">
        <f t="shared" si="26"/>
        <v>44.820874338991757</v>
      </c>
      <c r="K173" s="141">
        <f t="shared" si="26"/>
        <v>92.054241264574003</v>
      </c>
      <c r="L173" s="142">
        <f t="shared" si="26"/>
        <v>93.875190437595279</v>
      </c>
    </row>
    <row r="174" spans="3:12" ht="16.2" thickBot="1">
      <c r="C174" s="39" t="str">
        <f t="shared" si="21"/>
        <v/>
      </c>
      <c r="D174" s="46" t="s">
        <v>88</v>
      </c>
      <c r="E174" s="47"/>
      <c r="F174" s="50">
        <f t="shared" ref="F174:G174" si="27">IF(E173*F173=0, "", F173/E173-1)</f>
        <v>-0.48724991027021491</v>
      </c>
      <c r="G174" s="50" t="str">
        <f t="shared" si="27"/>
        <v/>
      </c>
      <c r="H174" s="50" t="str">
        <f>IF(G173*H173=0, "", H173/G173-1)</f>
        <v/>
      </c>
      <c r="I174" s="50" t="str">
        <f t="shared" ref="I174:L174" si="28">IF(H173*I173=0, "", I173/H173-1)</f>
        <v/>
      </c>
      <c r="J174" s="50">
        <f t="shared" si="28"/>
        <v>11.943377571093748</v>
      </c>
      <c r="K174" s="50">
        <f t="shared" si="28"/>
        <v>1.0538252013636367</v>
      </c>
      <c r="L174" s="51">
        <f t="shared" si="28"/>
        <v>1.9781263177083508E-2</v>
      </c>
    </row>
    <row r="175" spans="3:12">
      <c r="C175"/>
    </row>
    <row r="176" spans="3:12" ht="14.4" thickBot="1">
      <c r="C176"/>
    </row>
    <row r="177" spans="3:12" ht="15" thickBot="1">
      <c r="C177" s="57" t="str">
        <f>IF(SUM(E229:L229)=0, "H", "")</f>
        <v/>
      </c>
      <c r="D177" s="52" t="str">
        <f>Parameter!G11</f>
        <v>2x LCD</v>
      </c>
    </row>
    <row r="178" spans="3:12" ht="16.2" thickBot="1">
      <c r="C178" s="57" t="str">
        <f>IF(SUM(E229:L229)=0, "H", "")</f>
        <v/>
      </c>
      <c r="D178" s="40" t="s">
        <v>85</v>
      </c>
      <c r="E178" s="41" t="str">
        <f t="shared" ref="E178:L178" si="29">E10</f>
        <v>2022</v>
      </c>
      <c r="F178" s="42" t="str">
        <f t="shared" si="29"/>
        <v>2023</v>
      </c>
      <c r="G178" s="42" t="str">
        <f t="shared" si="29"/>
        <v>2024</v>
      </c>
      <c r="H178" s="42">
        <f t="shared" si="29"/>
        <v>2025</v>
      </c>
      <c r="I178" s="42" t="str">
        <f t="shared" si="29"/>
        <v>2026</v>
      </c>
      <c r="J178" s="42" t="str">
        <f t="shared" si="29"/>
        <v>2027</v>
      </c>
      <c r="K178" s="42" t="str">
        <f t="shared" si="29"/>
        <v>2028</v>
      </c>
      <c r="L178" s="43" t="str">
        <f t="shared" si="29"/>
        <v>2029</v>
      </c>
    </row>
    <row r="179" spans="3:12" ht="15.6" hidden="1">
      <c r="C179" s="39" t="str">
        <f>IF(SUM(E179:L179)=0, "H", "")</f>
        <v>H</v>
      </c>
      <c r="D179" s="44" t="str">
        <f>Parameter!C$8</f>
        <v>5K VR</v>
      </c>
      <c r="E179" s="134">
        <f t="shared" ref="E179:L188" si="30">SUMIF(ARVR_Y_PC_PR, "VR_"&amp;E$178&amp;"_"&amp;$D$177&amp;"_"&amp;$D179, PanelRev)</f>
        <v>0</v>
      </c>
      <c r="F179" s="135">
        <f t="shared" si="30"/>
        <v>0</v>
      </c>
      <c r="G179" s="135">
        <f t="shared" si="30"/>
        <v>0</v>
      </c>
      <c r="H179" s="135">
        <f t="shared" si="30"/>
        <v>0</v>
      </c>
      <c r="I179" s="135">
        <f t="shared" si="30"/>
        <v>0</v>
      </c>
      <c r="J179" s="135">
        <f t="shared" si="30"/>
        <v>0</v>
      </c>
      <c r="K179" s="135">
        <f t="shared" si="30"/>
        <v>0</v>
      </c>
      <c r="L179" s="136">
        <f t="shared" si="30"/>
        <v>0</v>
      </c>
    </row>
    <row r="180" spans="3:12" ht="15.6">
      <c r="C180" s="39" t="str">
        <f t="shared" ref="C180:C230" si="31">IF(SUM(E180:L180)=0, "H", "")</f>
        <v/>
      </c>
      <c r="D180" s="44" t="str">
        <f>Parameter!C$9</f>
        <v>Aero</v>
      </c>
      <c r="E180" s="134">
        <f t="shared" si="30"/>
        <v>0</v>
      </c>
      <c r="F180" s="135">
        <f t="shared" si="30"/>
        <v>0.32669999999999999</v>
      </c>
      <c r="G180" s="135">
        <f t="shared" si="30"/>
        <v>3.6299999999999999E-2</v>
      </c>
      <c r="H180" s="135">
        <f t="shared" si="30"/>
        <v>0</v>
      </c>
      <c r="I180" s="135">
        <f t="shared" si="30"/>
        <v>0</v>
      </c>
      <c r="J180" s="135">
        <f t="shared" si="30"/>
        <v>0</v>
      </c>
      <c r="K180" s="135">
        <f t="shared" si="30"/>
        <v>0</v>
      </c>
      <c r="L180" s="136">
        <f t="shared" si="30"/>
        <v>0</v>
      </c>
    </row>
    <row r="181" spans="3:12" ht="15.6" hidden="1">
      <c r="C181" s="39" t="str">
        <f t="shared" si="31"/>
        <v>H</v>
      </c>
      <c r="D181" s="45" t="str">
        <f>Parameter!C$10</f>
        <v>Beyond</v>
      </c>
      <c r="E181" s="134">
        <f t="shared" si="30"/>
        <v>0</v>
      </c>
      <c r="F181" s="135">
        <f t="shared" si="30"/>
        <v>0</v>
      </c>
      <c r="G181" s="135">
        <f t="shared" si="30"/>
        <v>0</v>
      </c>
      <c r="H181" s="135">
        <f t="shared" si="30"/>
        <v>0</v>
      </c>
      <c r="I181" s="135">
        <f t="shared" si="30"/>
        <v>0</v>
      </c>
      <c r="J181" s="135">
        <f t="shared" si="30"/>
        <v>0</v>
      </c>
      <c r="K181" s="135">
        <f t="shared" si="30"/>
        <v>0</v>
      </c>
      <c r="L181" s="136">
        <f t="shared" si="30"/>
        <v>0</v>
      </c>
    </row>
    <row r="182" spans="3:12" ht="15.6" hidden="1">
      <c r="C182" s="39" t="str">
        <f t="shared" si="31"/>
        <v>H</v>
      </c>
      <c r="D182" s="45" t="str">
        <f>Parameter!C$11</f>
        <v>Bionic models</v>
      </c>
      <c r="E182" s="134">
        <f t="shared" si="30"/>
        <v>0</v>
      </c>
      <c r="F182" s="135">
        <f t="shared" si="30"/>
        <v>0</v>
      </c>
      <c r="G182" s="135">
        <f t="shared" si="30"/>
        <v>0</v>
      </c>
      <c r="H182" s="135">
        <f t="shared" si="30"/>
        <v>0</v>
      </c>
      <c r="I182" s="135">
        <f t="shared" si="30"/>
        <v>0</v>
      </c>
      <c r="J182" s="135">
        <f t="shared" si="30"/>
        <v>0</v>
      </c>
      <c r="K182" s="135">
        <f t="shared" si="30"/>
        <v>0</v>
      </c>
      <c r="L182" s="136">
        <f t="shared" si="30"/>
        <v>0</v>
      </c>
    </row>
    <row r="183" spans="3:12" ht="15.6">
      <c r="C183" s="39" t="str">
        <f t="shared" si="31"/>
        <v/>
      </c>
      <c r="D183" s="45" t="str">
        <f>Parameter!C$12</f>
        <v>Dual LCD VR headset</v>
      </c>
      <c r="E183" s="134">
        <f t="shared" si="30"/>
        <v>2.0706224</v>
      </c>
      <c r="F183" s="135">
        <f t="shared" si="30"/>
        <v>0.16071342819840001</v>
      </c>
      <c r="G183" s="135">
        <f t="shared" si="30"/>
        <v>0</v>
      </c>
      <c r="H183" s="135">
        <f t="shared" si="30"/>
        <v>17.716847617280003</v>
      </c>
      <c r="I183" s="135">
        <f t="shared" si="30"/>
        <v>220.01773514604872</v>
      </c>
      <c r="J183" s="135">
        <f t="shared" si="30"/>
        <v>336.90215694238708</v>
      </c>
      <c r="K183" s="135">
        <f t="shared" si="30"/>
        <v>293.47921226981276</v>
      </c>
      <c r="L183" s="136">
        <f t="shared" si="30"/>
        <v>309.76</v>
      </c>
    </row>
    <row r="184" spans="3:12" ht="15.6" hidden="1">
      <c r="C184" s="39" t="str">
        <f t="shared" si="31"/>
        <v>H</v>
      </c>
      <c r="D184" s="45" t="str">
        <f>Parameter!C$13</f>
        <v>Dual SiOLED headset</v>
      </c>
      <c r="E184" s="134">
        <f t="shared" si="30"/>
        <v>0</v>
      </c>
      <c r="F184" s="135">
        <f t="shared" si="30"/>
        <v>0</v>
      </c>
      <c r="G184" s="135">
        <f t="shared" si="30"/>
        <v>0</v>
      </c>
      <c r="H184" s="135">
        <f t="shared" si="30"/>
        <v>0</v>
      </c>
      <c r="I184" s="135">
        <f t="shared" si="30"/>
        <v>0</v>
      </c>
      <c r="J184" s="135">
        <f t="shared" si="30"/>
        <v>0</v>
      </c>
      <c r="K184" s="135">
        <f t="shared" si="30"/>
        <v>0</v>
      </c>
      <c r="L184" s="136">
        <f t="shared" si="30"/>
        <v>0</v>
      </c>
    </row>
    <row r="185" spans="3:12" ht="15.6" hidden="1">
      <c r="C185" s="39" t="str">
        <f t="shared" si="31"/>
        <v>H</v>
      </c>
      <c r="D185" s="45" t="str">
        <f>Parameter!C$14</f>
        <v>Index</v>
      </c>
      <c r="E185" s="134">
        <f t="shared" si="30"/>
        <v>0</v>
      </c>
      <c r="F185" s="135">
        <f t="shared" si="30"/>
        <v>0</v>
      </c>
      <c r="G185" s="135">
        <f t="shared" si="30"/>
        <v>0</v>
      </c>
      <c r="H185" s="135">
        <f t="shared" si="30"/>
        <v>0</v>
      </c>
      <c r="I185" s="135">
        <f t="shared" si="30"/>
        <v>0</v>
      </c>
      <c r="J185" s="135">
        <f t="shared" si="30"/>
        <v>0</v>
      </c>
      <c r="K185" s="135">
        <f t="shared" si="30"/>
        <v>0</v>
      </c>
      <c r="L185" s="136">
        <f t="shared" si="30"/>
        <v>0</v>
      </c>
    </row>
    <row r="186" spans="3:12" ht="15.6" hidden="1">
      <c r="C186" s="39" t="str">
        <f t="shared" si="31"/>
        <v>H</v>
      </c>
      <c r="D186" s="45" t="str">
        <f>Parameter!C$15</f>
        <v>MeganeX</v>
      </c>
      <c r="E186" s="134">
        <f t="shared" si="30"/>
        <v>0</v>
      </c>
      <c r="F186" s="135">
        <f t="shared" si="30"/>
        <v>0</v>
      </c>
      <c r="G186" s="135">
        <f t="shared" si="30"/>
        <v>0</v>
      </c>
      <c r="H186" s="135">
        <f t="shared" si="30"/>
        <v>0</v>
      </c>
      <c r="I186" s="135">
        <f t="shared" si="30"/>
        <v>0</v>
      </c>
      <c r="J186" s="135">
        <f t="shared" si="30"/>
        <v>0</v>
      </c>
      <c r="K186" s="135">
        <f t="shared" si="30"/>
        <v>0</v>
      </c>
      <c r="L186" s="136">
        <f t="shared" si="30"/>
        <v>0</v>
      </c>
    </row>
    <row r="187" spans="3:12" ht="15.6" hidden="1">
      <c r="C187" s="39" t="str">
        <f t="shared" si="31"/>
        <v>H</v>
      </c>
      <c r="D187" s="45" t="str">
        <f>Parameter!C$16</f>
        <v>MeganeX Superlight 8K</v>
      </c>
      <c r="E187" s="134">
        <f t="shared" si="30"/>
        <v>0</v>
      </c>
      <c r="F187" s="135">
        <f t="shared" si="30"/>
        <v>0</v>
      </c>
      <c r="G187" s="135">
        <f t="shared" si="30"/>
        <v>0</v>
      </c>
      <c r="H187" s="135">
        <f t="shared" si="30"/>
        <v>0</v>
      </c>
      <c r="I187" s="135">
        <f t="shared" si="30"/>
        <v>0</v>
      </c>
      <c r="J187" s="135">
        <f t="shared" si="30"/>
        <v>0</v>
      </c>
      <c r="K187" s="135">
        <f t="shared" si="30"/>
        <v>0</v>
      </c>
      <c r="L187" s="136">
        <f t="shared" si="30"/>
        <v>0</v>
      </c>
    </row>
    <row r="188" spans="3:12" ht="15.6" hidden="1">
      <c r="C188" s="39" t="str">
        <f t="shared" si="31"/>
        <v>H</v>
      </c>
      <c r="D188" s="45" t="str">
        <f>Parameter!C$17</f>
        <v>Neo 3 / G3</v>
      </c>
      <c r="E188" s="134">
        <f t="shared" si="30"/>
        <v>0</v>
      </c>
      <c r="F188" s="135">
        <f t="shared" si="30"/>
        <v>0</v>
      </c>
      <c r="G188" s="135">
        <f t="shared" si="30"/>
        <v>0</v>
      </c>
      <c r="H188" s="135">
        <f t="shared" si="30"/>
        <v>0</v>
      </c>
      <c r="I188" s="135">
        <f t="shared" si="30"/>
        <v>0</v>
      </c>
      <c r="J188" s="135">
        <f t="shared" si="30"/>
        <v>0</v>
      </c>
      <c r="K188" s="135">
        <f t="shared" si="30"/>
        <v>0</v>
      </c>
      <c r="L188" s="136">
        <f t="shared" si="30"/>
        <v>0</v>
      </c>
    </row>
    <row r="189" spans="3:12" ht="15.6" hidden="1">
      <c r="C189" s="39" t="str">
        <f t="shared" si="31"/>
        <v>H</v>
      </c>
      <c r="D189" s="45" t="str">
        <f>Parameter!C$18</f>
        <v>OLED VR headset</v>
      </c>
      <c r="E189" s="134">
        <f t="shared" ref="E189:L198" si="32">SUMIF(ARVR_Y_PC_PR, "VR_"&amp;E$178&amp;"_"&amp;$D$177&amp;"_"&amp;$D189, PanelRev)</f>
        <v>0</v>
      </c>
      <c r="F189" s="135">
        <f t="shared" si="32"/>
        <v>0</v>
      </c>
      <c r="G189" s="135">
        <f t="shared" si="32"/>
        <v>0</v>
      </c>
      <c r="H189" s="135">
        <f t="shared" si="32"/>
        <v>0</v>
      </c>
      <c r="I189" s="135">
        <f t="shared" si="32"/>
        <v>0</v>
      </c>
      <c r="J189" s="135">
        <f t="shared" si="32"/>
        <v>0</v>
      </c>
      <c r="K189" s="135">
        <f t="shared" si="32"/>
        <v>0</v>
      </c>
      <c r="L189" s="136">
        <f t="shared" si="32"/>
        <v>0</v>
      </c>
    </row>
    <row r="190" spans="3:12" ht="15.6" hidden="1">
      <c r="C190" s="39" t="str">
        <f t="shared" si="31"/>
        <v>H</v>
      </c>
      <c r="D190" s="45" t="str">
        <f>Parameter!C$19</f>
        <v>P1 family</v>
      </c>
      <c r="E190" s="134">
        <f t="shared" si="32"/>
        <v>0</v>
      </c>
      <c r="F190" s="135">
        <f t="shared" si="32"/>
        <v>0</v>
      </c>
      <c r="G190" s="135">
        <f t="shared" si="32"/>
        <v>0</v>
      </c>
      <c r="H190" s="135">
        <f t="shared" si="32"/>
        <v>0</v>
      </c>
      <c r="I190" s="135">
        <f t="shared" si="32"/>
        <v>0</v>
      </c>
      <c r="J190" s="135">
        <f t="shared" si="32"/>
        <v>0</v>
      </c>
      <c r="K190" s="135">
        <f t="shared" si="32"/>
        <v>0</v>
      </c>
      <c r="L190" s="136">
        <f t="shared" si="32"/>
        <v>0</v>
      </c>
    </row>
    <row r="191" spans="3:12" ht="15.6">
      <c r="C191" s="39" t="str">
        <f t="shared" si="31"/>
        <v/>
      </c>
      <c r="D191" s="45" t="str">
        <f>Parameter!C$20</f>
        <v>Pico 4</v>
      </c>
      <c r="E191" s="134">
        <f t="shared" si="32"/>
        <v>13.417633152000001</v>
      </c>
      <c r="F191" s="135">
        <f t="shared" si="32"/>
        <v>17.4512055872</v>
      </c>
      <c r="G191" s="135">
        <f t="shared" si="32"/>
        <v>17.358894981747202</v>
      </c>
      <c r="H191" s="135">
        <f t="shared" si="32"/>
        <v>15.945162855552002</v>
      </c>
      <c r="I191" s="135">
        <f t="shared" si="32"/>
        <v>0</v>
      </c>
      <c r="J191" s="135">
        <f t="shared" si="32"/>
        <v>0</v>
      </c>
      <c r="K191" s="135">
        <f t="shared" si="32"/>
        <v>0</v>
      </c>
      <c r="L191" s="136">
        <f t="shared" si="32"/>
        <v>0</v>
      </c>
    </row>
    <row r="192" spans="3:12" ht="15.6">
      <c r="C192" s="39" t="str">
        <f t="shared" si="31"/>
        <v/>
      </c>
      <c r="D192" s="45" t="str">
        <f>Parameter!C$21</f>
        <v>Pimax VR</v>
      </c>
      <c r="E192" s="134">
        <f t="shared" si="32"/>
        <v>0.82824895999999992</v>
      </c>
      <c r="F192" s="135">
        <f t="shared" si="32"/>
        <v>0.38960831078400004</v>
      </c>
      <c r="G192" s="135">
        <f t="shared" si="32"/>
        <v>8.7499533130240004E-2</v>
      </c>
      <c r="H192" s="135">
        <f t="shared" si="32"/>
        <v>0</v>
      </c>
      <c r="I192" s="135">
        <f t="shared" si="32"/>
        <v>0</v>
      </c>
      <c r="J192" s="135">
        <f t="shared" si="32"/>
        <v>0</v>
      </c>
      <c r="K192" s="135">
        <f t="shared" si="32"/>
        <v>0</v>
      </c>
      <c r="L192" s="136">
        <f t="shared" si="32"/>
        <v>0</v>
      </c>
    </row>
    <row r="193" spans="3:12" ht="15.6" hidden="1">
      <c r="C193" s="39" t="str">
        <f t="shared" si="31"/>
        <v>H</v>
      </c>
      <c r="D193" s="45" t="str">
        <f>Parameter!C$22</f>
        <v>PlayStation VR</v>
      </c>
      <c r="E193" s="134">
        <f t="shared" si="32"/>
        <v>0</v>
      </c>
      <c r="F193" s="135">
        <f t="shared" si="32"/>
        <v>0</v>
      </c>
      <c r="G193" s="135">
        <f t="shared" si="32"/>
        <v>0</v>
      </c>
      <c r="H193" s="135">
        <f t="shared" si="32"/>
        <v>0</v>
      </c>
      <c r="I193" s="135">
        <f t="shared" si="32"/>
        <v>0</v>
      </c>
      <c r="J193" s="135">
        <f t="shared" si="32"/>
        <v>0</v>
      </c>
      <c r="K193" s="135">
        <f t="shared" si="32"/>
        <v>0</v>
      </c>
      <c r="L193" s="136">
        <f t="shared" si="32"/>
        <v>0</v>
      </c>
    </row>
    <row r="194" spans="3:12" ht="15.6" hidden="1">
      <c r="C194" s="39" t="str">
        <f t="shared" si="31"/>
        <v>H</v>
      </c>
      <c r="D194" s="45" t="str">
        <f>Parameter!C$23</f>
        <v>PlayStation VR2</v>
      </c>
      <c r="E194" s="134">
        <f t="shared" si="32"/>
        <v>0</v>
      </c>
      <c r="F194" s="135">
        <f t="shared" si="32"/>
        <v>0</v>
      </c>
      <c r="G194" s="135">
        <f t="shared" si="32"/>
        <v>0</v>
      </c>
      <c r="H194" s="135">
        <f t="shared" si="32"/>
        <v>0</v>
      </c>
      <c r="I194" s="135">
        <f t="shared" si="32"/>
        <v>0</v>
      </c>
      <c r="J194" s="135">
        <f t="shared" si="32"/>
        <v>0</v>
      </c>
      <c r="K194" s="135">
        <f t="shared" si="32"/>
        <v>0</v>
      </c>
      <c r="L194" s="136">
        <f t="shared" si="32"/>
        <v>0</v>
      </c>
    </row>
    <row r="195" spans="3:12" ht="15.6" hidden="1">
      <c r="C195" s="39" t="str">
        <f t="shared" si="31"/>
        <v>H</v>
      </c>
      <c r="D195" s="45" t="str">
        <f>Parameter!C$24</f>
        <v>Project Moohan</v>
      </c>
      <c r="E195" s="134">
        <f t="shared" si="32"/>
        <v>0</v>
      </c>
      <c r="F195" s="135">
        <f t="shared" si="32"/>
        <v>0</v>
      </c>
      <c r="G195" s="135">
        <f t="shared" si="32"/>
        <v>0</v>
      </c>
      <c r="H195" s="135">
        <f t="shared" si="32"/>
        <v>0</v>
      </c>
      <c r="I195" s="135">
        <f t="shared" si="32"/>
        <v>0</v>
      </c>
      <c r="J195" s="135">
        <f t="shared" si="32"/>
        <v>0</v>
      </c>
      <c r="K195" s="135">
        <f t="shared" si="32"/>
        <v>0</v>
      </c>
      <c r="L195" s="136">
        <f t="shared" si="32"/>
        <v>0</v>
      </c>
    </row>
    <row r="196" spans="3:12" ht="15.6" hidden="1">
      <c r="C196" s="39" t="str">
        <f t="shared" si="31"/>
        <v>H</v>
      </c>
      <c r="D196" s="45" t="str">
        <f>Parameter!C$25</f>
        <v>Quest</v>
      </c>
      <c r="E196" s="134">
        <f t="shared" si="32"/>
        <v>0</v>
      </c>
      <c r="F196" s="135">
        <f t="shared" si="32"/>
        <v>0</v>
      </c>
      <c r="G196" s="135">
        <f t="shared" si="32"/>
        <v>0</v>
      </c>
      <c r="H196" s="135">
        <f t="shared" si="32"/>
        <v>0</v>
      </c>
      <c r="I196" s="135">
        <f t="shared" si="32"/>
        <v>0</v>
      </c>
      <c r="J196" s="135">
        <f t="shared" si="32"/>
        <v>0</v>
      </c>
      <c r="K196" s="135">
        <f t="shared" si="32"/>
        <v>0</v>
      </c>
      <c r="L196" s="136">
        <f t="shared" si="32"/>
        <v>0</v>
      </c>
    </row>
    <row r="197" spans="3:12" ht="15.6" hidden="1">
      <c r="C197" s="39" t="str">
        <f t="shared" si="31"/>
        <v>H</v>
      </c>
      <c r="D197" s="45" t="str">
        <f>Parameter!C$26</f>
        <v>Quest 2</v>
      </c>
      <c r="E197" s="134">
        <f t="shared" si="32"/>
        <v>0</v>
      </c>
      <c r="F197" s="135">
        <f t="shared" si="32"/>
        <v>0</v>
      </c>
      <c r="G197" s="135">
        <f t="shared" si="32"/>
        <v>0</v>
      </c>
      <c r="H197" s="135">
        <f t="shared" si="32"/>
        <v>0</v>
      </c>
      <c r="I197" s="135">
        <f t="shared" si="32"/>
        <v>0</v>
      </c>
      <c r="J197" s="135">
        <f t="shared" si="32"/>
        <v>0</v>
      </c>
      <c r="K197" s="135">
        <f t="shared" si="32"/>
        <v>0</v>
      </c>
      <c r="L197" s="136">
        <f t="shared" si="32"/>
        <v>0</v>
      </c>
    </row>
    <row r="198" spans="3:12" ht="15.6">
      <c r="C198" s="39" t="str">
        <f t="shared" si="31"/>
        <v/>
      </c>
      <c r="D198" s="45" t="str">
        <f>Parameter!C$27</f>
        <v>Quest 3</v>
      </c>
      <c r="E198" s="134">
        <f t="shared" si="32"/>
        <v>0</v>
      </c>
      <c r="F198" s="135">
        <f t="shared" si="32"/>
        <v>237.01172239360002</v>
      </c>
      <c r="G198" s="135">
        <f t="shared" si="32"/>
        <v>119.46217250508802</v>
      </c>
      <c r="H198" s="135">
        <f t="shared" si="32"/>
        <v>76.961986049464329</v>
      </c>
      <c r="I198" s="135">
        <f t="shared" si="32"/>
        <v>0</v>
      </c>
      <c r="J198" s="135">
        <f t="shared" si="32"/>
        <v>0</v>
      </c>
      <c r="K198" s="135">
        <f t="shared" si="32"/>
        <v>0</v>
      </c>
      <c r="L198" s="136">
        <f t="shared" si="32"/>
        <v>0</v>
      </c>
    </row>
    <row r="199" spans="3:12" ht="15.6" hidden="1">
      <c r="C199" s="39" t="str">
        <f t="shared" si="31"/>
        <v>H</v>
      </c>
      <c r="D199" s="45" t="str">
        <f>Parameter!C$28</f>
        <v>Quest 3S</v>
      </c>
      <c r="E199" s="134">
        <f t="shared" ref="E199:L208" si="33">SUMIF(ARVR_Y_PC_PR, "VR_"&amp;E$178&amp;"_"&amp;$D$177&amp;"_"&amp;$D199, PanelRev)</f>
        <v>0</v>
      </c>
      <c r="F199" s="135">
        <f t="shared" si="33"/>
        <v>0</v>
      </c>
      <c r="G199" s="135">
        <f t="shared" si="33"/>
        <v>0</v>
      </c>
      <c r="H199" s="135">
        <f t="shared" si="33"/>
        <v>0</v>
      </c>
      <c r="I199" s="135">
        <f t="shared" si="33"/>
        <v>0</v>
      </c>
      <c r="J199" s="135">
        <f t="shared" si="33"/>
        <v>0</v>
      </c>
      <c r="K199" s="135">
        <f t="shared" si="33"/>
        <v>0</v>
      </c>
      <c r="L199" s="136">
        <f t="shared" si="33"/>
        <v>0</v>
      </c>
    </row>
    <row r="200" spans="3:12" ht="15.6">
      <c r="C200" s="39" t="str">
        <f t="shared" si="31"/>
        <v/>
      </c>
      <c r="D200" s="45" t="str">
        <f>Parameter!C$29</f>
        <v>Quest Pro</v>
      </c>
      <c r="E200" s="134">
        <f t="shared" si="33"/>
        <v>5.4664431359999996</v>
      </c>
      <c r="F200" s="135">
        <f t="shared" si="33"/>
        <v>8.9100000000000013E-2</v>
      </c>
      <c r="G200" s="135">
        <f t="shared" si="33"/>
        <v>0</v>
      </c>
      <c r="H200" s="135">
        <f t="shared" si="33"/>
        <v>0</v>
      </c>
      <c r="I200" s="135">
        <f t="shared" si="33"/>
        <v>0</v>
      </c>
      <c r="J200" s="135">
        <f t="shared" si="33"/>
        <v>0</v>
      </c>
      <c r="K200" s="135">
        <f t="shared" si="33"/>
        <v>0</v>
      </c>
      <c r="L200" s="136">
        <f t="shared" si="33"/>
        <v>0</v>
      </c>
    </row>
    <row r="201" spans="3:12" ht="15.6">
      <c r="C201" s="39" t="str">
        <f t="shared" si="31"/>
        <v/>
      </c>
      <c r="D201" s="45" t="str">
        <f>Parameter!C$30</f>
        <v>R1</v>
      </c>
      <c r="E201" s="134">
        <f t="shared" si="33"/>
        <v>1.2423734400000002</v>
      </c>
      <c r="F201" s="135">
        <f t="shared" si="33"/>
        <v>8.1168398080000009E-3</v>
      </c>
      <c r="G201" s="135">
        <f t="shared" si="33"/>
        <v>0</v>
      </c>
      <c r="H201" s="135">
        <f t="shared" si="33"/>
        <v>0</v>
      </c>
      <c r="I201" s="135">
        <f t="shared" si="33"/>
        <v>0</v>
      </c>
      <c r="J201" s="135">
        <f t="shared" si="33"/>
        <v>0</v>
      </c>
      <c r="K201" s="135">
        <f t="shared" si="33"/>
        <v>0</v>
      </c>
      <c r="L201" s="136">
        <f t="shared" si="33"/>
        <v>0</v>
      </c>
    </row>
    <row r="202" spans="3:12" ht="15.6" hidden="1">
      <c r="C202" s="39" t="str">
        <f t="shared" si="31"/>
        <v>H</v>
      </c>
      <c r="D202" s="45" t="str">
        <f>Parameter!C$31</f>
        <v>Reverb</v>
      </c>
      <c r="E202" s="134">
        <f t="shared" si="33"/>
        <v>0</v>
      </c>
      <c r="F202" s="135">
        <f t="shared" si="33"/>
        <v>0</v>
      </c>
      <c r="G202" s="135">
        <f t="shared" si="33"/>
        <v>0</v>
      </c>
      <c r="H202" s="135">
        <f t="shared" si="33"/>
        <v>0</v>
      </c>
      <c r="I202" s="135">
        <f t="shared" si="33"/>
        <v>0</v>
      </c>
      <c r="J202" s="135">
        <f t="shared" si="33"/>
        <v>0</v>
      </c>
      <c r="K202" s="135">
        <f t="shared" si="33"/>
        <v>0</v>
      </c>
      <c r="L202" s="136">
        <f t="shared" si="33"/>
        <v>0</v>
      </c>
    </row>
    <row r="203" spans="3:12" ht="15.6">
      <c r="C203" s="39" t="str">
        <f t="shared" si="31"/>
        <v/>
      </c>
      <c r="D203" s="45" t="str">
        <f>Parameter!C$32</f>
        <v>Reverb G2</v>
      </c>
      <c r="E203" s="134">
        <f t="shared" si="33"/>
        <v>0</v>
      </c>
      <c r="F203" s="135">
        <f t="shared" si="33"/>
        <v>0.16801858402559999</v>
      </c>
      <c r="G203" s="135">
        <f t="shared" si="33"/>
        <v>7.9545030118400011E-3</v>
      </c>
      <c r="H203" s="135">
        <f t="shared" si="33"/>
        <v>0</v>
      </c>
      <c r="I203" s="135">
        <f t="shared" si="33"/>
        <v>0</v>
      </c>
      <c r="J203" s="135">
        <f t="shared" si="33"/>
        <v>0</v>
      </c>
      <c r="K203" s="135">
        <f t="shared" si="33"/>
        <v>0</v>
      </c>
      <c r="L203" s="136">
        <f t="shared" si="33"/>
        <v>0</v>
      </c>
    </row>
    <row r="204" spans="3:12" ht="15.6" hidden="1">
      <c r="C204" s="39" t="str">
        <f t="shared" si="31"/>
        <v>H</v>
      </c>
      <c r="D204" s="45" t="str">
        <f>Parameter!C$33</f>
        <v>Rift S</v>
      </c>
      <c r="E204" s="134">
        <f t="shared" si="33"/>
        <v>0</v>
      </c>
      <c r="F204" s="135">
        <f t="shared" si="33"/>
        <v>0</v>
      </c>
      <c r="G204" s="135">
        <f t="shared" si="33"/>
        <v>0</v>
      </c>
      <c r="H204" s="135">
        <f t="shared" si="33"/>
        <v>0</v>
      </c>
      <c r="I204" s="135">
        <f t="shared" si="33"/>
        <v>0</v>
      </c>
      <c r="J204" s="135">
        <f t="shared" si="33"/>
        <v>0</v>
      </c>
      <c r="K204" s="135">
        <f t="shared" si="33"/>
        <v>0</v>
      </c>
      <c r="L204" s="136">
        <f t="shared" si="33"/>
        <v>0</v>
      </c>
    </row>
    <row r="205" spans="3:12" ht="15.6" hidden="1">
      <c r="C205" s="39" t="str">
        <f t="shared" si="31"/>
        <v>H</v>
      </c>
      <c r="D205" s="45" t="str">
        <f>Parameter!C$34</f>
        <v>Single LCD VR headset</v>
      </c>
      <c r="E205" s="134">
        <f t="shared" si="33"/>
        <v>0</v>
      </c>
      <c r="F205" s="135">
        <f t="shared" si="33"/>
        <v>0</v>
      </c>
      <c r="G205" s="135">
        <f t="shared" si="33"/>
        <v>0</v>
      </c>
      <c r="H205" s="135">
        <f t="shared" si="33"/>
        <v>0</v>
      </c>
      <c r="I205" s="135">
        <f t="shared" si="33"/>
        <v>0</v>
      </c>
      <c r="J205" s="135">
        <f t="shared" si="33"/>
        <v>0</v>
      </c>
      <c r="K205" s="135">
        <f t="shared" si="33"/>
        <v>0</v>
      </c>
      <c r="L205" s="136">
        <f t="shared" si="33"/>
        <v>0</v>
      </c>
    </row>
    <row r="206" spans="3:12" ht="15.6">
      <c r="C206" s="39" t="str">
        <f t="shared" si="31"/>
        <v/>
      </c>
      <c r="D206" s="45" t="str">
        <f>Parameter!C$35</f>
        <v>ThinkReality VRX</v>
      </c>
      <c r="E206" s="134">
        <f t="shared" si="33"/>
        <v>0.82824895999999992</v>
      </c>
      <c r="F206" s="135">
        <f t="shared" si="33"/>
        <v>1.0551891750400002</v>
      </c>
      <c r="G206" s="135">
        <f t="shared" si="33"/>
        <v>9.545403614208002E-2</v>
      </c>
      <c r="H206" s="135">
        <f t="shared" si="33"/>
        <v>0</v>
      </c>
      <c r="I206" s="135">
        <f t="shared" si="33"/>
        <v>0</v>
      </c>
      <c r="J206" s="135">
        <f t="shared" si="33"/>
        <v>0</v>
      </c>
      <c r="K206" s="135">
        <f t="shared" si="33"/>
        <v>0</v>
      </c>
      <c r="L206" s="136">
        <f t="shared" si="33"/>
        <v>0</v>
      </c>
    </row>
    <row r="207" spans="3:12" ht="15.6" hidden="1">
      <c r="C207" s="39" t="str">
        <f t="shared" si="31"/>
        <v>H</v>
      </c>
      <c r="D207" s="45" t="str">
        <f>Parameter!C$36</f>
        <v>Vision Pro</v>
      </c>
      <c r="E207" s="134">
        <f t="shared" si="33"/>
        <v>0</v>
      </c>
      <c r="F207" s="135">
        <f t="shared" si="33"/>
        <v>0</v>
      </c>
      <c r="G207" s="135">
        <f t="shared" si="33"/>
        <v>0</v>
      </c>
      <c r="H207" s="135">
        <f t="shared" si="33"/>
        <v>0</v>
      </c>
      <c r="I207" s="135">
        <f t="shared" si="33"/>
        <v>0</v>
      </c>
      <c r="J207" s="135">
        <f t="shared" si="33"/>
        <v>0</v>
      </c>
      <c r="K207" s="135">
        <f t="shared" si="33"/>
        <v>0</v>
      </c>
      <c r="L207" s="136">
        <f t="shared" si="33"/>
        <v>0</v>
      </c>
    </row>
    <row r="208" spans="3:12" ht="15.6">
      <c r="C208" s="39" t="str">
        <f t="shared" si="31"/>
        <v/>
      </c>
      <c r="D208" s="45" t="str">
        <f>Parameter!C$37</f>
        <v>Vive LCD headsets</v>
      </c>
      <c r="E208" s="134">
        <f t="shared" si="33"/>
        <v>2.8988713600000002</v>
      </c>
      <c r="F208" s="135">
        <f t="shared" si="33"/>
        <v>0.80356714099200022</v>
      </c>
      <c r="G208" s="135">
        <f t="shared" si="33"/>
        <v>0.13920380270720001</v>
      </c>
      <c r="H208" s="135">
        <f t="shared" si="33"/>
        <v>0</v>
      </c>
      <c r="I208" s="135">
        <f t="shared" si="33"/>
        <v>0</v>
      </c>
      <c r="J208" s="135">
        <f t="shared" si="33"/>
        <v>0</v>
      </c>
      <c r="K208" s="135">
        <f t="shared" si="33"/>
        <v>0</v>
      </c>
      <c r="L208" s="136">
        <f t="shared" si="33"/>
        <v>0</v>
      </c>
    </row>
    <row r="209" spans="3:12" ht="15.6">
      <c r="C209" s="39" t="str">
        <f t="shared" si="31"/>
        <v/>
      </c>
      <c r="D209" s="45" t="str">
        <f>Parameter!C$38</f>
        <v>VR1</v>
      </c>
      <c r="E209" s="134">
        <f t="shared" ref="E209:L218" si="34">SUMIF(ARVR_Y_PC_PR, "VR_"&amp;E$178&amp;"_"&amp;$D$177&amp;"_"&amp;$D209, PanelRev)</f>
        <v>0</v>
      </c>
      <c r="F209" s="135">
        <f t="shared" si="34"/>
        <v>0</v>
      </c>
      <c r="G209" s="135">
        <f t="shared" si="34"/>
        <v>8.2500000000000004E-2</v>
      </c>
      <c r="H209" s="135">
        <f t="shared" si="34"/>
        <v>8.2500000000000004E-2</v>
      </c>
      <c r="I209" s="135">
        <f t="shared" si="34"/>
        <v>0</v>
      </c>
      <c r="J209" s="135">
        <f t="shared" si="34"/>
        <v>0</v>
      </c>
      <c r="K209" s="135">
        <f t="shared" si="34"/>
        <v>0</v>
      </c>
      <c r="L209" s="136">
        <f t="shared" si="34"/>
        <v>0</v>
      </c>
    </row>
    <row r="210" spans="3:12" ht="16.2" thickBot="1">
      <c r="C210" s="39" t="str">
        <f t="shared" si="31"/>
        <v/>
      </c>
      <c r="D210" s="45" t="str">
        <f>Parameter!C$39</f>
        <v>XR-4</v>
      </c>
      <c r="E210" s="134">
        <f t="shared" si="34"/>
        <v>0</v>
      </c>
      <c r="F210" s="135">
        <f t="shared" si="34"/>
        <v>0.19359999999999999</v>
      </c>
      <c r="G210" s="135">
        <f t="shared" si="34"/>
        <v>0.39600000000000002</v>
      </c>
      <c r="H210" s="135">
        <f t="shared" si="34"/>
        <v>5.5E-2</v>
      </c>
      <c r="I210" s="135">
        <f t="shared" si="34"/>
        <v>0</v>
      </c>
      <c r="J210" s="135">
        <f t="shared" si="34"/>
        <v>0</v>
      </c>
      <c r="K210" s="135">
        <f t="shared" si="34"/>
        <v>0</v>
      </c>
      <c r="L210" s="136">
        <f t="shared" si="34"/>
        <v>0</v>
      </c>
    </row>
    <row r="211" spans="3:12" ht="15.6" hidden="1">
      <c r="C211" s="39" t="str">
        <f t="shared" si="31"/>
        <v>H</v>
      </c>
      <c r="D211" s="45">
        <f>Parameter!C$40</f>
        <v>0</v>
      </c>
      <c r="E211" s="134">
        <f t="shared" si="34"/>
        <v>0</v>
      </c>
      <c r="F211" s="135">
        <f t="shared" si="34"/>
        <v>0</v>
      </c>
      <c r="G211" s="135">
        <f t="shared" si="34"/>
        <v>0</v>
      </c>
      <c r="H211" s="135">
        <f t="shared" si="34"/>
        <v>0</v>
      </c>
      <c r="I211" s="135">
        <f t="shared" si="34"/>
        <v>0</v>
      </c>
      <c r="J211" s="135">
        <f t="shared" si="34"/>
        <v>0</v>
      </c>
      <c r="K211" s="135">
        <f t="shared" si="34"/>
        <v>0</v>
      </c>
      <c r="L211" s="136">
        <f t="shared" si="34"/>
        <v>0</v>
      </c>
    </row>
    <row r="212" spans="3:12" ht="15.6" hidden="1">
      <c r="C212" s="39" t="str">
        <f t="shared" si="31"/>
        <v>H</v>
      </c>
      <c r="D212" s="45">
        <f>Parameter!C$41</f>
        <v>0</v>
      </c>
      <c r="E212" s="134">
        <f t="shared" si="34"/>
        <v>0</v>
      </c>
      <c r="F212" s="135">
        <f t="shared" si="34"/>
        <v>0</v>
      </c>
      <c r="G212" s="135">
        <f t="shared" si="34"/>
        <v>0</v>
      </c>
      <c r="H212" s="135">
        <f t="shared" si="34"/>
        <v>0</v>
      </c>
      <c r="I212" s="135">
        <f t="shared" si="34"/>
        <v>0</v>
      </c>
      <c r="J212" s="135">
        <f t="shared" si="34"/>
        <v>0</v>
      </c>
      <c r="K212" s="135">
        <f t="shared" si="34"/>
        <v>0</v>
      </c>
      <c r="L212" s="136">
        <f t="shared" si="34"/>
        <v>0</v>
      </c>
    </row>
    <row r="213" spans="3:12" ht="15.6" hidden="1">
      <c r="C213" s="39" t="str">
        <f t="shared" si="31"/>
        <v>H</v>
      </c>
      <c r="D213" s="45">
        <f>Parameter!C$42</f>
        <v>0</v>
      </c>
      <c r="E213" s="134">
        <f t="shared" si="34"/>
        <v>0</v>
      </c>
      <c r="F213" s="135">
        <f t="shared" si="34"/>
        <v>0</v>
      </c>
      <c r="G213" s="135">
        <f t="shared" si="34"/>
        <v>0</v>
      </c>
      <c r="H213" s="135">
        <f t="shared" si="34"/>
        <v>0</v>
      </c>
      <c r="I213" s="135">
        <f t="shared" si="34"/>
        <v>0</v>
      </c>
      <c r="J213" s="135">
        <f t="shared" si="34"/>
        <v>0</v>
      </c>
      <c r="K213" s="135">
        <f t="shared" si="34"/>
        <v>0</v>
      </c>
      <c r="L213" s="136">
        <f t="shared" si="34"/>
        <v>0</v>
      </c>
    </row>
    <row r="214" spans="3:12" ht="15.6" hidden="1">
      <c r="C214" s="39" t="str">
        <f t="shared" si="31"/>
        <v>H</v>
      </c>
      <c r="D214" s="45">
        <f>Parameter!C$43</f>
        <v>0</v>
      </c>
      <c r="E214" s="134">
        <f t="shared" si="34"/>
        <v>0</v>
      </c>
      <c r="F214" s="135">
        <f t="shared" si="34"/>
        <v>0</v>
      </c>
      <c r="G214" s="135">
        <f t="shared" si="34"/>
        <v>0</v>
      </c>
      <c r="H214" s="135">
        <f t="shared" si="34"/>
        <v>0</v>
      </c>
      <c r="I214" s="135">
        <f t="shared" si="34"/>
        <v>0</v>
      </c>
      <c r="J214" s="135">
        <f t="shared" si="34"/>
        <v>0</v>
      </c>
      <c r="K214" s="135">
        <f t="shared" si="34"/>
        <v>0</v>
      </c>
      <c r="L214" s="136">
        <f t="shared" si="34"/>
        <v>0</v>
      </c>
    </row>
    <row r="215" spans="3:12" ht="15.6" hidden="1">
      <c r="C215" s="39" t="str">
        <f t="shared" si="31"/>
        <v>H</v>
      </c>
      <c r="D215" s="45">
        <f>Parameter!C$44</f>
        <v>0</v>
      </c>
      <c r="E215" s="134">
        <f t="shared" si="34"/>
        <v>0</v>
      </c>
      <c r="F215" s="135">
        <f t="shared" si="34"/>
        <v>0</v>
      </c>
      <c r="G215" s="135">
        <f t="shared" si="34"/>
        <v>0</v>
      </c>
      <c r="H215" s="135">
        <f t="shared" si="34"/>
        <v>0</v>
      </c>
      <c r="I215" s="135">
        <f t="shared" si="34"/>
        <v>0</v>
      </c>
      <c r="J215" s="135">
        <f t="shared" si="34"/>
        <v>0</v>
      </c>
      <c r="K215" s="135">
        <f t="shared" si="34"/>
        <v>0</v>
      </c>
      <c r="L215" s="136">
        <f t="shared" si="34"/>
        <v>0</v>
      </c>
    </row>
    <row r="216" spans="3:12" ht="15.6" hidden="1">
      <c r="C216" s="39" t="str">
        <f t="shared" si="31"/>
        <v>H</v>
      </c>
      <c r="D216" s="45">
        <f>Parameter!C$45</f>
        <v>0</v>
      </c>
      <c r="E216" s="134">
        <f t="shared" si="34"/>
        <v>0</v>
      </c>
      <c r="F216" s="135">
        <f t="shared" si="34"/>
        <v>0</v>
      </c>
      <c r="G216" s="135">
        <f t="shared" si="34"/>
        <v>0</v>
      </c>
      <c r="H216" s="135">
        <f t="shared" si="34"/>
        <v>0</v>
      </c>
      <c r="I216" s="135">
        <f t="shared" si="34"/>
        <v>0</v>
      </c>
      <c r="J216" s="135">
        <f t="shared" si="34"/>
        <v>0</v>
      </c>
      <c r="K216" s="135">
        <f t="shared" si="34"/>
        <v>0</v>
      </c>
      <c r="L216" s="136">
        <f t="shared" si="34"/>
        <v>0</v>
      </c>
    </row>
    <row r="217" spans="3:12" ht="15.6" hidden="1">
      <c r="C217" s="39" t="str">
        <f t="shared" si="31"/>
        <v>H</v>
      </c>
      <c r="D217" s="45">
        <f>Parameter!C$46</f>
        <v>0</v>
      </c>
      <c r="E217" s="134">
        <f t="shared" si="34"/>
        <v>0</v>
      </c>
      <c r="F217" s="135">
        <f t="shared" si="34"/>
        <v>0</v>
      </c>
      <c r="G217" s="135">
        <f t="shared" si="34"/>
        <v>0</v>
      </c>
      <c r="H217" s="135">
        <f t="shared" si="34"/>
        <v>0</v>
      </c>
      <c r="I217" s="135">
        <f t="shared" si="34"/>
        <v>0</v>
      </c>
      <c r="J217" s="135">
        <f t="shared" si="34"/>
        <v>0</v>
      </c>
      <c r="K217" s="135">
        <f t="shared" si="34"/>
        <v>0</v>
      </c>
      <c r="L217" s="136">
        <f t="shared" si="34"/>
        <v>0</v>
      </c>
    </row>
    <row r="218" spans="3:12" ht="15.6" hidden="1">
      <c r="C218" s="39" t="str">
        <f t="shared" si="31"/>
        <v>H</v>
      </c>
      <c r="D218" s="45">
        <f>Parameter!C$47</f>
        <v>0</v>
      </c>
      <c r="E218" s="134">
        <f t="shared" si="34"/>
        <v>0</v>
      </c>
      <c r="F218" s="135">
        <f t="shared" si="34"/>
        <v>0</v>
      </c>
      <c r="G218" s="135">
        <f t="shared" si="34"/>
        <v>0</v>
      </c>
      <c r="H218" s="135">
        <f t="shared" si="34"/>
        <v>0</v>
      </c>
      <c r="I218" s="135">
        <f t="shared" si="34"/>
        <v>0</v>
      </c>
      <c r="J218" s="135">
        <f t="shared" si="34"/>
        <v>0</v>
      </c>
      <c r="K218" s="135">
        <f t="shared" si="34"/>
        <v>0</v>
      </c>
      <c r="L218" s="136">
        <f t="shared" si="34"/>
        <v>0</v>
      </c>
    </row>
    <row r="219" spans="3:12" ht="15.6" hidden="1">
      <c r="C219" s="39" t="str">
        <f t="shared" si="31"/>
        <v>H</v>
      </c>
      <c r="D219" s="45">
        <f>Parameter!C$48</f>
        <v>0</v>
      </c>
      <c r="E219" s="134">
        <f t="shared" ref="E219:L228" si="35">SUMIF(ARVR_Y_PC_PR, "VR_"&amp;E$178&amp;"_"&amp;$D$177&amp;"_"&amp;$D219, PanelRev)</f>
        <v>0</v>
      </c>
      <c r="F219" s="135">
        <f t="shared" si="35"/>
        <v>0</v>
      </c>
      <c r="G219" s="135">
        <f t="shared" si="35"/>
        <v>0</v>
      </c>
      <c r="H219" s="135">
        <f t="shared" si="35"/>
        <v>0</v>
      </c>
      <c r="I219" s="135">
        <f t="shared" si="35"/>
        <v>0</v>
      </c>
      <c r="J219" s="135">
        <f t="shared" si="35"/>
        <v>0</v>
      </c>
      <c r="K219" s="135">
        <f t="shared" si="35"/>
        <v>0</v>
      </c>
      <c r="L219" s="136">
        <f t="shared" si="35"/>
        <v>0</v>
      </c>
    </row>
    <row r="220" spans="3:12" ht="15.6" hidden="1">
      <c r="C220" s="39" t="str">
        <f t="shared" si="31"/>
        <v>H</v>
      </c>
      <c r="D220" s="45">
        <f>Parameter!C$49</f>
        <v>0</v>
      </c>
      <c r="E220" s="134">
        <f t="shared" si="35"/>
        <v>0</v>
      </c>
      <c r="F220" s="135">
        <f t="shared" si="35"/>
        <v>0</v>
      </c>
      <c r="G220" s="135">
        <f t="shared" si="35"/>
        <v>0</v>
      </c>
      <c r="H220" s="135">
        <f t="shared" si="35"/>
        <v>0</v>
      </c>
      <c r="I220" s="135">
        <f t="shared" si="35"/>
        <v>0</v>
      </c>
      <c r="J220" s="135">
        <f t="shared" si="35"/>
        <v>0</v>
      </c>
      <c r="K220" s="135">
        <f t="shared" si="35"/>
        <v>0</v>
      </c>
      <c r="L220" s="136">
        <f t="shared" si="35"/>
        <v>0</v>
      </c>
    </row>
    <row r="221" spans="3:12" ht="15.6" hidden="1">
      <c r="C221" s="39" t="str">
        <f t="shared" si="31"/>
        <v>H</v>
      </c>
      <c r="D221" s="45">
        <f>Parameter!C$50</f>
        <v>0</v>
      </c>
      <c r="E221" s="134">
        <f t="shared" si="35"/>
        <v>0</v>
      </c>
      <c r="F221" s="135">
        <f t="shared" si="35"/>
        <v>0</v>
      </c>
      <c r="G221" s="135">
        <f t="shared" si="35"/>
        <v>0</v>
      </c>
      <c r="H221" s="135">
        <f t="shared" si="35"/>
        <v>0</v>
      </c>
      <c r="I221" s="135">
        <f t="shared" si="35"/>
        <v>0</v>
      </c>
      <c r="J221" s="135">
        <f t="shared" si="35"/>
        <v>0</v>
      </c>
      <c r="K221" s="135">
        <f t="shared" si="35"/>
        <v>0</v>
      </c>
      <c r="L221" s="136">
        <f t="shared" si="35"/>
        <v>0</v>
      </c>
    </row>
    <row r="222" spans="3:12" ht="15.6" hidden="1">
      <c r="C222" s="39" t="str">
        <f t="shared" si="31"/>
        <v>H</v>
      </c>
      <c r="D222" s="45">
        <f>Parameter!C$51</f>
        <v>0</v>
      </c>
      <c r="E222" s="134">
        <f t="shared" si="35"/>
        <v>0</v>
      </c>
      <c r="F222" s="135">
        <f t="shared" si="35"/>
        <v>0</v>
      </c>
      <c r="G222" s="135">
        <f t="shared" si="35"/>
        <v>0</v>
      </c>
      <c r="H222" s="135">
        <f t="shared" si="35"/>
        <v>0</v>
      </c>
      <c r="I222" s="135">
        <f t="shared" si="35"/>
        <v>0</v>
      </c>
      <c r="J222" s="135">
        <f t="shared" si="35"/>
        <v>0</v>
      </c>
      <c r="K222" s="135">
        <f t="shared" si="35"/>
        <v>0</v>
      </c>
      <c r="L222" s="136">
        <f t="shared" si="35"/>
        <v>0</v>
      </c>
    </row>
    <row r="223" spans="3:12" ht="15.6" hidden="1">
      <c r="C223" s="39" t="str">
        <f t="shared" si="31"/>
        <v>H</v>
      </c>
      <c r="D223" s="45">
        <f>Parameter!C$52</f>
        <v>0</v>
      </c>
      <c r="E223" s="134">
        <f t="shared" si="35"/>
        <v>0</v>
      </c>
      <c r="F223" s="135">
        <f t="shared" si="35"/>
        <v>0</v>
      </c>
      <c r="G223" s="135">
        <f t="shared" si="35"/>
        <v>0</v>
      </c>
      <c r="H223" s="135">
        <f t="shared" si="35"/>
        <v>0</v>
      </c>
      <c r="I223" s="135">
        <f t="shared" si="35"/>
        <v>0</v>
      </c>
      <c r="J223" s="135">
        <f t="shared" si="35"/>
        <v>0</v>
      </c>
      <c r="K223" s="135">
        <f t="shared" si="35"/>
        <v>0</v>
      </c>
      <c r="L223" s="136">
        <f t="shared" si="35"/>
        <v>0</v>
      </c>
    </row>
    <row r="224" spans="3:12" ht="15.6" hidden="1">
      <c r="C224" s="39" t="str">
        <f t="shared" si="31"/>
        <v>H</v>
      </c>
      <c r="D224" s="45">
        <f>Parameter!C$53</f>
        <v>0</v>
      </c>
      <c r="E224" s="134">
        <f t="shared" si="35"/>
        <v>0</v>
      </c>
      <c r="F224" s="135">
        <f t="shared" si="35"/>
        <v>0</v>
      </c>
      <c r="G224" s="135">
        <f t="shared" si="35"/>
        <v>0</v>
      </c>
      <c r="H224" s="135">
        <f t="shared" si="35"/>
        <v>0</v>
      </c>
      <c r="I224" s="135">
        <f t="shared" si="35"/>
        <v>0</v>
      </c>
      <c r="J224" s="135">
        <f t="shared" si="35"/>
        <v>0</v>
      </c>
      <c r="K224" s="135">
        <f t="shared" si="35"/>
        <v>0</v>
      </c>
      <c r="L224" s="136">
        <f t="shared" si="35"/>
        <v>0</v>
      </c>
    </row>
    <row r="225" spans="3:12" ht="15.6" hidden="1">
      <c r="C225" s="39" t="str">
        <f t="shared" si="31"/>
        <v>H</v>
      </c>
      <c r="D225" s="45">
        <f>Parameter!C$54</f>
        <v>0</v>
      </c>
      <c r="E225" s="134">
        <f t="shared" si="35"/>
        <v>0</v>
      </c>
      <c r="F225" s="135">
        <f t="shared" si="35"/>
        <v>0</v>
      </c>
      <c r="G225" s="135">
        <f t="shared" si="35"/>
        <v>0</v>
      </c>
      <c r="H225" s="135">
        <f t="shared" si="35"/>
        <v>0</v>
      </c>
      <c r="I225" s="135">
        <f t="shared" si="35"/>
        <v>0</v>
      </c>
      <c r="J225" s="135">
        <f t="shared" si="35"/>
        <v>0</v>
      </c>
      <c r="K225" s="135">
        <f t="shared" si="35"/>
        <v>0</v>
      </c>
      <c r="L225" s="136">
        <f t="shared" si="35"/>
        <v>0</v>
      </c>
    </row>
    <row r="226" spans="3:12" ht="15.6" hidden="1">
      <c r="C226" s="39" t="str">
        <f t="shared" si="31"/>
        <v>H</v>
      </c>
      <c r="D226" s="45">
        <f>Parameter!C$55</f>
        <v>0</v>
      </c>
      <c r="E226" s="134">
        <f t="shared" si="35"/>
        <v>0</v>
      </c>
      <c r="F226" s="135">
        <f t="shared" si="35"/>
        <v>0</v>
      </c>
      <c r="G226" s="135">
        <f t="shared" si="35"/>
        <v>0</v>
      </c>
      <c r="H226" s="135">
        <f t="shared" si="35"/>
        <v>0</v>
      </c>
      <c r="I226" s="135">
        <f t="shared" si="35"/>
        <v>0</v>
      </c>
      <c r="J226" s="135">
        <f t="shared" si="35"/>
        <v>0</v>
      </c>
      <c r="K226" s="135">
        <f t="shared" si="35"/>
        <v>0</v>
      </c>
      <c r="L226" s="136">
        <f t="shared" si="35"/>
        <v>0</v>
      </c>
    </row>
    <row r="227" spans="3:12" ht="15.6" hidden="1">
      <c r="C227" s="39" t="str">
        <f t="shared" si="31"/>
        <v>H</v>
      </c>
      <c r="D227" s="45">
        <f>Parameter!C$56</f>
        <v>0</v>
      </c>
      <c r="E227" s="134">
        <f t="shared" si="35"/>
        <v>0</v>
      </c>
      <c r="F227" s="135">
        <f t="shared" si="35"/>
        <v>0</v>
      </c>
      <c r="G227" s="135">
        <f t="shared" si="35"/>
        <v>0</v>
      </c>
      <c r="H227" s="135">
        <f t="shared" si="35"/>
        <v>0</v>
      </c>
      <c r="I227" s="135">
        <f t="shared" si="35"/>
        <v>0</v>
      </c>
      <c r="J227" s="135">
        <f t="shared" si="35"/>
        <v>0</v>
      </c>
      <c r="K227" s="135">
        <f t="shared" si="35"/>
        <v>0</v>
      </c>
      <c r="L227" s="136">
        <f t="shared" si="35"/>
        <v>0</v>
      </c>
    </row>
    <row r="228" spans="3:12" ht="16.2" hidden="1" thickBot="1">
      <c r="C228" s="39" t="str">
        <f t="shared" si="31"/>
        <v>H</v>
      </c>
      <c r="D228" s="53" t="str">
        <f>Parameter!C$57</f>
        <v>ALL</v>
      </c>
      <c r="E228" s="137">
        <f t="shared" si="35"/>
        <v>0</v>
      </c>
      <c r="F228" s="138">
        <f t="shared" si="35"/>
        <v>0</v>
      </c>
      <c r="G228" s="138">
        <f t="shared" si="35"/>
        <v>0</v>
      </c>
      <c r="H228" s="138">
        <f t="shared" si="35"/>
        <v>0</v>
      </c>
      <c r="I228" s="138">
        <f t="shared" si="35"/>
        <v>0</v>
      </c>
      <c r="J228" s="138">
        <f t="shared" si="35"/>
        <v>0</v>
      </c>
      <c r="K228" s="138">
        <f t="shared" si="35"/>
        <v>0</v>
      </c>
      <c r="L228" s="139">
        <f t="shared" si="35"/>
        <v>0</v>
      </c>
    </row>
    <row r="229" spans="3:12" ht="15.6">
      <c r="C229" s="39" t="str">
        <f t="shared" si="31"/>
        <v/>
      </c>
      <c r="D229" s="54" t="s">
        <v>87</v>
      </c>
      <c r="E229" s="140">
        <f>SUM(E179:E228)</f>
        <v>26.752441408000003</v>
      </c>
      <c r="F229" s="141">
        <f t="shared" ref="F229:L229" si="36">SUM(F179:F228)</f>
        <v>257.65754145964803</v>
      </c>
      <c r="G229" s="141">
        <f t="shared" si="36"/>
        <v>137.66597936182657</v>
      </c>
      <c r="H229" s="141">
        <f t="shared" si="36"/>
        <v>110.76149652229634</v>
      </c>
      <c r="I229" s="141">
        <f t="shared" si="36"/>
        <v>220.01773514604872</v>
      </c>
      <c r="J229" s="141">
        <f t="shared" si="36"/>
        <v>336.90215694238708</v>
      </c>
      <c r="K229" s="141">
        <f t="shared" si="36"/>
        <v>293.47921226981276</v>
      </c>
      <c r="L229" s="142">
        <f t="shared" si="36"/>
        <v>309.76</v>
      </c>
    </row>
    <row r="230" spans="3:12" ht="16.2" thickBot="1">
      <c r="C230" s="39" t="str">
        <f t="shared" si="31"/>
        <v/>
      </c>
      <c r="D230" s="46" t="s">
        <v>88</v>
      </c>
      <c r="E230" s="47"/>
      <c r="F230" s="50">
        <f t="shared" ref="F230:G230" si="37">IF(E229*F229=0, "", F229/E229-1)</f>
        <v>8.6311786102108261</v>
      </c>
      <c r="G230" s="50">
        <f t="shared" si="37"/>
        <v>-0.4657017272541718</v>
      </c>
      <c r="H230" s="50">
        <f>IF(G229*H229=0, "", H229/G229-1)</f>
        <v>-0.19543305444272008</v>
      </c>
      <c r="I230" s="50">
        <f t="shared" ref="I230:L230" si="38">IF(H229*I229=0, "", I229/H229-1)</f>
        <v>0.98640991729250471</v>
      </c>
      <c r="J230" s="50">
        <f t="shared" si="38"/>
        <v>0.53124999999999978</v>
      </c>
      <c r="K230" s="50">
        <f t="shared" si="38"/>
        <v>-0.12888888888888883</v>
      </c>
      <c r="L230" s="51">
        <f t="shared" si="38"/>
        <v>5.5475096870640783E-2</v>
      </c>
    </row>
    <row r="231" spans="3:12">
      <c r="C231"/>
    </row>
    <row r="232" spans="3:12" ht="14.4" thickBot="1">
      <c r="C232"/>
    </row>
    <row r="233" spans="3:12" ht="15" thickBot="1">
      <c r="C233" s="57" t="str">
        <f>IF(SUM(E285:L285)=0, "H", "")</f>
        <v/>
      </c>
      <c r="D233" s="52" t="str">
        <f>Parameter!G12</f>
        <v>2x SiOLED</v>
      </c>
    </row>
    <row r="234" spans="3:12" ht="16.2" thickBot="1">
      <c r="C234" s="57" t="str">
        <f>IF(SUM(E285:L285)=0, "H", "")</f>
        <v/>
      </c>
      <c r="D234" s="40" t="s">
        <v>85</v>
      </c>
      <c r="E234" s="41" t="str">
        <f t="shared" ref="E234:L234" si="39">E10</f>
        <v>2022</v>
      </c>
      <c r="F234" s="42" t="str">
        <f t="shared" si="39"/>
        <v>2023</v>
      </c>
      <c r="G234" s="42" t="str">
        <f t="shared" si="39"/>
        <v>2024</v>
      </c>
      <c r="H234" s="42">
        <f t="shared" si="39"/>
        <v>2025</v>
      </c>
      <c r="I234" s="42" t="str">
        <f t="shared" si="39"/>
        <v>2026</v>
      </c>
      <c r="J234" s="42" t="str">
        <f t="shared" si="39"/>
        <v>2027</v>
      </c>
      <c r="K234" s="42" t="str">
        <f t="shared" si="39"/>
        <v>2028</v>
      </c>
      <c r="L234" s="43" t="str">
        <f t="shared" si="39"/>
        <v>2029</v>
      </c>
    </row>
    <row r="235" spans="3:12" ht="15.6">
      <c r="C235" s="39" t="str">
        <f>IF(SUM(E235:L235)=0, "H", "")</f>
        <v/>
      </c>
      <c r="D235" s="44" t="str">
        <f>Parameter!C$8</f>
        <v>5K VR</v>
      </c>
      <c r="E235" s="134">
        <f t="shared" ref="E235:L244" si="40">SUMIF(ARVR_Y_PC_PR, "VR_"&amp;E$234&amp;"_"&amp;$D$233&amp;"_"&amp;$D235, PanelRev)</f>
        <v>0.44104500000000002</v>
      </c>
      <c r="F235" s="135">
        <f t="shared" si="40"/>
        <v>0</v>
      </c>
      <c r="G235" s="135">
        <f t="shared" si="40"/>
        <v>0</v>
      </c>
      <c r="H235" s="135">
        <f t="shared" si="40"/>
        <v>0</v>
      </c>
      <c r="I235" s="135">
        <f t="shared" si="40"/>
        <v>0</v>
      </c>
      <c r="J235" s="135">
        <f t="shared" si="40"/>
        <v>0</v>
      </c>
      <c r="K235" s="135">
        <f t="shared" si="40"/>
        <v>0</v>
      </c>
      <c r="L235" s="136">
        <f t="shared" si="40"/>
        <v>0</v>
      </c>
    </row>
    <row r="236" spans="3:12" ht="15.6" hidden="1">
      <c r="C236" s="39" t="str">
        <f t="shared" ref="C236:C288" si="41">IF(SUM(E236:L236)=0, "H", "")</f>
        <v>H</v>
      </c>
      <c r="D236" s="44" t="str">
        <f>Parameter!C$9</f>
        <v>Aero</v>
      </c>
      <c r="E236" s="134">
        <f t="shared" si="40"/>
        <v>0</v>
      </c>
      <c r="F236" s="135">
        <f t="shared" si="40"/>
        <v>0</v>
      </c>
      <c r="G236" s="135">
        <f t="shared" si="40"/>
        <v>0</v>
      </c>
      <c r="H236" s="135">
        <f t="shared" si="40"/>
        <v>0</v>
      </c>
      <c r="I236" s="135">
        <f t="shared" si="40"/>
        <v>0</v>
      </c>
      <c r="J236" s="135">
        <f t="shared" si="40"/>
        <v>0</v>
      </c>
      <c r="K236" s="135">
        <f t="shared" si="40"/>
        <v>0</v>
      </c>
      <c r="L236" s="136">
        <f t="shared" si="40"/>
        <v>0</v>
      </c>
    </row>
    <row r="237" spans="3:12" ht="15.6">
      <c r="C237" s="39" t="str">
        <f t="shared" si="41"/>
        <v/>
      </c>
      <c r="D237" s="45" t="str">
        <f>Parameter!C$10</f>
        <v>Beyond</v>
      </c>
      <c r="E237" s="134">
        <f t="shared" si="40"/>
        <v>0</v>
      </c>
      <c r="F237" s="135">
        <f t="shared" si="40"/>
        <v>5.5440000000000005</v>
      </c>
      <c r="G237" s="135">
        <f t="shared" si="40"/>
        <v>14.996</v>
      </c>
      <c r="H237" s="135">
        <f t="shared" si="40"/>
        <v>5.4</v>
      </c>
      <c r="I237" s="135">
        <f t="shared" si="40"/>
        <v>0</v>
      </c>
      <c r="J237" s="135">
        <f t="shared" si="40"/>
        <v>0</v>
      </c>
      <c r="K237" s="135">
        <f t="shared" si="40"/>
        <v>0</v>
      </c>
      <c r="L237" s="136">
        <f t="shared" si="40"/>
        <v>0</v>
      </c>
    </row>
    <row r="238" spans="3:12" ht="15.6">
      <c r="C238" s="39" t="str">
        <f t="shared" si="41"/>
        <v/>
      </c>
      <c r="D238" s="45" t="str">
        <f>Parameter!C$11</f>
        <v>Bionic models</v>
      </c>
      <c r="E238" s="134">
        <f t="shared" si="40"/>
        <v>0</v>
      </c>
      <c r="F238" s="135">
        <f t="shared" si="40"/>
        <v>3.1808165399999999</v>
      </c>
      <c r="G238" s="135">
        <f t="shared" si="40"/>
        <v>0.77013192960000021</v>
      </c>
      <c r="H238" s="135">
        <f t="shared" si="40"/>
        <v>0</v>
      </c>
      <c r="I238" s="135">
        <f t="shared" si="40"/>
        <v>0</v>
      </c>
      <c r="J238" s="135">
        <f t="shared" si="40"/>
        <v>0</v>
      </c>
      <c r="K238" s="135">
        <f t="shared" si="40"/>
        <v>0</v>
      </c>
      <c r="L238" s="136">
        <f t="shared" si="40"/>
        <v>0</v>
      </c>
    </row>
    <row r="239" spans="3:12" ht="15.6" hidden="1">
      <c r="C239" s="39" t="str">
        <f t="shared" si="41"/>
        <v>H</v>
      </c>
      <c r="D239" s="45" t="str">
        <f>Parameter!C$12</f>
        <v>Dual LCD VR headset</v>
      </c>
      <c r="E239" s="134">
        <f t="shared" si="40"/>
        <v>0</v>
      </c>
      <c r="F239" s="135">
        <f t="shared" si="40"/>
        <v>0</v>
      </c>
      <c r="G239" s="135">
        <f t="shared" si="40"/>
        <v>0</v>
      </c>
      <c r="H239" s="135">
        <f t="shared" si="40"/>
        <v>0</v>
      </c>
      <c r="I239" s="135">
        <f t="shared" si="40"/>
        <v>0</v>
      </c>
      <c r="J239" s="135">
        <f t="shared" si="40"/>
        <v>0</v>
      </c>
      <c r="K239" s="135">
        <f t="shared" si="40"/>
        <v>0</v>
      </c>
      <c r="L239" s="136">
        <f t="shared" si="40"/>
        <v>0</v>
      </c>
    </row>
    <row r="240" spans="3:12" ht="15.6">
      <c r="C240" s="39" t="str">
        <f t="shared" si="41"/>
        <v/>
      </c>
      <c r="D240" s="45" t="str">
        <f>Parameter!C$13</f>
        <v>Dual SiOLED headset</v>
      </c>
      <c r="E240" s="134">
        <f t="shared" si="40"/>
        <v>0</v>
      </c>
      <c r="F240" s="135">
        <f t="shared" si="40"/>
        <v>0</v>
      </c>
      <c r="G240" s="135">
        <f t="shared" si="40"/>
        <v>0</v>
      </c>
      <c r="H240" s="135">
        <f t="shared" si="40"/>
        <v>16.900000000000002</v>
      </c>
      <c r="I240" s="135">
        <f t="shared" si="40"/>
        <v>140.14000000000001</v>
      </c>
      <c r="J240" s="135">
        <f t="shared" si="40"/>
        <v>625.31673684480018</v>
      </c>
      <c r="K240" s="135">
        <f t="shared" si="40"/>
        <v>634.93699433472011</v>
      </c>
      <c r="L240" s="136">
        <f t="shared" si="40"/>
        <v>910.07635854643195</v>
      </c>
    </row>
    <row r="241" spans="3:12" ht="15.6" hidden="1">
      <c r="C241" s="39" t="str">
        <f t="shared" si="41"/>
        <v>H</v>
      </c>
      <c r="D241" s="45" t="str">
        <f>Parameter!C$14</f>
        <v>Index</v>
      </c>
      <c r="E241" s="134">
        <f t="shared" si="40"/>
        <v>0</v>
      </c>
      <c r="F241" s="135">
        <f t="shared" si="40"/>
        <v>0</v>
      </c>
      <c r="G241" s="135">
        <f t="shared" si="40"/>
        <v>0</v>
      </c>
      <c r="H241" s="135">
        <f t="shared" si="40"/>
        <v>0</v>
      </c>
      <c r="I241" s="135">
        <f t="shared" si="40"/>
        <v>0</v>
      </c>
      <c r="J241" s="135">
        <f t="shared" si="40"/>
        <v>0</v>
      </c>
      <c r="K241" s="135">
        <f t="shared" si="40"/>
        <v>0</v>
      </c>
      <c r="L241" s="136">
        <f t="shared" si="40"/>
        <v>0</v>
      </c>
    </row>
    <row r="242" spans="3:12" ht="15.6">
      <c r="C242" s="39" t="str">
        <f t="shared" si="41"/>
        <v/>
      </c>
      <c r="D242" s="45" t="str">
        <f>Parameter!C$15</f>
        <v>MeganeX</v>
      </c>
      <c r="E242" s="134">
        <f t="shared" si="40"/>
        <v>0.44104500000000002</v>
      </c>
      <c r="F242" s="135">
        <f t="shared" si="40"/>
        <v>1.0585080000000002</v>
      </c>
      <c r="G242" s="135">
        <f t="shared" si="40"/>
        <v>0</v>
      </c>
      <c r="H242" s="135">
        <f t="shared" si="40"/>
        <v>0</v>
      </c>
      <c r="I242" s="135">
        <f t="shared" si="40"/>
        <v>0</v>
      </c>
      <c r="J242" s="135">
        <f t="shared" si="40"/>
        <v>0</v>
      </c>
      <c r="K242" s="135">
        <f t="shared" si="40"/>
        <v>0</v>
      </c>
      <c r="L242" s="136">
        <f t="shared" si="40"/>
        <v>0</v>
      </c>
    </row>
    <row r="243" spans="3:12" ht="15.6">
      <c r="C243" s="39" t="str">
        <f t="shared" si="41"/>
        <v/>
      </c>
      <c r="D243" s="45" t="str">
        <f>Parameter!C$16</f>
        <v>MeganeX Superlight 8K</v>
      </c>
      <c r="E243" s="134">
        <f t="shared" si="40"/>
        <v>0</v>
      </c>
      <c r="F243" s="135">
        <f t="shared" si="40"/>
        <v>0</v>
      </c>
      <c r="G243" s="135">
        <f t="shared" si="40"/>
        <v>1.5000000000000001E-2</v>
      </c>
      <c r="H243" s="135">
        <f t="shared" si="40"/>
        <v>7.0000000000000007E-2</v>
      </c>
      <c r="I243" s="135">
        <f t="shared" si="40"/>
        <v>0</v>
      </c>
      <c r="J243" s="135">
        <f t="shared" si="40"/>
        <v>0</v>
      </c>
      <c r="K243" s="135">
        <f t="shared" si="40"/>
        <v>0</v>
      </c>
      <c r="L243" s="136">
        <f t="shared" si="40"/>
        <v>0</v>
      </c>
    </row>
    <row r="244" spans="3:12" ht="15.6" hidden="1">
      <c r="C244" s="39" t="str">
        <f t="shared" si="41"/>
        <v>H</v>
      </c>
      <c r="D244" s="45" t="str">
        <f>Parameter!C$17</f>
        <v>Neo 3 / G3</v>
      </c>
      <c r="E244" s="134">
        <f t="shared" si="40"/>
        <v>0</v>
      </c>
      <c r="F244" s="135">
        <f t="shared" si="40"/>
        <v>0</v>
      </c>
      <c r="G244" s="135">
        <f t="shared" si="40"/>
        <v>0</v>
      </c>
      <c r="H244" s="135">
        <f t="shared" si="40"/>
        <v>0</v>
      </c>
      <c r="I244" s="135">
        <f t="shared" si="40"/>
        <v>0</v>
      </c>
      <c r="J244" s="135">
        <f t="shared" si="40"/>
        <v>0</v>
      </c>
      <c r="K244" s="135">
        <f t="shared" si="40"/>
        <v>0</v>
      </c>
      <c r="L244" s="136">
        <f t="shared" si="40"/>
        <v>0</v>
      </c>
    </row>
    <row r="245" spans="3:12" ht="15.6" hidden="1">
      <c r="C245" s="39" t="str">
        <f t="shared" si="41"/>
        <v>H</v>
      </c>
      <c r="D245" s="45" t="str">
        <f>Parameter!C$18</f>
        <v>OLED VR headset</v>
      </c>
      <c r="E245" s="134">
        <f t="shared" ref="E245:L254" si="42">SUMIF(ARVR_Y_PC_PR, "VR_"&amp;E$234&amp;"_"&amp;$D$233&amp;"_"&amp;$D245, PanelRev)</f>
        <v>0</v>
      </c>
      <c r="F245" s="135">
        <f t="shared" si="42"/>
        <v>0</v>
      </c>
      <c r="G245" s="135">
        <f t="shared" si="42"/>
        <v>0</v>
      </c>
      <c r="H245" s="135">
        <f t="shared" si="42"/>
        <v>0</v>
      </c>
      <c r="I245" s="135">
        <f t="shared" si="42"/>
        <v>0</v>
      </c>
      <c r="J245" s="135">
        <f t="shared" si="42"/>
        <v>0</v>
      </c>
      <c r="K245" s="135">
        <f t="shared" si="42"/>
        <v>0</v>
      </c>
      <c r="L245" s="136">
        <f t="shared" si="42"/>
        <v>0</v>
      </c>
    </row>
    <row r="246" spans="3:12" ht="15.6" hidden="1">
      <c r="C246" s="39" t="str">
        <f t="shared" si="41"/>
        <v>H</v>
      </c>
      <c r="D246" s="45" t="str">
        <f>Parameter!C$19</f>
        <v>P1 family</v>
      </c>
      <c r="E246" s="134">
        <f t="shared" si="42"/>
        <v>0</v>
      </c>
      <c r="F246" s="135">
        <f t="shared" si="42"/>
        <v>0</v>
      </c>
      <c r="G246" s="135">
        <f t="shared" si="42"/>
        <v>0</v>
      </c>
      <c r="H246" s="135">
        <f t="shared" si="42"/>
        <v>0</v>
      </c>
      <c r="I246" s="135">
        <f t="shared" si="42"/>
        <v>0</v>
      </c>
      <c r="J246" s="135">
        <f t="shared" si="42"/>
        <v>0</v>
      </c>
      <c r="K246" s="135">
        <f t="shared" si="42"/>
        <v>0</v>
      </c>
      <c r="L246" s="136">
        <f t="shared" si="42"/>
        <v>0</v>
      </c>
    </row>
    <row r="247" spans="3:12" ht="15.6" hidden="1">
      <c r="C247" s="39" t="str">
        <f t="shared" si="41"/>
        <v>H</v>
      </c>
      <c r="D247" s="45" t="str">
        <f>Parameter!C$20</f>
        <v>Pico 4</v>
      </c>
      <c r="E247" s="134">
        <f t="shared" si="42"/>
        <v>0</v>
      </c>
      <c r="F247" s="135">
        <f t="shared" si="42"/>
        <v>0</v>
      </c>
      <c r="G247" s="135">
        <f t="shared" si="42"/>
        <v>0</v>
      </c>
      <c r="H247" s="135">
        <f t="shared" si="42"/>
        <v>0</v>
      </c>
      <c r="I247" s="135">
        <f t="shared" si="42"/>
        <v>0</v>
      </c>
      <c r="J247" s="135">
        <f t="shared" si="42"/>
        <v>0</v>
      </c>
      <c r="K247" s="135">
        <f t="shared" si="42"/>
        <v>0</v>
      </c>
      <c r="L247" s="136">
        <f t="shared" si="42"/>
        <v>0</v>
      </c>
    </row>
    <row r="248" spans="3:12" ht="15.6" hidden="1">
      <c r="C248" s="39" t="str">
        <f t="shared" si="41"/>
        <v>H</v>
      </c>
      <c r="D248" s="45" t="str">
        <f>Parameter!C$21</f>
        <v>Pimax VR</v>
      </c>
      <c r="E248" s="134">
        <f t="shared" si="42"/>
        <v>0</v>
      </c>
      <c r="F248" s="135">
        <f t="shared" si="42"/>
        <v>0</v>
      </c>
      <c r="G248" s="135">
        <f t="shared" si="42"/>
        <v>0</v>
      </c>
      <c r="H248" s="135">
        <f t="shared" si="42"/>
        <v>0</v>
      </c>
      <c r="I248" s="135">
        <f t="shared" si="42"/>
        <v>0</v>
      </c>
      <c r="J248" s="135">
        <f t="shared" si="42"/>
        <v>0</v>
      </c>
      <c r="K248" s="135">
        <f t="shared" si="42"/>
        <v>0</v>
      </c>
      <c r="L248" s="136">
        <f t="shared" si="42"/>
        <v>0</v>
      </c>
    </row>
    <row r="249" spans="3:12" ht="15.6" hidden="1">
      <c r="C249" s="39" t="str">
        <f t="shared" si="41"/>
        <v>H</v>
      </c>
      <c r="D249" s="45" t="str">
        <f>Parameter!C$22</f>
        <v>PlayStation VR</v>
      </c>
      <c r="E249" s="134">
        <f t="shared" si="42"/>
        <v>0</v>
      </c>
      <c r="F249" s="135">
        <f t="shared" si="42"/>
        <v>0</v>
      </c>
      <c r="G249" s="135">
        <f t="shared" si="42"/>
        <v>0</v>
      </c>
      <c r="H249" s="135">
        <f t="shared" si="42"/>
        <v>0</v>
      </c>
      <c r="I249" s="135">
        <f t="shared" si="42"/>
        <v>0</v>
      </c>
      <c r="J249" s="135">
        <f t="shared" si="42"/>
        <v>0</v>
      </c>
      <c r="K249" s="135">
        <f t="shared" si="42"/>
        <v>0</v>
      </c>
      <c r="L249" s="136">
        <f t="shared" si="42"/>
        <v>0</v>
      </c>
    </row>
    <row r="250" spans="3:12" ht="15.6" hidden="1">
      <c r="C250" s="39" t="str">
        <f t="shared" si="41"/>
        <v>H</v>
      </c>
      <c r="D250" s="45" t="str">
        <f>Parameter!C$23</f>
        <v>PlayStation VR2</v>
      </c>
      <c r="E250" s="134">
        <f t="shared" si="42"/>
        <v>0</v>
      </c>
      <c r="F250" s="135">
        <f t="shared" si="42"/>
        <v>0</v>
      </c>
      <c r="G250" s="135">
        <f t="shared" si="42"/>
        <v>0</v>
      </c>
      <c r="H250" s="135">
        <f t="shared" si="42"/>
        <v>0</v>
      </c>
      <c r="I250" s="135">
        <f t="shared" si="42"/>
        <v>0</v>
      </c>
      <c r="J250" s="135">
        <f t="shared" si="42"/>
        <v>0</v>
      </c>
      <c r="K250" s="135">
        <f t="shared" si="42"/>
        <v>0</v>
      </c>
      <c r="L250" s="136">
        <f t="shared" si="42"/>
        <v>0</v>
      </c>
    </row>
    <row r="251" spans="3:12" ht="15.6" hidden="1">
      <c r="C251" s="39" t="str">
        <f t="shared" si="41"/>
        <v>H</v>
      </c>
      <c r="D251" s="45" t="str">
        <f>Parameter!C$24</f>
        <v>Project Moohan</v>
      </c>
      <c r="E251" s="134">
        <f t="shared" si="42"/>
        <v>0</v>
      </c>
      <c r="F251" s="135">
        <f t="shared" si="42"/>
        <v>0</v>
      </c>
      <c r="G251" s="135">
        <f t="shared" si="42"/>
        <v>0</v>
      </c>
      <c r="H251" s="135">
        <f t="shared" si="42"/>
        <v>0</v>
      </c>
      <c r="I251" s="135">
        <f t="shared" si="42"/>
        <v>0</v>
      </c>
      <c r="J251" s="135">
        <f t="shared" si="42"/>
        <v>0</v>
      </c>
      <c r="K251" s="135">
        <f t="shared" si="42"/>
        <v>0</v>
      </c>
      <c r="L251" s="136">
        <f t="shared" si="42"/>
        <v>0</v>
      </c>
    </row>
    <row r="252" spans="3:12" ht="15.6" hidden="1">
      <c r="C252" s="39" t="str">
        <f t="shared" si="41"/>
        <v>H</v>
      </c>
      <c r="D252" s="45" t="str">
        <f>Parameter!C$25</f>
        <v>Quest</v>
      </c>
      <c r="E252" s="134">
        <f t="shared" si="42"/>
        <v>0</v>
      </c>
      <c r="F252" s="135">
        <f t="shared" si="42"/>
        <v>0</v>
      </c>
      <c r="G252" s="135">
        <f t="shared" si="42"/>
        <v>0</v>
      </c>
      <c r="H252" s="135">
        <f t="shared" si="42"/>
        <v>0</v>
      </c>
      <c r="I252" s="135">
        <f t="shared" si="42"/>
        <v>0</v>
      </c>
      <c r="J252" s="135">
        <f t="shared" si="42"/>
        <v>0</v>
      </c>
      <c r="K252" s="135">
        <f t="shared" si="42"/>
        <v>0</v>
      </c>
      <c r="L252" s="136">
        <f t="shared" si="42"/>
        <v>0</v>
      </c>
    </row>
    <row r="253" spans="3:12" ht="15.6" hidden="1">
      <c r="C253" s="39" t="str">
        <f t="shared" si="41"/>
        <v>H</v>
      </c>
      <c r="D253" s="45" t="str">
        <f>Parameter!C$26</f>
        <v>Quest 2</v>
      </c>
      <c r="E253" s="134">
        <f t="shared" si="42"/>
        <v>0</v>
      </c>
      <c r="F253" s="135">
        <f t="shared" si="42"/>
        <v>0</v>
      </c>
      <c r="G253" s="135">
        <f t="shared" si="42"/>
        <v>0</v>
      </c>
      <c r="H253" s="135">
        <f t="shared" si="42"/>
        <v>0</v>
      </c>
      <c r="I253" s="135">
        <f t="shared" si="42"/>
        <v>0</v>
      </c>
      <c r="J253" s="135">
        <f t="shared" si="42"/>
        <v>0</v>
      </c>
      <c r="K253" s="135">
        <f t="shared" si="42"/>
        <v>0</v>
      </c>
      <c r="L253" s="136">
        <f t="shared" si="42"/>
        <v>0</v>
      </c>
    </row>
    <row r="254" spans="3:12" ht="15.6" hidden="1">
      <c r="C254" s="39" t="str">
        <f t="shared" si="41"/>
        <v>H</v>
      </c>
      <c r="D254" s="45" t="str">
        <f>Parameter!C$27</f>
        <v>Quest 3</v>
      </c>
      <c r="E254" s="134">
        <f t="shared" si="42"/>
        <v>0</v>
      </c>
      <c r="F254" s="135">
        <f t="shared" si="42"/>
        <v>0</v>
      </c>
      <c r="G254" s="135">
        <f t="shared" si="42"/>
        <v>0</v>
      </c>
      <c r="H254" s="135">
        <f t="shared" si="42"/>
        <v>0</v>
      </c>
      <c r="I254" s="135">
        <f t="shared" si="42"/>
        <v>0</v>
      </c>
      <c r="J254" s="135">
        <f t="shared" si="42"/>
        <v>0</v>
      </c>
      <c r="K254" s="135">
        <f t="shared" si="42"/>
        <v>0</v>
      </c>
      <c r="L254" s="136">
        <f t="shared" si="42"/>
        <v>0</v>
      </c>
    </row>
    <row r="255" spans="3:12" ht="15.6" hidden="1">
      <c r="C255" s="39" t="str">
        <f t="shared" si="41"/>
        <v>H</v>
      </c>
      <c r="D255" s="45" t="str">
        <f>Parameter!C$28</f>
        <v>Quest 3S</v>
      </c>
      <c r="E255" s="134">
        <f t="shared" ref="E255:L264" si="43">SUMIF(ARVR_Y_PC_PR, "VR_"&amp;E$234&amp;"_"&amp;$D$233&amp;"_"&amp;$D255, PanelRev)</f>
        <v>0</v>
      </c>
      <c r="F255" s="135">
        <f t="shared" si="43"/>
        <v>0</v>
      </c>
      <c r="G255" s="135">
        <f t="shared" si="43"/>
        <v>0</v>
      </c>
      <c r="H255" s="135">
        <f t="shared" si="43"/>
        <v>0</v>
      </c>
      <c r="I255" s="135">
        <f t="shared" si="43"/>
        <v>0</v>
      </c>
      <c r="J255" s="135">
        <f t="shared" si="43"/>
        <v>0</v>
      </c>
      <c r="K255" s="135">
        <f t="shared" si="43"/>
        <v>0</v>
      </c>
      <c r="L255" s="136">
        <f t="shared" si="43"/>
        <v>0</v>
      </c>
    </row>
    <row r="256" spans="3:12" ht="15.6" hidden="1">
      <c r="C256" s="39" t="str">
        <f t="shared" si="41"/>
        <v>H</v>
      </c>
      <c r="D256" s="45" t="str">
        <f>Parameter!C$29</f>
        <v>Quest Pro</v>
      </c>
      <c r="E256" s="134">
        <f t="shared" si="43"/>
        <v>0</v>
      </c>
      <c r="F256" s="135">
        <f t="shared" si="43"/>
        <v>0</v>
      </c>
      <c r="G256" s="135">
        <f t="shared" si="43"/>
        <v>0</v>
      </c>
      <c r="H256" s="135">
        <f t="shared" si="43"/>
        <v>0</v>
      </c>
      <c r="I256" s="135">
        <f t="shared" si="43"/>
        <v>0</v>
      </c>
      <c r="J256" s="135">
        <f t="shared" si="43"/>
        <v>0</v>
      </c>
      <c r="K256" s="135">
        <f t="shared" si="43"/>
        <v>0</v>
      </c>
      <c r="L256" s="136">
        <f t="shared" si="43"/>
        <v>0</v>
      </c>
    </row>
    <row r="257" spans="3:12" ht="15.6" hidden="1">
      <c r="C257" s="39" t="str">
        <f t="shared" si="41"/>
        <v>H</v>
      </c>
      <c r="D257" s="45" t="str">
        <f>Parameter!C$30</f>
        <v>R1</v>
      </c>
      <c r="E257" s="134">
        <f t="shared" si="43"/>
        <v>0</v>
      </c>
      <c r="F257" s="135">
        <f t="shared" si="43"/>
        <v>0</v>
      </c>
      <c r="G257" s="135">
        <f t="shared" si="43"/>
        <v>0</v>
      </c>
      <c r="H257" s="135">
        <f t="shared" si="43"/>
        <v>0</v>
      </c>
      <c r="I257" s="135">
        <f t="shared" si="43"/>
        <v>0</v>
      </c>
      <c r="J257" s="135">
        <f t="shared" si="43"/>
        <v>0</v>
      </c>
      <c r="K257" s="135">
        <f t="shared" si="43"/>
        <v>0</v>
      </c>
      <c r="L257" s="136">
        <f t="shared" si="43"/>
        <v>0</v>
      </c>
    </row>
    <row r="258" spans="3:12" ht="15.6" hidden="1">
      <c r="C258" s="39" t="str">
        <f t="shared" si="41"/>
        <v>H</v>
      </c>
      <c r="D258" s="45" t="str">
        <f>Parameter!C$31</f>
        <v>Reverb</v>
      </c>
      <c r="E258" s="134">
        <f t="shared" si="43"/>
        <v>0</v>
      </c>
      <c r="F258" s="135">
        <f t="shared" si="43"/>
        <v>0</v>
      </c>
      <c r="G258" s="135">
        <f t="shared" si="43"/>
        <v>0</v>
      </c>
      <c r="H258" s="135">
        <f t="shared" si="43"/>
        <v>0</v>
      </c>
      <c r="I258" s="135">
        <f t="shared" si="43"/>
        <v>0</v>
      </c>
      <c r="J258" s="135">
        <f t="shared" si="43"/>
        <v>0</v>
      </c>
      <c r="K258" s="135">
        <f t="shared" si="43"/>
        <v>0</v>
      </c>
      <c r="L258" s="136">
        <f t="shared" si="43"/>
        <v>0</v>
      </c>
    </row>
    <row r="259" spans="3:12" ht="15.6" hidden="1">
      <c r="C259" s="39" t="str">
        <f t="shared" si="41"/>
        <v>H</v>
      </c>
      <c r="D259" s="45" t="str">
        <f>Parameter!C$32</f>
        <v>Reverb G2</v>
      </c>
      <c r="E259" s="134">
        <f t="shared" si="43"/>
        <v>0</v>
      </c>
      <c r="F259" s="135">
        <f t="shared" si="43"/>
        <v>0</v>
      </c>
      <c r="G259" s="135">
        <f t="shared" si="43"/>
        <v>0</v>
      </c>
      <c r="H259" s="135">
        <f t="shared" si="43"/>
        <v>0</v>
      </c>
      <c r="I259" s="135">
        <f t="shared" si="43"/>
        <v>0</v>
      </c>
      <c r="J259" s="135">
        <f t="shared" si="43"/>
        <v>0</v>
      </c>
      <c r="K259" s="135">
        <f t="shared" si="43"/>
        <v>0</v>
      </c>
      <c r="L259" s="136">
        <f t="shared" si="43"/>
        <v>0</v>
      </c>
    </row>
    <row r="260" spans="3:12" ht="15.6" hidden="1">
      <c r="C260" s="39" t="str">
        <f t="shared" si="41"/>
        <v>H</v>
      </c>
      <c r="D260" s="45" t="str">
        <f>Parameter!C$33</f>
        <v>Rift S</v>
      </c>
      <c r="E260" s="134">
        <f t="shared" si="43"/>
        <v>0</v>
      </c>
      <c r="F260" s="135">
        <f t="shared" si="43"/>
        <v>0</v>
      </c>
      <c r="G260" s="135">
        <f t="shared" si="43"/>
        <v>0</v>
      </c>
      <c r="H260" s="135">
        <f t="shared" si="43"/>
        <v>0</v>
      </c>
      <c r="I260" s="135">
        <f t="shared" si="43"/>
        <v>0</v>
      </c>
      <c r="J260" s="135">
        <f t="shared" si="43"/>
        <v>0</v>
      </c>
      <c r="K260" s="135">
        <f t="shared" si="43"/>
        <v>0</v>
      </c>
      <c r="L260" s="136">
        <f t="shared" si="43"/>
        <v>0</v>
      </c>
    </row>
    <row r="261" spans="3:12" ht="15.6" hidden="1">
      <c r="C261" s="39" t="str">
        <f t="shared" si="41"/>
        <v>H</v>
      </c>
      <c r="D261" s="45" t="str">
        <f>Parameter!C$34</f>
        <v>Single LCD VR headset</v>
      </c>
      <c r="E261" s="134">
        <f t="shared" si="43"/>
        <v>0</v>
      </c>
      <c r="F261" s="135">
        <f t="shared" si="43"/>
        <v>0</v>
      </c>
      <c r="G261" s="135">
        <f t="shared" si="43"/>
        <v>0</v>
      </c>
      <c r="H261" s="135">
        <f t="shared" si="43"/>
        <v>0</v>
      </c>
      <c r="I261" s="135">
        <f t="shared" si="43"/>
        <v>0</v>
      </c>
      <c r="J261" s="135">
        <f t="shared" si="43"/>
        <v>0</v>
      </c>
      <c r="K261" s="135">
        <f t="shared" si="43"/>
        <v>0</v>
      </c>
      <c r="L261" s="136">
        <f t="shared" si="43"/>
        <v>0</v>
      </c>
    </row>
    <row r="262" spans="3:12" ht="15.6" hidden="1">
      <c r="C262" s="39" t="str">
        <f t="shared" si="41"/>
        <v>H</v>
      </c>
      <c r="D262" s="45" t="str">
        <f>Parameter!C$35</f>
        <v>ThinkReality VRX</v>
      </c>
      <c r="E262" s="134">
        <f t="shared" si="43"/>
        <v>0</v>
      </c>
      <c r="F262" s="135">
        <f t="shared" si="43"/>
        <v>0</v>
      </c>
      <c r="G262" s="135">
        <f t="shared" si="43"/>
        <v>0</v>
      </c>
      <c r="H262" s="135">
        <f t="shared" si="43"/>
        <v>0</v>
      </c>
      <c r="I262" s="135">
        <f t="shared" si="43"/>
        <v>0</v>
      </c>
      <c r="J262" s="135">
        <f t="shared" si="43"/>
        <v>0</v>
      </c>
      <c r="K262" s="135">
        <f t="shared" si="43"/>
        <v>0</v>
      </c>
      <c r="L262" s="136">
        <f t="shared" si="43"/>
        <v>0</v>
      </c>
    </row>
    <row r="263" spans="3:12" ht="16.2" thickBot="1">
      <c r="C263" s="39" t="str">
        <f t="shared" si="41"/>
        <v/>
      </c>
      <c r="D263" s="45" t="str">
        <f>Parameter!C$36</f>
        <v>Vision Pro</v>
      </c>
      <c r="E263" s="134">
        <f t="shared" si="43"/>
        <v>0</v>
      </c>
      <c r="F263" s="135">
        <f t="shared" si="43"/>
        <v>97.8</v>
      </c>
      <c r="G263" s="135">
        <f t="shared" si="43"/>
        <v>161</v>
      </c>
      <c r="H263" s="135">
        <f t="shared" si="43"/>
        <v>0</v>
      </c>
      <c r="I263" s="135">
        <f t="shared" si="43"/>
        <v>0</v>
      </c>
      <c r="J263" s="135">
        <f t="shared" si="43"/>
        <v>0</v>
      </c>
      <c r="K263" s="135">
        <f t="shared" si="43"/>
        <v>0</v>
      </c>
      <c r="L263" s="136">
        <f t="shared" si="43"/>
        <v>0</v>
      </c>
    </row>
    <row r="264" spans="3:12" ht="15.6" hidden="1">
      <c r="C264" s="39" t="str">
        <f t="shared" si="41"/>
        <v>H</v>
      </c>
      <c r="D264" s="45" t="str">
        <f>Parameter!C$37</f>
        <v>Vive LCD headsets</v>
      </c>
      <c r="E264" s="134">
        <f t="shared" si="43"/>
        <v>0</v>
      </c>
      <c r="F264" s="135">
        <f t="shared" si="43"/>
        <v>0</v>
      </c>
      <c r="G264" s="135">
        <f t="shared" si="43"/>
        <v>0</v>
      </c>
      <c r="H264" s="135">
        <f t="shared" si="43"/>
        <v>0</v>
      </c>
      <c r="I264" s="135">
        <f t="shared" si="43"/>
        <v>0</v>
      </c>
      <c r="J264" s="135">
        <f t="shared" si="43"/>
        <v>0</v>
      </c>
      <c r="K264" s="135">
        <f t="shared" si="43"/>
        <v>0</v>
      </c>
      <c r="L264" s="136">
        <f t="shared" si="43"/>
        <v>0</v>
      </c>
    </row>
    <row r="265" spans="3:12" ht="15.6" hidden="1">
      <c r="C265" s="39" t="str">
        <f t="shared" si="41"/>
        <v>H</v>
      </c>
      <c r="D265" s="45" t="str">
        <f>Parameter!C$38</f>
        <v>VR1</v>
      </c>
      <c r="E265" s="134">
        <f t="shared" ref="E265:L274" si="44">SUMIF(ARVR_Y_PC_PR, "VR_"&amp;E$234&amp;"_"&amp;$D$233&amp;"_"&amp;$D265, PanelRev)</f>
        <v>0</v>
      </c>
      <c r="F265" s="135">
        <f t="shared" si="44"/>
        <v>0</v>
      </c>
      <c r="G265" s="135">
        <f t="shared" si="44"/>
        <v>0</v>
      </c>
      <c r="H265" s="135">
        <f t="shared" si="44"/>
        <v>0</v>
      </c>
      <c r="I265" s="135">
        <f t="shared" si="44"/>
        <v>0</v>
      </c>
      <c r="J265" s="135">
        <f t="shared" si="44"/>
        <v>0</v>
      </c>
      <c r="K265" s="135">
        <f t="shared" si="44"/>
        <v>0</v>
      </c>
      <c r="L265" s="136">
        <f t="shared" si="44"/>
        <v>0</v>
      </c>
    </row>
    <row r="266" spans="3:12" ht="15.6" hidden="1">
      <c r="C266" s="39" t="str">
        <f t="shared" si="41"/>
        <v>H</v>
      </c>
      <c r="D266" s="45" t="str">
        <f>Parameter!C$39</f>
        <v>XR-4</v>
      </c>
      <c r="E266" s="134">
        <f t="shared" si="44"/>
        <v>0</v>
      </c>
      <c r="F266" s="135">
        <f t="shared" si="44"/>
        <v>0</v>
      </c>
      <c r="G266" s="135">
        <f t="shared" si="44"/>
        <v>0</v>
      </c>
      <c r="H266" s="135">
        <f t="shared" si="44"/>
        <v>0</v>
      </c>
      <c r="I266" s="135">
        <f t="shared" si="44"/>
        <v>0</v>
      </c>
      <c r="J266" s="135">
        <f t="shared" si="44"/>
        <v>0</v>
      </c>
      <c r="K266" s="135">
        <f t="shared" si="44"/>
        <v>0</v>
      </c>
      <c r="L266" s="136">
        <f t="shared" si="44"/>
        <v>0</v>
      </c>
    </row>
    <row r="267" spans="3:12" ht="15.6" hidden="1">
      <c r="C267" s="39" t="str">
        <f t="shared" si="41"/>
        <v>H</v>
      </c>
      <c r="D267" s="45">
        <f>Parameter!C$40</f>
        <v>0</v>
      </c>
      <c r="E267" s="134">
        <f t="shared" si="44"/>
        <v>0</v>
      </c>
      <c r="F267" s="135">
        <f t="shared" si="44"/>
        <v>0</v>
      </c>
      <c r="G267" s="135">
        <f t="shared" si="44"/>
        <v>0</v>
      </c>
      <c r="H267" s="135">
        <f t="shared" si="44"/>
        <v>0</v>
      </c>
      <c r="I267" s="135">
        <f t="shared" si="44"/>
        <v>0</v>
      </c>
      <c r="J267" s="135">
        <f t="shared" si="44"/>
        <v>0</v>
      </c>
      <c r="K267" s="135">
        <f t="shared" si="44"/>
        <v>0</v>
      </c>
      <c r="L267" s="136">
        <f t="shared" si="44"/>
        <v>0</v>
      </c>
    </row>
    <row r="268" spans="3:12" ht="15.6" hidden="1">
      <c r="C268" s="39" t="str">
        <f t="shared" si="41"/>
        <v>H</v>
      </c>
      <c r="D268" s="45">
        <f>Parameter!C$41</f>
        <v>0</v>
      </c>
      <c r="E268" s="134">
        <f t="shared" si="44"/>
        <v>0</v>
      </c>
      <c r="F268" s="135">
        <f t="shared" si="44"/>
        <v>0</v>
      </c>
      <c r="G268" s="135">
        <f t="shared" si="44"/>
        <v>0</v>
      </c>
      <c r="H268" s="135">
        <f t="shared" si="44"/>
        <v>0</v>
      </c>
      <c r="I268" s="135">
        <f t="shared" si="44"/>
        <v>0</v>
      </c>
      <c r="J268" s="135">
        <f t="shared" si="44"/>
        <v>0</v>
      </c>
      <c r="K268" s="135">
        <f t="shared" si="44"/>
        <v>0</v>
      </c>
      <c r="L268" s="136">
        <f t="shared" si="44"/>
        <v>0</v>
      </c>
    </row>
    <row r="269" spans="3:12" ht="15.6" hidden="1">
      <c r="C269" s="39" t="str">
        <f t="shared" si="41"/>
        <v>H</v>
      </c>
      <c r="D269" s="45">
        <f>Parameter!C$42</f>
        <v>0</v>
      </c>
      <c r="E269" s="134">
        <f t="shared" si="44"/>
        <v>0</v>
      </c>
      <c r="F269" s="135">
        <f t="shared" si="44"/>
        <v>0</v>
      </c>
      <c r="G269" s="135">
        <f t="shared" si="44"/>
        <v>0</v>
      </c>
      <c r="H269" s="135">
        <f t="shared" si="44"/>
        <v>0</v>
      </c>
      <c r="I269" s="135">
        <f t="shared" si="44"/>
        <v>0</v>
      </c>
      <c r="J269" s="135">
        <f t="shared" si="44"/>
        <v>0</v>
      </c>
      <c r="K269" s="135">
        <f t="shared" si="44"/>
        <v>0</v>
      </c>
      <c r="L269" s="136">
        <f t="shared" si="44"/>
        <v>0</v>
      </c>
    </row>
    <row r="270" spans="3:12" ht="15.6" hidden="1">
      <c r="C270" s="39" t="str">
        <f t="shared" si="41"/>
        <v>H</v>
      </c>
      <c r="D270" s="45">
        <f>Parameter!C$43</f>
        <v>0</v>
      </c>
      <c r="E270" s="134">
        <f t="shared" si="44"/>
        <v>0</v>
      </c>
      <c r="F270" s="135">
        <f t="shared" si="44"/>
        <v>0</v>
      </c>
      <c r="G270" s="135">
        <f t="shared" si="44"/>
        <v>0</v>
      </c>
      <c r="H270" s="135">
        <f t="shared" si="44"/>
        <v>0</v>
      </c>
      <c r="I270" s="135">
        <f t="shared" si="44"/>
        <v>0</v>
      </c>
      <c r="J270" s="135">
        <f t="shared" si="44"/>
        <v>0</v>
      </c>
      <c r="K270" s="135">
        <f t="shared" si="44"/>
        <v>0</v>
      </c>
      <c r="L270" s="136">
        <f t="shared" si="44"/>
        <v>0</v>
      </c>
    </row>
    <row r="271" spans="3:12" ht="15.6" hidden="1">
      <c r="C271" s="39" t="str">
        <f t="shared" si="41"/>
        <v>H</v>
      </c>
      <c r="D271" s="45">
        <f>Parameter!C$44</f>
        <v>0</v>
      </c>
      <c r="E271" s="134">
        <f t="shared" si="44"/>
        <v>0</v>
      </c>
      <c r="F271" s="135">
        <f t="shared" si="44"/>
        <v>0</v>
      </c>
      <c r="G271" s="135">
        <f t="shared" si="44"/>
        <v>0</v>
      </c>
      <c r="H271" s="135">
        <f t="shared" si="44"/>
        <v>0</v>
      </c>
      <c r="I271" s="135">
        <f t="shared" si="44"/>
        <v>0</v>
      </c>
      <c r="J271" s="135">
        <f t="shared" si="44"/>
        <v>0</v>
      </c>
      <c r="K271" s="135">
        <f t="shared" si="44"/>
        <v>0</v>
      </c>
      <c r="L271" s="136">
        <f t="shared" si="44"/>
        <v>0</v>
      </c>
    </row>
    <row r="272" spans="3:12" ht="15.6" hidden="1">
      <c r="C272" s="39" t="str">
        <f t="shared" si="41"/>
        <v>H</v>
      </c>
      <c r="D272" s="45">
        <f>Parameter!C$45</f>
        <v>0</v>
      </c>
      <c r="E272" s="134">
        <f t="shared" si="44"/>
        <v>0</v>
      </c>
      <c r="F272" s="135">
        <f t="shared" si="44"/>
        <v>0</v>
      </c>
      <c r="G272" s="135">
        <f t="shared" si="44"/>
        <v>0</v>
      </c>
      <c r="H272" s="135">
        <f t="shared" si="44"/>
        <v>0</v>
      </c>
      <c r="I272" s="135">
        <f t="shared" si="44"/>
        <v>0</v>
      </c>
      <c r="J272" s="135">
        <f t="shared" si="44"/>
        <v>0</v>
      </c>
      <c r="K272" s="135">
        <f t="shared" si="44"/>
        <v>0</v>
      </c>
      <c r="L272" s="136">
        <f t="shared" si="44"/>
        <v>0</v>
      </c>
    </row>
    <row r="273" spans="3:12" ht="15.6" hidden="1">
      <c r="C273" s="39" t="str">
        <f t="shared" si="41"/>
        <v>H</v>
      </c>
      <c r="D273" s="45">
        <f>Parameter!C$46</f>
        <v>0</v>
      </c>
      <c r="E273" s="134">
        <f t="shared" si="44"/>
        <v>0</v>
      </c>
      <c r="F273" s="135">
        <f t="shared" si="44"/>
        <v>0</v>
      </c>
      <c r="G273" s="135">
        <f t="shared" si="44"/>
        <v>0</v>
      </c>
      <c r="H273" s="135">
        <f t="shared" si="44"/>
        <v>0</v>
      </c>
      <c r="I273" s="135">
        <f t="shared" si="44"/>
        <v>0</v>
      </c>
      <c r="J273" s="135">
        <f t="shared" si="44"/>
        <v>0</v>
      </c>
      <c r="K273" s="135">
        <f t="shared" si="44"/>
        <v>0</v>
      </c>
      <c r="L273" s="136">
        <f t="shared" si="44"/>
        <v>0</v>
      </c>
    </row>
    <row r="274" spans="3:12" ht="15.6" hidden="1">
      <c r="C274" s="39" t="str">
        <f t="shared" si="41"/>
        <v>H</v>
      </c>
      <c r="D274" s="45">
        <f>Parameter!C$47</f>
        <v>0</v>
      </c>
      <c r="E274" s="134">
        <f t="shared" si="44"/>
        <v>0</v>
      </c>
      <c r="F274" s="135">
        <f t="shared" si="44"/>
        <v>0</v>
      </c>
      <c r="G274" s="135">
        <f t="shared" si="44"/>
        <v>0</v>
      </c>
      <c r="H274" s="135">
        <f t="shared" si="44"/>
        <v>0</v>
      </c>
      <c r="I274" s="135">
        <f t="shared" si="44"/>
        <v>0</v>
      </c>
      <c r="J274" s="135">
        <f t="shared" si="44"/>
        <v>0</v>
      </c>
      <c r="K274" s="135">
        <f t="shared" si="44"/>
        <v>0</v>
      </c>
      <c r="L274" s="136">
        <f t="shared" si="44"/>
        <v>0</v>
      </c>
    </row>
    <row r="275" spans="3:12" ht="15.6" hidden="1">
      <c r="C275" s="39" t="str">
        <f t="shared" si="41"/>
        <v>H</v>
      </c>
      <c r="D275" s="45">
        <f>Parameter!C$48</f>
        <v>0</v>
      </c>
      <c r="E275" s="134">
        <f t="shared" ref="E275:L284" si="45">SUMIF(ARVR_Y_PC_PR, "VR_"&amp;E$234&amp;"_"&amp;$D$233&amp;"_"&amp;$D275, PanelRev)</f>
        <v>0</v>
      </c>
      <c r="F275" s="135">
        <f t="shared" si="45"/>
        <v>0</v>
      </c>
      <c r="G275" s="135">
        <f t="shared" si="45"/>
        <v>0</v>
      </c>
      <c r="H275" s="135">
        <f t="shared" si="45"/>
        <v>0</v>
      </c>
      <c r="I275" s="135">
        <f t="shared" si="45"/>
        <v>0</v>
      </c>
      <c r="J275" s="135">
        <f t="shared" si="45"/>
        <v>0</v>
      </c>
      <c r="K275" s="135">
        <f t="shared" si="45"/>
        <v>0</v>
      </c>
      <c r="L275" s="136">
        <f t="shared" si="45"/>
        <v>0</v>
      </c>
    </row>
    <row r="276" spans="3:12" ht="15.6" hidden="1">
      <c r="C276" s="39" t="str">
        <f t="shared" si="41"/>
        <v>H</v>
      </c>
      <c r="D276" s="45">
        <f>Parameter!C$49</f>
        <v>0</v>
      </c>
      <c r="E276" s="134">
        <f t="shared" si="45"/>
        <v>0</v>
      </c>
      <c r="F276" s="135">
        <f t="shared" si="45"/>
        <v>0</v>
      </c>
      <c r="G276" s="135">
        <f t="shared" si="45"/>
        <v>0</v>
      </c>
      <c r="H276" s="135">
        <f t="shared" si="45"/>
        <v>0</v>
      </c>
      <c r="I276" s="135">
        <f t="shared" si="45"/>
        <v>0</v>
      </c>
      <c r="J276" s="135">
        <f t="shared" si="45"/>
        <v>0</v>
      </c>
      <c r="K276" s="135">
        <f t="shared" si="45"/>
        <v>0</v>
      </c>
      <c r="L276" s="136">
        <f t="shared" si="45"/>
        <v>0</v>
      </c>
    </row>
    <row r="277" spans="3:12" ht="15.6" hidden="1">
      <c r="C277" s="39" t="str">
        <f t="shared" si="41"/>
        <v>H</v>
      </c>
      <c r="D277" s="45">
        <f>Parameter!C$50</f>
        <v>0</v>
      </c>
      <c r="E277" s="134">
        <f t="shared" si="45"/>
        <v>0</v>
      </c>
      <c r="F277" s="135">
        <f t="shared" si="45"/>
        <v>0</v>
      </c>
      <c r="G277" s="135">
        <f t="shared" si="45"/>
        <v>0</v>
      </c>
      <c r="H277" s="135">
        <f t="shared" si="45"/>
        <v>0</v>
      </c>
      <c r="I277" s="135">
        <f t="shared" si="45"/>
        <v>0</v>
      </c>
      <c r="J277" s="135">
        <f t="shared" si="45"/>
        <v>0</v>
      </c>
      <c r="K277" s="135">
        <f t="shared" si="45"/>
        <v>0</v>
      </c>
      <c r="L277" s="136">
        <f t="shared" si="45"/>
        <v>0</v>
      </c>
    </row>
    <row r="278" spans="3:12" ht="15.6" hidden="1">
      <c r="C278" s="39" t="str">
        <f t="shared" si="41"/>
        <v>H</v>
      </c>
      <c r="D278" s="45">
        <f>Parameter!C$51</f>
        <v>0</v>
      </c>
      <c r="E278" s="134">
        <f t="shared" si="45"/>
        <v>0</v>
      </c>
      <c r="F278" s="135">
        <f t="shared" si="45"/>
        <v>0</v>
      </c>
      <c r="G278" s="135">
        <f t="shared" si="45"/>
        <v>0</v>
      </c>
      <c r="H278" s="135">
        <f t="shared" si="45"/>
        <v>0</v>
      </c>
      <c r="I278" s="135">
        <f t="shared" si="45"/>
        <v>0</v>
      </c>
      <c r="J278" s="135">
        <f t="shared" si="45"/>
        <v>0</v>
      </c>
      <c r="K278" s="135">
        <f t="shared" si="45"/>
        <v>0</v>
      </c>
      <c r="L278" s="136">
        <f t="shared" si="45"/>
        <v>0</v>
      </c>
    </row>
    <row r="279" spans="3:12" ht="15.6" hidden="1">
      <c r="C279" s="39" t="str">
        <f t="shared" si="41"/>
        <v>H</v>
      </c>
      <c r="D279" s="45">
        <f>Parameter!C$52</f>
        <v>0</v>
      </c>
      <c r="E279" s="134">
        <f t="shared" si="45"/>
        <v>0</v>
      </c>
      <c r="F279" s="135">
        <f t="shared" si="45"/>
        <v>0</v>
      </c>
      <c r="G279" s="135">
        <f t="shared" si="45"/>
        <v>0</v>
      </c>
      <c r="H279" s="135">
        <f t="shared" si="45"/>
        <v>0</v>
      </c>
      <c r="I279" s="135">
        <f t="shared" si="45"/>
        <v>0</v>
      </c>
      <c r="J279" s="135">
        <f t="shared" si="45"/>
        <v>0</v>
      </c>
      <c r="K279" s="135">
        <f t="shared" si="45"/>
        <v>0</v>
      </c>
      <c r="L279" s="136">
        <f t="shared" si="45"/>
        <v>0</v>
      </c>
    </row>
    <row r="280" spans="3:12" ht="15.6" hidden="1">
      <c r="C280" s="39" t="str">
        <f t="shared" si="41"/>
        <v>H</v>
      </c>
      <c r="D280" s="45">
        <f>Parameter!C$53</f>
        <v>0</v>
      </c>
      <c r="E280" s="134">
        <f t="shared" si="45"/>
        <v>0</v>
      </c>
      <c r="F280" s="135">
        <f t="shared" si="45"/>
        <v>0</v>
      </c>
      <c r="G280" s="135">
        <f t="shared" si="45"/>
        <v>0</v>
      </c>
      <c r="H280" s="135">
        <f t="shared" si="45"/>
        <v>0</v>
      </c>
      <c r="I280" s="135">
        <f t="shared" si="45"/>
        <v>0</v>
      </c>
      <c r="J280" s="135">
        <f t="shared" si="45"/>
        <v>0</v>
      </c>
      <c r="K280" s="135">
        <f t="shared" si="45"/>
        <v>0</v>
      </c>
      <c r="L280" s="136">
        <f t="shared" si="45"/>
        <v>0</v>
      </c>
    </row>
    <row r="281" spans="3:12" ht="15.6" hidden="1">
      <c r="C281" s="39" t="str">
        <f t="shared" si="41"/>
        <v>H</v>
      </c>
      <c r="D281" s="45">
        <f>Parameter!C$54</f>
        <v>0</v>
      </c>
      <c r="E281" s="134">
        <f t="shared" si="45"/>
        <v>0</v>
      </c>
      <c r="F281" s="135">
        <f t="shared" si="45"/>
        <v>0</v>
      </c>
      <c r="G281" s="135">
        <f t="shared" si="45"/>
        <v>0</v>
      </c>
      <c r="H281" s="135">
        <f t="shared" si="45"/>
        <v>0</v>
      </c>
      <c r="I281" s="135">
        <f t="shared" si="45"/>
        <v>0</v>
      </c>
      <c r="J281" s="135">
        <f t="shared" si="45"/>
        <v>0</v>
      </c>
      <c r="K281" s="135">
        <f t="shared" si="45"/>
        <v>0</v>
      </c>
      <c r="L281" s="136">
        <f t="shared" si="45"/>
        <v>0</v>
      </c>
    </row>
    <row r="282" spans="3:12" ht="15.6" hidden="1">
      <c r="C282" s="39" t="str">
        <f t="shared" si="41"/>
        <v>H</v>
      </c>
      <c r="D282" s="45">
        <f>Parameter!C$55</f>
        <v>0</v>
      </c>
      <c r="E282" s="134">
        <f t="shared" si="45"/>
        <v>0</v>
      </c>
      <c r="F282" s="135">
        <f t="shared" si="45"/>
        <v>0</v>
      </c>
      <c r="G282" s="135">
        <f t="shared" si="45"/>
        <v>0</v>
      </c>
      <c r="H282" s="135">
        <f t="shared" si="45"/>
        <v>0</v>
      </c>
      <c r="I282" s="135">
        <f t="shared" si="45"/>
        <v>0</v>
      </c>
      <c r="J282" s="135">
        <f t="shared" si="45"/>
        <v>0</v>
      </c>
      <c r="K282" s="135">
        <f t="shared" si="45"/>
        <v>0</v>
      </c>
      <c r="L282" s="136">
        <f t="shared" si="45"/>
        <v>0</v>
      </c>
    </row>
    <row r="283" spans="3:12" ht="15.6" hidden="1">
      <c r="C283" s="39" t="str">
        <f t="shared" si="41"/>
        <v>H</v>
      </c>
      <c r="D283" s="45">
        <f>Parameter!C$56</f>
        <v>0</v>
      </c>
      <c r="E283" s="134">
        <f t="shared" si="45"/>
        <v>0</v>
      </c>
      <c r="F283" s="135">
        <f t="shared" si="45"/>
        <v>0</v>
      </c>
      <c r="G283" s="135">
        <f t="shared" si="45"/>
        <v>0</v>
      </c>
      <c r="H283" s="135">
        <f t="shared" si="45"/>
        <v>0</v>
      </c>
      <c r="I283" s="135">
        <f t="shared" si="45"/>
        <v>0</v>
      </c>
      <c r="J283" s="135">
        <f t="shared" si="45"/>
        <v>0</v>
      </c>
      <c r="K283" s="135">
        <f t="shared" si="45"/>
        <v>0</v>
      </c>
      <c r="L283" s="136">
        <f t="shared" si="45"/>
        <v>0</v>
      </c>
    </row>
    <row r="284" spans="3:12" ht="16.2" hidden="1" thickBot="1">
      <c r="C284" s="39" t="str">
        <f t="shared" si="41"/>
        <v>H</v>
      </c>
      <c r="D284" s="53" t="str">
        <f>Parameter!C$57</f>
        <v>ALL</v>
      </c>
      <c r="E284" s="137">
        <f t="shared" si="45"/>
        <v>0</v>
      </c>
      <c r="F284" s="138">
        <f t="shared" si="45"/>
        <v>0</v>
      </c>
      <c r="G284" s="138">
        <f t="shared" si="45"/>
        <v>0</v>
      </c>
      <c r="H284" s="138">
        <f t="shared" si="45"/>
        <v>0</v>
      </c>
      <c r="I284" s="138">
        <f t="shared" si="45"/>
        <v>0</v>
      </c>
      <c r="J284" s="138">
        <f t="shared" si="45"/>
        <v>0</v>
      </c>
      <c r="K284" s="138">
        <f t="shared" si="45"/>
        <v>0</v>
      </c>
      <c r="L284" s="139">
        <f t="shared" si="45"/>
        <v>0</v>
      </c>
    </row>
    <row r="285" spans="3:12" ht="15.6">
      <c r="C285" s="39" t="str">
        <f t="shared" si="41"/>
        <v/>
      </c>
      <c r="D285" s="54" t="s">
        <v>87</v>
      </c>
      <c r="E285" s="140">
        <f>SUM(E235:E284)</f>
        <v>0.88209000000000004</v>
      </c>
      <c r="F285" s="141">
        <f t="shared" ref="F285:L285" si="46">SUM(F235:F284)</f>
        <v>107.58332453999999</v>
      </c>
      <c r="G285" s="141">
        <f t="shared" si="46"/>
        <v>176.78113192960001</v>
      </c>
      <c r="H285" s="141">
        <f t="shared" si="46"/>
        <v>22.370000000000005</v>
      </c>
      <c r="I285" s="141">
        <f t="shared" si="46"/>
        <v>140.14000000000001</v>
      </c>
      <c r="J285" s="141">
        <f t="shared" si="46"/>
        <v>625.31673684480018</v>
      </c>
      <c r="K285" s="141">
        <f t="shared" si="46"/>
        <v>634.93699433472011</v>
      </c>
      <c r="L285" s="142">
        <f t="shared" si="46"/>
        <v>910.07635854643195</v>
      </c>
    </row>
    <row r="286" spans="3:12" ht="16.2" thickBot="1">
      <c r="C286" s="39" t="str">
        <f t="shared" si="41"/>
        <v/>
      </c>
      <c r="D286" s="46" t="s">
        <v>88</v>
      </c>
      <c r="E286" s="47"/>
      <c r="F286" s="50">
        <f t="shared" ref="F286:G286" si="47">IF(E285*F285=0, "", F285/E285-1)</f>
        <v>120.96411311770906</v>
      </c>
      <c r="G286" s="50">
        <f t="shared" si="47"/>
        <v>0.64320198028340303</v>
      </c>
      <c r="H286" s="50">
        <f>IF(G285*H285=0, "", H285/G285-1)</f>
        <v>-0.87345934627849053</v>
      </c>
      <c r="I286" s="50">
        <f t="shared" ref="I286:L286" si="48">IF(H285*I285=0, "", I285/H285-1)</f>
        <v>5.2646401430487257</v>
      </c>
      <c r="J286" s="50">
        <f t="shared" si="48"/>
        <v>3.4620860342857149</v>
      </c>
      <c r="K286" s="50">
        <f t="shared" si="48"/>
        <v>1.538461538461533E-2</v>
      </c>
      <c r="L286" s="51">
        <f t="shared" si="48"/>
        <v>0.4333333333333329</v>
      </c>
    </row>
    <row r="287" spans="3:12" ht="15" hidden="1">
      <c r="C287" s="39" t="str">
        <f t="shared" si="41"/>
        <v>H</v>
      </c>
    </row>
    <row r="288" spans="3:12" ht="15.6" hidden="1" thickBot="1">
      <c r="C288" s="39" t="str">
        <f t="shared" si="41"/>
        <v>H</v>
      </c>
    </row>
    <row r="289" spans="3:12" ht="15" hidden="1" thickBot="1">
      <c r="C289" s="57" t="str">
        <f>IF(SUM(E341:L341)=0, "H", "")</f>
        <v>H</v>
      </c>
      <c r="D289" s="52">
        <f>Parameter!G13</f>
        <v>0</v>
      </c>
    </row>
    <row r="290" spans="3:12" ht="16.2" hidden="1" thickBot="1">
      <c r="C290" s="57" t="str">
        <f>IF(SUM(E341:L341)=0, "H", "")</f>
        <v>H</v>
      </c>
      <c r="D290" s="40" t="s">
        <v>85</v>
      </c>
      <c r="E290" s="41" t="s">
        <v>8</v>
      </c>
      <c r="F290" s="42" t="s">
        <v>9</v>
      </c>
      <c r="G290" s="42" t="s">
        <v>10</v>
      </c>
      <c r="H290" s="42" t="s">
        <v>11</v>
      </c>
      <c r="I290" s="42" t="s">
        <v>12</v>
      </c>
      <c r="J290" s="42" t="s">
        <v>13</v>
      </c>
      <c r="K290" s="42" t="s">
        <v>14</v>
      </c>
      <c r="L290" s="43" t="s">
        <v>86</v>
      </c>
    </row>
    <row r="291" spans="3:12" ht="15.6" hidden="1">
      <c r="C291" s="39" t="str">
        <f>IF(SUM(E291:L291)=0, "H", "")</f>
        <v>H</v>
      </c>
      <c r="D291" s="44" t="str">
        <f>Parameter!C$8</f>
        <v>5K VR</v>
      </c>
      <c r="E291" s="134">
        <f t="shared" ref="E291:L291" si="49">SUMIF(Y_VRPC_PR, E$10&amp;"_"&amp;$D289&amp;"_"&amp;$D291, VRPanelRev)</f>
        <v>0</v>
      </c>
      <c r="F291" s="135">
        <f t="shared" si="49"/>
        <v>0</v>
      </c>
      <c r="G291" s="135">
        <f t="shared" si="49"/>
        <v>0</v>
      </c>
      <c r="H291" s="135">
        <f t="shared" si="49"/>
        <v>0</v>
      </c>
      <c r="I291" s="135">
        <f t="shared" si="49"/>
        <v>0</v>
      </c>
      <c r="J291" s="135">
        <f t="shared" si="49"/>
        <v>0</v>
      </c>
      <c r="K291" s="135">
        <f t="shared" si="49"/>
        <v>0</v>
      </c>
      <c r="L291" s="136">
        <f t="shared" si="49"/>
        <v>0</v>
      </c>
    </row>
    <row r="292" spans="3:12" ht="15.6" hidden="1">
      <c r="C292" s="39" t="str">
        <f t="shared" ref="C292:C344" si="50">IF(SUM(E292:L292)=0, "H", "")</f>
        <v>H</v>
      </c>
      <c r="D292" s="44" t="str">
        <f>Parameter!C$9</f>
        <v>Aero</v>
      </c>
      <c r="E292" s="134">
        <f t="shared" ref="E292:L292" si="51">SUMIF(Y_VRPC_PR, E$10&amp;"_"&amp;$D289&amp;"_"&amp;$D292, VRPanelRev)</f>
        <v>0</v>
      </c>
      <c r="F292" s="135">
        <f t="shared" si="51"/>
        <v>0</v>
      </c>
      <c r="G292" s="135">
        <f t="shared" si="51"/>
        <v>0</v>
      </c>
      <c r="H292" s="135">
        <f t="shared" si="51"/>
        <v>0</v>
      </c>
      <c r="I292" s="135">
        <f t="shared" si="51"/>
        <v>0</v>
      </c>
      <c r="J292" s="135">
        <f t="shared" si="51"/>
        <v>0</v>
      </c>
      <c r="K292" s="135">
        <f t="shared" si="51"/>
        <v>0</v>
      </c>
      <c r="L292" s="136">
        <f t="shared" si="51"/>
        <v>0</v>
      </c>
    </row>
    <row r="293" spans="3:12" ht="15.6" hidden="1">
      <c r="C293" s="39" t="str">
        <f t="shared" si="50"/>
        <v>H</v>
      </c>
      <c r="D293" s="45" t="str">
        <f>Parameter!C$10</f>
        <v>Beyond</v>
      </c>
      <c r="E293" s="134">
        <f t="shared" ref="E293:L293" si="52">SUMIF(Y_VRPC_PR, E$10&amp;"_"&amp;$D289&amp;"_"&amp;$D293, VRPanelRev)</f>
        <v>0</v>
      </c>
      <c r="F293" s="135">
        <f t="shared" si="52"/>
        <v>0</v>
      </c>
      <c r="G293" s="135">
        <f t="shared" si="52"/>
        <v>0</v>
      </c>
      <c r="H293" s="135">
        <f t="shared" si="52"/>
        <v>0</v>
      </c>
      <c r="I293" s="135">
        <f t="shared" si="52"/>
        <v>0</v>
      </c>
      <c r="J293" s="135">
        <f t="shared" si="52"/>
        <v>0</v>
      </c>
      <c r="K293" s="135">
        <f t="shared" si="52"/>
        <v>0</v>
      </c>
      <c r="L293" s="136">
        <f t="shared" si="52"/>
        <v>0</v>
      </c>
    </row>
    <row r="294" spans="3:12" ht="15.6" hidden="1">
      <c r="C294" s="39" t="str">
        <f t="shared" si="50"/>
        <v>H</v>
      </c>
      <c r="D294" s="45" t="str">
        <f>Parameter!C$11</f>
        <v>Bionic models</v>
      </c>
      <c r="E294" s="134">
        <f t="shared" ref="E294:L294" si="53">SUMIF(Y_VRPC_PR, E$10&amp;"_"&amp;$D289&amp;"_"&amp;$D294, VRPanelRev)</f>
        <v>0</v>
      </c>
      <c r="F294" s="135">
        <f t="shared" si="53"/>
        <v>0</v>
      </c>
      <c r="G294" s="135">
        <f t="shared" si="53"/>
        <v>0</v>
      </c>
      <c r="H294" s="135">
        <f t="shared" si="53"/>
        <v>0</v>
      </c>
      <c r="I294" s="135">
        <f t="shared" si="53"/>
        <v>0</v>
      </c>
      <c r="J294" s="135">
        <f t="shared" si="53"/>
        <v>0</v>
      </c>
      <c r="K294" s="135">
        <f t="shared" si="53"/>
        <v>0</v>
      </c>
      <c r="L294" s="136">
        <f t="shared" si="53"/>
        <v>0</v>
      </c>
    </row>
    <row r="295" spans="3:12" ht="15.6" hidden="1">
      <c r="C295" s="39" t="str">
        <f t="shared" si="50"/>
        <v>H</v>
      </c>
      <c r="D295" s="45" t="str">
        <f>Parameter!C$12</f>
        <v>Dual LCD VR headset</v>
      </c>
      <c r="E295" s="134">
        <f t="shared" ref="E295:L295" si="54">SUMIF(Y_VRPC_PR, E$10&amp;"_"&amp;$D289&amp;"_"&amp;$D295, VRPanelRev)</f>
        <v>0</v>
      </c>
      <c r="F295" s="135">
        <f t="shared" si="54"/>
        <v>0</v>
      </c>
      <c r="G295" s="135">
        <f t="shared" si="54"/>
        <v>0</v>
      </c>
      <c r="H295" s="135">
        <f t="shared" si="54"/>
        <v>0</v>
      </c>
      <c r="I295" s="135">
        <f t="shared" si="54"/>
        <v>0</v>
      </c>
      <c r="J295" s="135">
        <f t="shared" si="54"/>
        <v>0</v>
      </c>
      <c r="K295" s="135">
        <f t="shared" si="54"/>
        <v>0</v>
      </c>
      <c r="L295" s="136">
        <f t="shared" si="54"/>
        <v>0</v>
      </c>
    </row>
    <row r="296" spans="3:12" ht="15.6" hidden="1">
      <c r="C296" s="39" t="str">
        <f t="shared" si="50"/>
        <v>H</v>
      </c>
      <c r="D296" s="45" t="str">
        <f>Parameter!C$13</f>
        <v>Dual SiOLED headset</v>
      </c>
      <c r="E296" s="134">
        <f t="shared" ref="E296:L296" si="55">SUMIF(Y_VRPC_PR, E$10&amp;"_"&amp;$D289&amp;"_"&amp;$D296, VRPanelRev)</f>
        <v>0</v>
      </c>
      <c r="F296" s="135">
        <f t="shared" si="55"/>
        <v>0</v>
      </c>
      <c r="G296" s="135">
        <f t="shared" si="55"/>
        <v>0</v>
      </c>
      <c r="H296" s="135">
        <f t="shared" si="55"/>
        <v>0</v>
      </c>
      <c r="I296" s="135">
        <f t="shared" si="55"/>
        <v>0</v>
      </c>
      <c r="J296" s="135">
        <f t="shared" si="55"/>
        <v>0</v>
      </c>
      <c r="K296" s="135">
        <f t="shared" si="55"/>
        <v>0</v>
      </c>
      <c r="L296" s="136">
        <f t="shared" si="55"/>
        <v>0</v>
      </c>
    </row>
    <row r="297" spans="3:12" ht="15.6" hidden="1">
      <c r="C297" s="39" t="str">
        <f t="shared" si="50"/>
        <v>H</v>
      </c>
      <c r="D297" s="45" t="str">
        <f>Parameter!C$14</f>
        <v>Index</v>
      </c>
      <c r="E297" s="134">
        <f t="shared" ref="E297:L297" si="56">SUMIF(Y_VRPC_PR, E$10&amp;"_"&amp;$D289&amp;"_"&amp;$D297, VRPanelRev)</f>
        <v>0</v>
      </c>
      <c r="F297" s="135">
        <f t="shared" si="56"/>
        <v>0</v>
      </c>
      <c r="G297" s="135">
        <f t="shared" si="56"/>
        <v>0</v>
      </c>
      <c r="H297" s="135">
        <f t="shared" si="56"/>
        <v>0</v>
      </c>
      <c r="I297" s="135">
        <f t="shared" si="56"/>
        <v>0</v>
      </c>
      <c r="J297" s="135">
        <f t="shared" si="56"/>
        <v>0</v>
      </c>
      <c r="K297" s="135">
        <f t="shared" si="56"/>
        <v>0</v>
      </c>
      <c r="L297" s="136">
        <f t="shared" si="56"/>
        <v>0</v>
      </c>
    </row>
    <row r="298" spans="3:12" ht="15.6" hidden="1">
      <c r="C298" s="39" t="str">
        <f t="shared" si="50"/>
        <v>H</v>
      </c>
      <c r="D298" s="45" t="str">
        <f>Parameter!C$15</f>
        <v>MeganeX</v>
      </c>
      <c r="E298" s="134">
        <f t="shared" ref="E298:L298" si="57">SUMIF(Y_VRPC_PR, E$10&amp;"_"&amp;$D289&amp;"_"&amp;$D298, VRPanelRev)</f>
        <v>0</v>
      </c>
      <c r="F298" s="135">
        <f t="shared" si="57"/>
        <v>0</v>
      </c>
      <c r="G298" s="135">
        <f t="shared" si="57"/>
        <v>0</v>
      </c>
      <c r="H298" s="135">
        <f t="shared" si="57"/>
        <v>0</v>
      </c>
      <c r="I298" s="135">
        <f t="shared" si="57"/>
        <v>0</v>
      </c>
      <c r="J298" s="135">
        <f t="shared" si="57"/>
        <v>0</v>
      </c>
      <c r="K298" s="135">
        <f t="shared" si="57"/>
        <v>0</v>
      </c>
      <c r="L298" s="136">
        <f t="shared" si="57"/>
        <v>0</v>
      </c>
    </row>
    <row r="299" spans="3:12" ht="15.6" hidden="1">
      <c r="C299" s="39" t="str">
        <f t="shared" si="50"/>
        <v>H</v>
      </c>
      <c r="D299" s="45" t="str">
        <f>Parameter!C$16</f>
        <v>MeganeX Superlight 8K</v>
      </c>
      <c r="E299" s="134">
        <f t="shared" ref="E299:L299" si="58">SUMIF(Y_VRPC_PR, E$10&amp;"_"&amp;$D289&amp;"_"&amp;$D299, VRPanelRev)</f>
        <v>0</v>
      </c>
      <c r="F299" s="135">
        <f t="shared" si="58"/>
        <v>0</v>
      </c>
      <c r="G299" s="135">
        <f t="shared" si="58"/>
        <v>0</v>
      </c>
      <c r="H299" s="135">
        <f t="shared" si="58"/>
        <v>0</v>
      </c>
      <c r="I299" s="135">
        <f t="shared" si="58"/>
        <v>0</v>
      </c>
      <c r="J299" s="135">
        <f t="shared" si="58"/>
        <v>0</v>
      </c>
      <c r="K299" s="135">
        <f t="shared" si="58"/>
        <v>0</v>
      </c>
      <c r="L299" s="136">
        <f t="shared" si="58"/>
        <v>0</v>
      </c>
    </row>
    <row r="300" spans="3:12" ht="15.6" hidden="1">
      <c r="C300" s="39" t="str">
        <f t="shared" si="50"/>
        <v>H</v>
      </c>
      <c r="D300" s="45" t="str">
        <f>Parameter!C$17</f>
        <v>Neo 3 / G3</v>
      </c>
      <c r="E300" s="134">
        <f t="shared" ref="E300:L300" si="59">SUMIF(Y_VRPC_PR, E$10&amp;"_"&amp;$D289&amp;"_"&amp;$D300, VRPanelRev)</f>
        <v>0</v>
      </c>
      <c r="F300" s="135">
        <f t="shared" si="59"/>
        <v>0</v>
      </c>
      <c r="G300" s="135">
        <f t="shared" si="59"/>
        <v>0</v>
      </c>
      <c r="H300" s="135">
        <f t="shared" si="59"/>
        <v>0</v>
      </c>
      <c r="I300" s="135">
        <f t="shared" si="59"/>
        <v>0</v>
      </c>
      <c r="J300" s="135">
        <f t="shared" si="59"/>
        <v>0</v>
      </c>
      <c r="K300" s="135">
        <f t="shared" si="59"/>
        <v>0</v>
      </c>
      <c r="L300" s="136">
        <f t="shared" si="59"/>
        <v>0</v>
      </c>
    </row>
    <row r="301" spans="3:12" ht="15.6" hidden="1">
      <c r="C301" s="39" t="str">
        <f t="shared" si="50"/>
        <v>H</v>
      </c>
      <c r="D301" s="45" t="str">
        <f>Parameter!C$18</f>
        <v>OLED VR headset</v>
      </c>
      <c r="E301" s="134">
        <f t="shared" ref="E301:L301" si="60">SUMIF(Y_VRPC_PR, E$10&amp;"_"&amp;$D289&amp;"_"&amp;$D301, VRPanelRev)</f>
        <v>0</v>
      </c>
      <c r="F301" s="135">
        <f t="shared" si="60"/>
        <v>0</v>
      </c>
      <c r="G301" s="135">
        <f t="shared" si="60"/>
        <v>0</v>
      </c>
      <c r="H301" s="135">
        <f t="shared" si="60"/>
        <v>0</v>
      </c>
      <c r="I301" s="135">
        <f t="shared" si="60"/>
        <v>0</v>
      </c>
      <c r="J301" s="135">
        <f t="shared" si="60"/>
        <v>0</v>
      </c>
      <c r="K301" s="135">
        <f t="shared" si="60"/>
        <v>0</v>
      </c>
      <c r="L301" s="136">
        <f t="shared" si="60"/>
        <v>0</v>
      </c>
    </row>
    <row r="302" spans="3:12" ht="15.6" hidden="1">
      <c r="C302" s="39" t="str">
        <f t="shared" si="50"/>
        <v>H</v>
      </c>
      <c r="D302" s="45" t="str">
        <f>Parameter!C$19</f>
        <v>P1 family</v>
      </c>
      <c r="E302" s="134">
        <f t="shared" ref="E302:L302" si="61">SUMIF(Y_VRPC_PR, E$10&amp;"_"&amp;$D289&amp;"_"&amp;$D302, VRPanelRev)</f>
        <v>0</v>
      </c>
      <c r="F302" s="135">
        <f t="shared" si="61"/>
        <v>0</v>
      </c>
      <c r="G302" s="135">
        <f t="shared" si="61"/>
        <v>0</v>
      </c>
      <c r="H302" s="135">
        <f t="shared" si="61"/>
        <v>0</v>
      </c>
      <c r="I302" s="135">
        <f t="shared" si="61"/>
        <v>0</v>
      </c>
      <c r="J302" s="135">
        <f t="shared" si="61"/>
        <v>0</v>
      </c>
      <c r="K302" s="135">
        <f t="shared" si="61"/>
        <v>0</v>
      </c>
      <c r="L302" s="136">
        <f t="shared" si="61"/>
        <v>0</v>
      </c>
    </row>
    <row r="303" spans="3:12" ht="15.6" hidden="1">
      <c r="C303" s="39" t="str">
        <f t="shared" si="50"/>
        <v>H</v>
      </c>
      <c r="D303" s="45" t="str">
        <f>Parameter!C$20</f>
        <v>Pico 4</v>
      </c>
      <c r="E303" s="134">
        <f t="shared" ref="E303:L303" si="62">SUMIF(Y_VRPC_PR, E$10&amp;"_"&amp;$D289&amp;"_"&amp;$D303, VRPanelRev)</f>
        <v>0</v>
      </c>
      <c r="F303" s="135">
        <f t="shared" si="62"/>
        <v>0</v>
      </c>
      <c r="G303" s="135">
        <f t="shared" si="62"/>
        <v>0</v>
      </c>
      <c r="H303" s="135">
        <f t="shared" si="62"/>
        <v>0</v>
      </c>
      <c r="I303" s="135">
        <f t="shared" si="62"/>
        <v>0</v>
      </c>
      <c r="J303" s="135">
        <f t="shared" si="62"/>
        <v>0</v>
      </c>
      <c r="K303" s="135">
        <f t="shared" si="62"/>
        <v>0</v>
      </c>
      <c r="L303" s="136">
        <f t="shared" si="62"/>
        <v>0</v>
      </c>
    </row>
    <row r="304" spans="3:12" ht="15.6" hidden="1">
      <c r="C304" s="39" t="str">
        <f t="shared" si="50"/>
        <v>H</v>
      </c>
      <c r="D304" s="45" t="str">
        <f>Parameter!C$21</f>
        <v>Pimax VR</v>
      </c>
      <c r="E304" s="134">
        <f t="shared" ref="E304:L304" si="63">SUMIF(Y_VRPC_PR, E$10&amp;"_"&amp;$D289&amp;"_"&amp;$D304, VRPanelRev)</f>
        <v>0</v>
      </c>
      <c r="F304" s="135">
        <f t="shared" si="63"/>
        <v>0</v>
      </c>
      <c r="G304" s="135">
        <f t="shared" si="63"/>
        <v>0</v>
      </c>
      <c r="H304" s="135">
        <f t="shared" si="63"/>
        <v>0</v>
      </c>
      <c r="I304" s="135">
        <f t="shared" si="63"/>
        <v>0</v>
      </c>
      <c r="J304" s="135">
        <f t="shared" si="63"/>
        <v>0</v>
      </c>
      <c r="K304" s="135">
        <f t="shared" si="63"/>
        <v>0</v>
      </c>
      <c r="L304" s="136">
        <f t="shared" si="63"/>
        <v>0</v>
      </c>
    </row>
    <row r="305" spans="3:12" ht="15.6" hidden="1">
      <c r="C305" s="39" t="str">
        <f t="shared" si="50"/>
        <v>H</v>
      </c>
      <c r="D305" s="45" t="str">
        <f>Parameter!C$22</f>
        <v>PlayStation VR</v>
      </c>
      <c r="E305" s="134">
        <f t="shared" ref="E305:L305" si="64">SUMIF(Y_VRPC_PR, E$10&amp;"_"&amp;$D289&amp;"_"&amp;$D305, VRPanelRev)</f>
        <v>0</v>
      </c>
      <c r="F305" s="135">
        <f t="shared" si="64"/>
        <v>0</v>
      </c>
      <c r="G305" s="135">
        <f t="shared" si="64"/>
        <v>0</v>
      </c>
      <c r="H305" s="135">
        <f t="shared" si="64"/>
        <v>0</v>
      </c>
      <c r="I305" s="135">
        <f t="shared" si="64"/>
        <v>0</v>
      </c>
      <c r="J305" s="135">
        <f t="shared" si="64"/>
        <v>0</v>
      </c>
      <c r="K305" s="135">
        <f t="shared" si="64"/>
        <v>0</v>
      </c>
      <c r="L305" s="136">
        <f t="shared" si="64"/>
        <v>0</v>
      </c>
    </row>
    <row r="306" spans="3:12" ht="15.6" hidden="1">
      <c r="C306" s="39" t="str">
        <f t="shared" si="50"/>
        <v>H</v>
      </c>
      <c r="D306" s="45" t="str">
        <f>Parameter!C$23</f>
        <v>PlayStation VR2</v>
      </c>
      <c r="E306" s="134">
        <f t="shared" ref="E306:L306" si="65">SUMIF(Y_VRPC_PR, E$10&amp;"_"&amp;$D289&amp;"_"&amp;$D306, VRPanelRev)</f>
        <v>0</v>
      </c>
      <c r="F306" s="135">
        <f t="shared" si="65"/>
        <v>0</v>
      </c>
      <c r="G306" s="135">
        <f t="shared" si="65"/>
        <v>0</v>
      </c>
      <c r="H306" s="135">
        <f t="shared" si="65"/>
        <v>0</v>
      </c>
      <c r="I306" s="135">
        <f t="shared" si="65"/>
        <v>0</v>
      </c>
      <c r="J306" s="135">
        <f t="shared" si="65"/>
        <v>0</v>
      </c>
      <c r="K306" s="135">
        <f t="shared" si="65"/>
        <v>0</v>
      </c>
      <c r="L306" s="136">
        <f t="shared" si="65"/>
        <v>0</v>
      </c>
    </row>
    <row r="307" spans="3:12" ht="15.6" hidden="1">
      <c r="C307" s="39" t="str">
        <f t="shared" si="50"/>
        <v>H</v>
      </c>
      <c r="D307" s="45" t="str">
        <f>Parameter!C$24</f>
        <v>Project Moohan</v>
      </c>
      <c r="E307" s="134">
        <f t="shared" ref="E307:L307" si="66">SUMIF(Y_VRPC_PR, E$10&amp;"_"&amp;$D289&amp;"_"&amp;$D307, VRPanelRev)</f>
        <v>0</v>
      </c>
      <c r="F307" s="135">
        <f t="shared" si="66"/>
        <v>0</v>
      </c>
      <c r="G307" s="135">
        <f t="shared" si="66"/>
        <v>0</v>
      </c>
      <c r="H307" s="135">
        <f t="shared" si="66"/>
        <v>0</v>
      </c>
      <c r="I307" s="135">
        <f t="shared" si="66"/>
        <v>0</v>
      </c>
      <c r="J307" s="135">
        <f t="shared" si="66"/>
        <v>0</v>
      </c>
      <c r="K307" s="135">
        <f t="shared" si="66"/>
        <v>0</v>
      </c>
      <c r="L307" s="136">
        <f t="shared" si="66"/>
        <v>0</v>
      </c>
    </row>
    <row r="308" spans="3:12" ht="15.6" hidden="1">
      <c r="C308" s="39" t="str">
        <f t="shared" si="50"/>
        <v>H</v>
      </c>
      <c r="D308" s="45" t="str">
        <f>Parameter!C$25</f>
        <v>Quest</v>
      </c>
      <c r="E308" s="134">
        <f t="shared" ref="E308:L308" si="67">SUMIF(Y_VRPC_PR, E$10&amp;"_"&amp;$D289&amp;"_"&amp;$D308, VRPanelRev)</f>
        <v>0</v>
      </c>
      <c r="F308" s="135">
        <f t="shared" si="67"/>
        <v>0</v>
      </c>
      <c r="G308" s="135">
        <f t="shared" si="67"/>
        <v>0</v>
      </c>
      <c r="H308" s="135">
        <f t="shared" si="67"/>
        <v>0</v>
      </c>
      <c r="I308" s="135">
        <f t="shared" si="67"/>
        <v>0</v>
      </c>
      <c r="J308" s="135">
        <f t="shared" si="67"/>
        <v>0</v>
      </c>
      <c r="K308" s="135">
        <f t="shared" si="67"/>
        <v>0</v>
      </c>
      <c r="L308" s="136">
        <f t="shared" si="67"/>
        <v>0</v>
      </c>
    </row>
    <row r="309" spans="3:12" ht="15.6" hidden="1">
      <c r="C309" s="39" t="str">
        <f t="shared" si="50"/>
        <v>H</v>
      </c>
      <c r="D309" s="45" t="str">
        <f>Parameter!C$26</f>
        <v>Quest 2</v>
      </c>
      <c r="E309" s="134">
        <f t="shared" ref="E309:L309" si="68">SUMIF(Y_VRPC_PR, E$10&amp;"_"&amp;$D289&amp;"_"&amp;$D309, VRPanelRev)</f>
        <v>0</v>
      </c>
      <c r="F309" s="135">
        <f t="shared" si="68"/>
        <v>0</v>
      </c>
      <c r="G309" s="135">
        <f t="shared" si="68"/>
        <v>0</v>
      </c>
      <c r="H309" s="135">
        <f t="shared" si="68"/>
        <v>0</v>
      </c>
      <c r="I309" s="135">
        <f t="shared" si="68"/>
        <v>0</v>
      </c>
      <c r="J309" s="135">
        <f t="shared" si="68"/>
        <v>0</v>
      </c>
      <c r="K309" s="135">
        <f t="shared" si="68"/>
        <v>0</v>
      </c>
      <c r="L309" s="136">
        <f t="shared" si="68"/>
        <v>0</v>
      </c>
    </row>
    <row r="310" spans="3:12" ht="15.6" hidden="1">
      <c r="C310" s="39" t="str">
        <f t="shared" si="50"/>
        <v>H</v>
      </c>
      <c r="D310" s="45" t="str">
        <f>Parameter!C$27</f>
        <v>Quest 3</v>
      </c>
      <c r="E310" s="134">
        <f t="shared" ref="E310:L310" si="69">SUMIF(Y_VRPC_PR, E$10&amp;"_"&amp;$D289&amp;"_"&amp;$D310, VRPanelRev)</f>
        <v>0</v>
      </c>
      <c r="F310" s="135">
        <f t="shared" si="69"/>
        <v>0</v>
      </c>
      <c r="G310" s="135">
        <f t="shared" si="69"/>
        <v>0</v>
      </c>
      <c r="H310" s="135">
        <f t="shared" si="69"/>
        <v>0</v>
      </c>
      <c r="I310" s="135">
        <f t="shared" si="69"/>
        <v>0</v>
      </c>
      <c r="J310" s="135">
        <f t="shared" si="69"/>
        <v>0</v>
      </c>
      <c r="K310" s="135">
        <f t="shared" si="69"/>
        <v>0</v>
      </c>
      <c r="L310" s="136">
        <f t="shared" si="69"/>
        <v>0</v>
      </c>
    </row>
    <row r="311" spans="3:12" ht="15.6" hidden="1">
      <c r="C311" s="39" t="str">
        <f t="shared" si="50"/>
        <v>H</v>
      </c>
      <c r="D311" s="45" t="str">
        <f>Parameter!C$28</f>
        <v>Quest 3S</v>
      </c>
      <c r="E311" s="134">
        <f t="shared" ref="E311:L311" si="70">SUMIF(Y_VRPC_PR, E$10&amp;"_"&amp;$D289&amp;"_"&amp;$D311, VRPanelRev)</f>
        <v>0</v>
      </c>
      <c r="F311" s="135">
        <f t="shared" si="70"/>
        <v>0</v>
      </c>
      <c r="G311" s="135">
        <f t="shared" si="70"/>
        <v>0</v>
      </c>
      <c r="H311" s="135">
        <f t="shared" si="70"/>
        <v>0</v>
      </c>
      <c r="I311" s="135">
        <f t="shared" si="70"/>
        <v>0</v>
      </c>
      <c r="J311" s="135">
        <f t="shared" si="70"/>
        <v>0</v>
      </c>
      <c r="K311" s="135">
        <f t="shared" si="70"/>
        <v>0</v>
      </c>
      <c r="L311" s="136">
        <f t="shared" si="70"/>
        <v>0</v>
      </c>
    </row>
    <row r="312" spans="3:12" ht="15.6" hidden="1">
      <c r="C312" s="39" t="str">
        <f t="shared" si="50"/>
        <v>H</v>
      </c>
      <c r="D312" s="45" t="str">
        <f>Parameter!C$29</f>
        <v>Quest Pro</v>
      </c>
      <c r="E312" s="134">
        <f t="shared" ref="E312:L312" si="71">SUMIF(Y_VRPC_PR, E$10&amp;"_"&amp;$D289&amp;"_"&amp;$D312, VRPanelRev)</f>
        <v>0</v>
      </c>
      <c r="F312" s="135">
        <f t="shared" si="71"/>
        <v>0</v>
      </c>
      <c r="G312" s="135">
        <f t="shared" si="71"/>
        <v>0</v>
      </c>
      <c r="H312" s="135">
        <f t="shared" si="71"/>
        <v>0</v>
      </c>
      <c r="I312" s="135">
        <f t="shared" si="71"/>
        <v>0</v>
      </c>
      <c r="J312" s="135">
        <f t="shared" si="71"/>
        <v>0</v>
      </c>
      <c r="K312" s="135">
        <f t="shared" si="71"/>
        <v>0</v>
      </c>
      <c r="L312" s="136">
        <f t="shared" si="71"/>
        <v>0</v>
      </c>
    </row>
    <row r="313" spans="3:12" ht="15.6" hidden="1">
      <c r="C313" s="39" t="str">
        <f t="shared" si="50"/>
        <v>H</v>
      </c>
      <c r="D313" s="45" t="str">
        <f>Parameter!C$30</f>
        <v>R1</v>
      </c>
      <c r="E313" s="134">
        <f t="shared" ref="E313:L313" si="72">SUMIF(Y_VRPC_PR, E$10&amp;"_"&amp;$D289&amp;"_"&amp;$D313, VRPanelRev)</f>
        <v>0</v>
      </c>
      <c r="F313" s="135">
        <f t="shared" si="72"/>
        <v>0</v>
      </c>
      <c r="G313" s="135">
        <f t="shared" si="72"/>
        <v>0</v>
      </c>
      <c r="H313" s="135">
        <f t="shared" si="72"/>
        <v>0</v>
      </c>
      <c r="I313" s="135">
        <f t="shared" si="72"/>
        <v>0</v>
      </c>
      <c r="J313" s="135">
        <f t="shared" si="72"/>
        <v>0</v>
      </c>
      <c r="K313" s="135">
        <f t="shared" si="72"/>
        <v>0</v>
      </c>
      <c r="L313" s="136">
        <f t="shared" si="72"/>
        <v>0</v>
      </c>
    </row>
    <row r="314" spans="3:12" ht="15.6" hidden="1">
      <c r="C314" s="39" t="str">
        <f t="shared" si="50"/>
        <v>H</v>
      </c>
      <c r="D314" s="45" t="str">
        <f>Parameter!C$31</f>
        <v>Reverb</v>
      </c>
      <c r="E314" s="134">
        <f t="shared" ref="E314:L314" si="73">SUMIF(Y_VRPC_PR, E$10&amp;"_"&amp;$D289&amp;"_"&amp;$D314, VRPanelRev)</f>
        <v>0</v>
      </c>
      <c r="F314" s="135">
        <f t="shared" si="73"/>
        <v>0</v>
      </c>
      <c r="G314" s="135">
        <f t="shared" si="73"/>
        <v>0</v>
      </c>
      <c r="H314" s="135">
        <f t="shared" si="73"/>
        <v>0</v>
      </c>
      <c r="I314" s="135">
        <f t="shared" si="73"/>
        <v>0</v>
      </c>
      <c r="J314" s="135">
        <f t="shared" si="73"/>
        <v>0</v>
      </c>
      <c r="K314" s="135">
        <f t="shared" si="73"/>
        <v>0</v>
      </c>
      <c r="L314" s="136">
        <f t="shared" si="73"/>
        <v>0</v>
      </c>
    </row>
    <row r="315" spans="3:12" ht="15.6" hidden="1">
      <c r="C315" s="39" t="str">
        <f t="shared" si="50"/>
        <v>H</v>
      </c>
      <c r="D315" s="45" t="str">
        <f>Parameter!C$32</f>
        <v>Reverb G2</v>
      </c>
      <c r="E315" s="134">
        <f t="shared" ref="E315:L315" si="74">SUMIF(Y_VRPC_PR, E$10&amp;"_"&amp;$D289&amp;"_"&amp;$D315, VRPanelRev)</f>
        <v>0</v>
      </c>
      <c r="F315" s="135">
        <f t="shared" si="74"/>
        <v>0</v>
      </c>
      <c r="G315" s="135">
        <f t="shared" si="74"/>
        <v>0</v>
      </c>
      <c r="H315" s="135">
        <f t="shared" si="74"/>
        <v>0</v>
      </c>
      <c r="I315" s="135">
        <f t="shared" si="74"/>
        <v>0</v>
      </c>
      <c r="J315" s="135">
        <f t="shared" si="74"/>
        <v>0</v>
      </c>
      <c r="K315" s="135">
        <f t="shared" si="74"/>
        <v>0</v>
      </c>
      <c r="L315" s="136">
        <f t="shared" si="74"/>
        <v>0</v>
      </c>
    </row>
    <row r="316" spans="3:12" ht="15.6" hidden="1">
      <c r="C316" s="39" t="str">
        <f t="shared" si="50"/>
        <v>H</v>
      </c>
      <c r="D316" s="45" t="str">
        <f>Parameter!C$33</f>
        <v>Rift S</v>
      </c>
      <c r="E316" s="134">
        <f t="shared" ref="E316:L316" si="75">SUMIF(Y_VRPC_PR, E$10&amp;"_"&amp;$D289&amp;"_"&amp;$D316, VRPanelRev)</f>
        <v>0</v>
      </c>
      <c r="F316" s="135">
        <f t="shared" si="75"/>
        <v>0</v>
      </c>
      <c r="G316" s="135">
        <f t="shared" si="75"/>
        <v>0</v>
      </c>
      <c r="H316" s="135">
        <f t="shared" si="75"/>
        <v>0</v>
      </c>
      <c r="I316" s="135">
        <f t="shared" si="75"/>
        <v>0</v>
      </c>
      <c r="J316" s="135">
        <f t="shared" si="75"/>
        <v>0</v>
      </c>
      <c r="K316" s="135">
        <f t="shared" si="75"/>
        <v>0</v>
      </c>
      <c r="L316" s="136">
        <f t="shared" si="75"/>
        <v>0</v>
      </c>
    </row>
    <row r="317" spans="3:12" ht="15.6" hidden="1">
      <c r="C317" s="39" t="str">
        <f t="shared" si="50"/>
        <v>H</v>
      </c>
      <c r="D317" s="45" t="str">
        <f>Parameter!C$34</f>
        <v>Single LCD VR headset</v>
      </c>
      <c r="E317" s="134">
        <f t="shared" ref="E317:L317" si="76">SUMIF(Y_VRPC_PR, E$10&amp;"_"&amp;$D289&amp;"_"&amp;$D317, VRPanelRev)</f>
        <v>0</v>
      </c>
      <c r="F317" s="135">
        <f t="shared" si="76"/>
        <v>0</v>
      </c>
      <c r="G317" s="135">
        <f t="shared" si="76"/>
        <v>0</v>
      </c>
      <c r="H317" s="135">
        <f t="shared" si="76"/>
        <v>0</v>
      </c>
      <c r="I317" s="135">
        <f t="shared" si="76"/>
        <v>0</v>
      </c>
      <c r="J317" s="135">
        <f t="shared" si="76"/>
        <v>0</v>
      </c>
      <c r="K317" s="135">
        <f t="shared" si="76"/>
        <v>0</v>
      </c>
      <c r="L317" s="136">
        <f t="shared" si="76"/>
        <v>0</v>
      </c>
    </row>
    <row r="318" spans="3:12" ht="15.6" hidden="1">
      <c r="C318" s="39" t="str">
        <f t="shared" si="50"/>
        <v>H</v>
      </c>
      <c r="D318" s="45" t="str">
        <f>Parameter!C$35</f>
        <v>ThinkReality VRX</v>
      </c>
      <c r="E318" s="134">
        <f t="shared" ref="E318:L318" si="77">SUMIF(Y_VRPC_PR, E$10&amp;"_"&amp;$D289&amp;"_"&amp;$D318, VRPanelRev)</f>
        <v>0</v>
      </c>
      <c r="F318" s="135">
        <f t="shared" si="77"/>
        <v>0</v>
      </c>
      <c r="G318" s="135">
        <f t="shared" si="77"/>
        <v>0</v>
      </c>
      <c r="H318" s="135">
        <f t="shared" si="77"/>
        <v>0</v>
      </c>
      <c r="I318" s="135">
        <f t="shared" si="77"/>
        <v>0</v>
      </c>
      <c r="J318" s="135">
        <f t="shared" si="77"/>
        <v>0</v>
      </c>
      <c r="K318" s="135">
        <f t="shared" si="77"/>
        <v>0</v>
      </c>
      <c r="L318" s="136">
        <f t="shared" si="77"/>
        <v>0</v>
      </c>
    </row>
    <row r="319" spans="3:12" ht="15.6" hidden="1">
      <c r="C319" s="39" t="str">
        <f t="shared" si="50"/>
        <v>H</v>
      </c>
      <c r="D319" s="45" t="str">
        <f>Parameter!C$36</f>
        <v>Vision Pro</v>
      </c>
      <c r="E319" s="134">
        <f t="shared" ref="E319:L319" si="78">SUMIF(Y_VRPC_PR, E$10&amp;"_"&amp;$D289&amp;"_"&amp;$D319, VRPanelRev)</f>
        <v>0</v>
      </c>
      <c r="F319" s="135">
        <f t="shared" si="78"/>
        <v>0</v>
      </c>
      <c r="G319" s="135">
        <f t="shared" si="78"/>
        <v>0</v>
      </c>
      <c r="H319" s="135">
        <f t="shared" si="78"/>
        <v>0</v>
      </c>
      <c r="I319" s="135">
        <f t="shared" si="78"/>
        <v>0</v>
      </c>
      <c r="J319" s="135">
        <f t="shared" si="78"/>
        <v>0</v>
      </c>
      <c r="K319" s="135">
        <f t="shared" si="78"/>
        <v>0</v>
      </c>
      <c r="L319" s="136">
        <f t="shared" si="78"/>
        <v>0</v>
      </c>
    </row>
    <row r="320" spans="3:12" ht="15.6" hidden="1">
      <c r="C320" s="39" t="str">
        <f t="shared" si="50"/>
        <v>H</v>
      </c>
      <c r="D320" s="45" t="str">
        <f>Parameter!C$37</f>
        <v>Vive LCD headsets</v>
      </c>
      <c r="E320" s="134">
        <f t="shared" ref="E320:L320" si="79">SUMIF(Y_VRPC_PR, E$10&amp;"_"&amp;$D289&amp;"_"&amp;$D320, VRPanelRev)</f>
        <v>0</v>
      </c>
      <c r="F320" s="135">
        <f t="shared" si="79"/>
        <v>0</v>
      </c>
      <c r="G320" s="135">
        <f t="shared" si="79"/>
        <v>0</v>
      </c>
      <c r="H320" s="135">
        <f t="shared" si="79"/>
        <v>0</v>
      </c>
      <c r="I320" s="135">
        <f t="shared" si="79"/>
        <v>0</v>
      </c>
      <c r="J320" s="135">
        <f t="shared" si="79"/>
        <v>0</v>
      </c>
      <c r="K320" s="135">
        <f t="shared" si="79"/>
        <v>0</v>
      </c>
      <c r="L320" s="136">
        <f t="shared" si="79"/>
        <v>0</v>
      </c>
    </row>
    <row r="321" spans="3:12" ht="15.6" hidden="1">
      <c r="C321" s="39" t="str">
        <f t="shared" si="50"/>
        <v>H</v>
      </c>
      <c r="D321" s="45" t="str">
        <f>Parameter!C$38</f>
        <v>VR1</v>
      </c>
      <c r="E321" s="134">
        <f t="shared" ref="E321:L321" si="80">SUMIF(Y_VRPC_PR, E$10&amp;"_"&amp;$D289&amp;"_"&amp;$D321, VRPanelRev)</f>
        <v>0</v>
      </c>
      <c r="F321" s="135">
        <f t="shared" si="80"/>
        <v>0</v>
      </c>
      <c r="G321" s="135">
        <f t="shared" si="80"/>
        <v>0</v>
      </c>
      <c r="H321" s="135">
        <f t="shared" si="80"/>
        <v>0</v>
      </c>
      <c r="I321" s="135">
        <f t="shared" si="80"/>
        <v>0</v>
      </c>
      <c r="J321" s="135">
        <f t="shared" si="80"/>
        <v>0</v>
      </c>
      <c r="K321" s="135">
        <f t="shared" si="80"/>
        <v>0</v>
      </c>
      <c r="L321" s="136">
        <f t="shared" si="80"/>
        <v>0</v>
      </c>
    </row>
    <row r="322" spans="3:12" ht="15.6" hidden="1">
      <c r="C322" s="39" t="str">
        <f t="shared" si="50"/>
        <v>H</v>
      </c>
      <c r="D322" s="45" t="str">
        <f>Parameter!C$39</f>
        <v>XR-4</v>
      </c>
      <c r="E322" s="134">
        <f t="shared" ref="E322:L322" si="81">SUMIF(Y_VRPC_PR, E$10&amp;"_"&amp;$D289&amp;"_"&amp;$D322, VRPanelRev)</f>
        <v>0</v>
      </c>
      <c r="F322" s="135">
        <f t="shared" si="81"/>
        <v>0</v>
      </c>
      <c r="G322" s="135">
        <f t="shared" si="81"/>
        <v>0</v>
      </c>
      <c r="H322" s="135">
        <f t="shared" si="81"/>
        <v>0</v>
      </c>
      <c r="I322" s="135">
        <f t="shared" si="81"/>
        <v>0</v>
      </c>
      <c r="J322" s="135">
        <f t="shared" si="81"/>
        <v>0</v>
      </c>
      <c r="K322" s="135">
        <f t="shared" si="81"/>
        <v>0</v>
      </c>
      <c r="L322" s="136">
        <f t="shared" si="81"/>
        <v>0</v>
      </c>
    </row>
    <row r="323" spans="3:12" ht="15.6" hidden="1">
      <c r="C323" s="39" t="str">
        <f t="shared" si="50"/>
        <v>H</v>
      </c>
      <c r="D323" s="45">
        <f>Parameter!C$40</f>
        <v>0</v>
      </c>
      <c r="E323" s="134">
        <f t="shared" ref="E323:L323" si="82">SUMIF(Y_VRPC_PR, E$10&amp;"_"&amp;$D289&amp;"_"&amp;$D323, VRPanelRev)</f>
        <v>0</v>
      </c>
      <c r="F323" s="135">
        <f t="shared" si="82"/>
        <v>0</v>
      </c>
      <c r="G323" s="135">
        <f t="shared" si="82"/>
        <v>0</v>
      </c>
      <c r="H323" s="135">
        <f t="shared" si="82"/>
        <v>0</v>
      </c>
      <c r="I323" s="135">
        <f t="shared" si="82"/>
        <v>0</v>
      </c>
      <c r="J323" s="135">
        <f t="shared" si="82"/>
        <v>0</v>
      </c>
      <c r="K323" s="135">
        <f t="shared" si="82"/>
        <v>0</v>
      </c>
      <c r="L323" s="136">
        <f t="shared" si="82"/>
        <v>0</v>
      </c>
    </row>
    <row r="324" spans="3:12" ht="15.6" hidden="1">
      <c r="C324" s="39" t="str">
        <f t="shared" si="50"/>
        <v>H</v>
      </c>
      <c r="D324" s="45">
        <f>Parameter!C$41</f>
        <v>0</v>
      </c>
      <c r="E324" s="134">
        <f t="shared" ref="E324:L324" si="83">SUMIF(Y_VRPC_PR, E$10&amp;"_"&amp;$D289&amp;"_"&amp;$D324, VRPanelRev)</f>
        <v>0</v>
      </c>
      <c r="F324" s="135">
        <f t="shared" si="83"/>
        <v>0</v>
      </c>
      <c r="G324" s="135">
        <f t="shared" si="83"/>
        <v>0</v>
      </c>
      <c r="H324" s="135">
        <f t="shared" si="83"/>
        <v>0</v>
      </c>
      <c r="I324" s="135">
        <f t="shared" si="83"/>
        <v>0</v>
      </c>
      <c r="J324" s="135">
        <f t="shared" si="83"/>
        <v>0</v>
      </c>
      <c r="K324" s="135">
        <f t="shared" si="83"/>
        <v>0</v>
      </c>
      <c r="L324" s="136">
        <f t="shared" si="83"/>
        <v>0</v>
      </c>
    </row>
    <row r="325" spans="3:12" ht="15.6" hidden="1">
      <c r="C325" s="39" t="str">
        <f t="shared" si="50"/>
        <v>H</v>
      </c>
      <c r="D325" s="45">
        <f>Parameter!C$42</f>
        <v>0</v>
      </c>
      <c r="E325" s="134">
        <f t="shared" ref="E325:L325" si="84">SUMIF(Y_VRPC_PR, E$10&amp;"_"&amp;$D289&amp;"_"&amp;$D325, VRPanelRev)</f>
        <v>0</v>
      </c>
      <c r="F325" s="135">
        <f t="shared" si="84"/>
        <v>0</v>
      </c>
      <c r="G325" s="135">
        <f t="shared" si="84"/>
        <v>0</v>
      </c>
      <c r="H325" s="135">
        <f t="shared" si="84"/>
        <v>0</v>
      </c>
      <c r="I325" s="135">
        <f t="shared" si="84"/>
        <v>0</v>
      </c>
      <c r="J325" s="135">
        <f t="shared" si="84"/>
        <v>0</v>
      </c>
      <c r="K325" s="135">
        <f t="shared" si="84"/>
        <v>0</v>
      </c>
      <c r="L325" s="136">
        <f t="shared" si="84"/>
        <v>0</v>
      </c>
    </row>
    <row r="326" spans="3:12" ht="15.6" hidden="1">
      <c r="C326" s="39" t="str">
        <f t="shared" si="50"/>
        <v>H</v>
      </c>
      <c r="D326" s="45">
        <f>Parameter!C$43</f>
        <v>0</v>
      </c>
      <c r="E326" s="134">
        <f t="shared" ref="E326:L326" si="85">SUMIF(Y_VRPC_PR, E$10&amp;"_"&amp;$D289&amp;"_"&amp;$D326, VRPanelRev)</f>
        <v>0</v>
      </c>
      <c r="F326" s="135">
        <f t="shared" si="85"/>
        <v>0</v>
      </c>
      <c r="G326" s="135">
        <f t="shared" si="85"/>
        <v>0</v>
      </c>
      <c r="H326" s="135">
        <f t="shared" si="85"/>
        <v>0</v>
      </c>
      <c r="I326" s="135">
        <f t="shared" si="85"/>
        <v>0</v>
      </c>
      <c r="J326" s="135">
        <f t="shared" si="85"/>
        <v>0</v>
      </c>
      <c r="K326" s="135">
        <f t="shared" si="85"/>
        <v>0</v>
      </c>
      <c r="L326" s="136">
        <f t="shared" si="85"/>
        <v>0</v>
      </c>
    </row>
    <row r="327" spans="3:12" ht="15.6" hidden="1">
      <c r="C327" s="39" t="str">
        <f t="shared" si="50"/>
        <v>H</v>
      </c>
      <c r="D327" s="45">
        <f>Parameter!C$44</f>
        <v>0</v>
      </c>
      <c r="E327" s="134">
        <f t="shared" ref="E327:L327" si="86">SUMIF(Y_VRPC_PR, E$10&amp;"_"&amp;$D289&amp;"_"&amp;$D327, VRPanelRev)</f>
        <v>0</v>
      </c>
      <c r="F327" s="135">
        <f t="shared" si="86"/>
        <v>0</v>
      </c>
      <c r="G327" s="135">
        <f t="shared" si="86"/>
        <v>0</v>
      </c>
      <c r="H327" s="135">
        <f t="shared" si="86"/>
        <v>0</v>
      </c>
      <c r="I327" s="135">
        <f t="shared" si="86"/>
        <v>0</v>
      </c>
      <c r="J327" s="135">
        <f t="shared" si="86"/>
        <v>0</v>
      </c>
      <c r="K327" s="135">
        <f t="shared" si="86"/>
        <v>0</v>
      </c>
      <c r="L327" s="136">
        <f t="shared" si="86"/>
        <v>0</v>
      </c>
    </row>
    <row r="328" spans="3:12" ht="15.6" hidden="1">
      <c r="C328" s="39" t="str">
        <f t="shared" si="50"/>
        <v>H</v>
      </c>
      <c r="D328" s="45">
        <f>Parameter!C$45</f>
        <v>0</v>
      </c>
      <c r="E328" s="134">
        <f t="shared" ref="E328:L328" si="87">SUMIF(Y_VRPC_PR, E$10&amp;"_"&amp;$D289&amp;"_"&amp;$D328, VRPanelRev)</f>
        <v>0</v>
      </c>
      <c r="F328" s="135">
        <f t="shared" si="87"/>
        <v>0</v>
      </c>
      <c r="G328" s="135">
        <f t="shared" si="87"/>
        <v>0</v>
      </c>
      <c r="H328" s="135">
        <f t="shared" si="87"/>
        <v>0</v>
      </c>
      <c r="I328" s="135">
        <f t="shared" si="87"/>
        <v>0</v>
      </c>
      <c r="J328" s="135">
        <f t="shared" si="87"/>
        <v>0</v>
      </c>
      <c r="K328" s="135">
        <f t="shared" si="87"/>
        <v>0</v>
      </c>
      <c r="L328" s="136">
        <f t="shared" si="87"/>
        <v>0</v>
      </c>
    </row>
    <row r="329" spans="3:12" ht="15.6" hidden="1">
      <c r="C329" s="39" t="str">
        <f t="shared" si="50"/>
        <v>H</v>
      </c>
      <c r="D329" s="45">
        <f>Parameter!C$46</f>
        <v>0</v>
      </c>
      <c r="E329" s="134">
        <f t="shared" ref="E329:L329" si="88">SUMIF(Y_VRPC_PR, E$10&amp;"_"&amp;$D289&amp;"_"&amp;$D329, VRPanelRev)</f>
        <v>0</v>
      </c>
      <c r="F329" s="135">
        <f t="shared" si="88"/>
        <v>0</v>
      </c>
      <c r="G329" s="135">
        <f t="shared" si="88"/>
        <v>0</v>
      </c>
      <c r="H329" s="135">
        <f t="shared" si="88"/>
        <v>0</v>
      </c>
      <c r="I329" s="135">
        <f t="shared" si="88"/>
        <v>0</v>
      </c>
      <c r="J329" s="135">
        <f t="shared" si="88"/>
        <v>0</v>
      </c>
      <c r="K329" s="135">
        <f t="shared" si="88"/>
        <v>0</v>
      </c>
      <c r="L329" s="136">
        <f t="shared" si="88"/>
        <v>0</v>
      </c>
    </row>
    <row r="330" spans="3:12" ht="15.6" hidden="1">
      <c r="C330" s="39" t="str">
        <f t="shared" si="50"/>
        <v>H</v>
      </c>
      <c r="D330" s="45">
        <f>Parameter!C$47</f>
        <v>0</v>
      </c>
      <c r="E330" s="134">
        <f t="shared" ref="E330:L330" si="89">SUMIF(Y_VRPC_PR, E$10&amp;"_"&amp;$D289&amp;"_"&amp;$D330, VRPanelRev)</f>
        <v>0</v>
      </c>
      <c r="F330" s="135">
        <f t="shared" si="89"/>
        <v>0</v>
      </c>
      <c r="G330" s="135">
        <f t="shared" si="89"/>
        <v>0</v>
      </c>
      <c r="H330" s="135">
        <f t="shared" si="89"/>
        <v>0</v>
      </c>
      <c r="I330" s="135">
        <f t="shared" si="89"/>
        <v>0</v>
      </c>
      <c r="J330" s="135">
        <f t="shared" si="89"/>
        <v>0</v>
      </c>
      <c r="K330" s="135">
        <f t="shared" si="89"/>
        <v>0</v>
      </c>
      <c r="L330" s="136">
        <f t="shared" si="89"/>
        <v>0</v>
      </c>
    </row>
    <row r="331" spans="3:12" ht="15.6" hidden="1">
      <c r="C331" s="39" t="str">
        <f t="shared" si="50"/>
        <v>H</v>
      </c>
      <c r="D331" s="45">
        <f>Parameter!C$48</f>
        <v>0</v>
      </c>
      <c r="E331" s="134">
        <f t="shared" ref="E331:L331" si="90">SUMIF(Y_VRPC_PR, E$10&amp;"_"&amp;$D289&amp;"_"&amp;$D331, VRPanelRev)</f>
        <v>0</v>
      </c>
      <c r="F331" s="135">
        <f t="shared" si="90"/>
        <v>0</v>
      </c>
      <c r="G331" s="135">
        <f t="shared" si="90"/>
        <v>0</v>
      </c>
      <c r="H331" s="135">
        <f t="shared" si="90"/>
        <v>0</v>
      </c>
      <c r="I331" s="135">
        <f t="shared" si="90"/>
        <v>0</v>
      </c>
      <c r="J331" s="135">
        <f t="shared" si="90"/>
        <v>0</v>
      </c>
      <c r="K331" s="135">
        <f t="shared" si="90"/>
        <v>0</v>
      </c>
      <c r="L331" s="136">
        <f t="shared" si="90"/>
        <v>0</v>
      </c>
    </row>
    <row r="332" spans="3:12" ht="15.6" hidden="1">
      <c r="C332" s="39" t="str">
        <f t="shared" si="50"/>
        <v>H</v>
      </c>
      <c r="D332" s="45">
        <f>Parameter!C$49</f>
        <v>0</v>
      </c>
      <c r="E332" s="134">
        <f t="shared" ref="E332:L332" si="91">SUMIF(Y_VRPC_PR, E$10&amp;"_"&amp;$D289&amp;"_"&amp;$D332, VRPanelRev)</f>
        <v>0</v>
      </c>
      <c r="F332" s="135">
        <f t="shared" si="91"/>
        <v>0</v>
      </c>
      <c r="G332" s="135">
        <f t="shared" si="91"/>
        <v>0</v>
      </c>
      <c r="H332" s="135">
        <f t="shared" si="91"/>
        <v>0</v>
      </c>
      <c r="I332" s="135">
        <f t="shared" si="91"/>
        <v>0</v>
      </c>
      <c r="J332" s="135">
        <f t="shared" si="91"/>
        <v>0</v>
      </c>
      <c r="K332" s="135">
        <f t="shared" si="91"/>
        <v>0</v>
      </c>
      <c r="L332" s="136">
        <f t="shared" si="91"/>
        <v>0</v>
      </c>
    </row>
    <row r="333" spans="3:12" ht="15.6" hidden="1">
      <c r="C333" s="39" t="str">
        <f t="shared" si="50"/>
        <v>H</v>
      </c>
      <c r="D333" s="45">
        <f>Parameter!C$50</f>
        <v>0</v>
      </c>
      <c r="E333" s="134">
        <f t="shared" ref="E333:L333" si="92">SUMIF(Y_VRPC_PR, E$10&amp;"_"&amp;$D289&amp;"_"&amp;$D333, VRPanelRev)</f>
        <v>0</v>
      </c>
      <c r="F333" s="135">
        <f t="shared" si="92"/>
        <v>0</v>
      </c>
      <c r="G333" s="135">
        <f t="shared" si="92"/>
        <v>0</v>
      </c>
      <c r="H333" s="135">
        <f t="shared" si="92"/>
        <v>0</v>
      </c>
      <c r="I333" s="135">
        <f t="shared" si="92"/>
        <v>0</v>
      </c>
      <c r="J333" s="135">
        <f t="shared" si="92"/>
        <v>0</v>
      </c>
      <c r="K333" s="135">
        <f t="shared" si="92"/>
        <v>0</v>
      </c>
      <c r="L333" s="136">
        <f t="shared" si="92"/>
        <v>0</v>
      </c>
    </row>
    <row r="334" spans="3:12" ht="15.6" hidden="1">
      <c r="C334" s="39" t="str">
        <f t="shared" si="50"/>
        <v>H</v>
      </c>
      <c r="D334" s="45">
        <f>Parameter!C$51</f>
        <v>0</v>
      </c>
      <c r="E334" s="134">
        <f t="shared" ref="E334:L334" si="93">SUMIF(Y_VRPC_PR, E$10&amp;"_"&amp;$D289&amp;"_"&amp;$D334, VRPanelRev)</f>
        <v>0</v>
      </c>
      <c r="F334" s="135">
        <f t="shared" si="93"/>
        <v>0</v>
      </c>
      <c r="G334" s="135">
        <f t="shared" si="93"/>
        <v>0</v>
      </c>
      <c r="H334" s="135">
        <f t="shared" si="93"/>
        <v>0</v>
      </c>
      <c r="I334" s="135">
        <f t="shared" si="93"/>
        <v>0</v>
      </c>
      <c r="J334" s="135">
        <f t="shared" si="93"/>
        <v>0</v>
      </c>
      <c r="K334" s="135">
        <f t="shared" si="93"/>
        <v>0</v>
      </c>
      <c r="L334" s="136">
        <f t="shared" si="93"/>
        <v>0</v>
      </c>
    </row>
    <row r="335" spans="3:12" ht="15.6" hidden="1">
      <c r="C335" s="39" t="str">
        <f t="shared" si="50"/>
        <v>H</v>
      </c>
      <c r="D335" s="45">
        <f>Parameter!C$52</f>
        <v>0</v>
      </c>
      <c r="E335" s="134">
        <f t="shared" ref="E335:L335" si="94">SUMIF(Y_VRPC_PR, E$10&amp;"_"&amp;$D289&amp;"_"&amp;$D335, VRPanelRev)</f>
        <v>0</v>
      </c>
      <c r="F335" s="135">
        <f t="shared" si="94"/>
        <v>0</v>
      </c>
      <c r="G335" s="135">
        <f t="shared" si="94"/>
        <v>0</v>
      </c>
      <c r="H335" s="135">
        <f t="shared" si="94"/>
        <v>0</v>
      </c>
      <c r="I335" s="135">
        <f t="shared" si="94"/>
        <v>0</v>
      </c>
      <c r="J335" s="135">
        <f t="shared" si="94"/>
        <v>0</v>
      </c>
      <c r="K335" s="135">
        <f t="shared" si="94"/>
        <v>0</v>
      </c>
      <c r="L335" s="136">
        <f t="shared" si="94"/>
        <v>0</v>
      </c>
    </row>
    <row r="336" spans="3:12" ht="15.6" hidden="1">
      <c r="C336" s="39" t="str">
        <f t="shared" si="50"/>
        <v>H</v>
      </c>
      <c r="D336" s="45">
        <f>Parameter!C$53</f>
        <v>0</v>
      </c>
      <c r="E336" s="134">
        <f t="shared" ref="E336:L336" si="95">SUMIF(Y_VRPC_PR, E$10&amp;"_"&amp;$D289&amp;"_"&amp;$D336, VRPanelRev)</f>
        <v>0</v>
      </c>
      <c r="F336" s="135">
        <f t="shared" si="95"/>
        <v>0</v>
      </c>
      <c r="G336" s="135">
        <f t="shared" si="95"/>
        <v>0</v>
      </c>
      <c r="H336" s="135">
        <f t="shared" si="95"/>
        <v>0</v>
      </c>
      <c r="I336" s="135">
        <f t="shared" si="95"/>
        <v>0</v>
      </c>
      <c r="J336" s="135">
        <f t="shared" si="95"/>
        <v>0</v>
      </c>
      <c r="K336" s="135">
        <f t="shared" si="95"/>
        <v>0</v>
      </c>
      <c r="L336" s="136">
        <f t="shared" si="95"/>
        <v>0</v>
      </c>
    </row>
    <row r="337" spans="3:12" ht="15.6" hidden="1">
      <c r="C337" s="39" t="str">
        <f t="shared" si="50"/>
        <v>H</v>
      </c>
      <c r="D337" s="45">
        <f>Parameter!C$54</f>
        <v>0</v>
      </c>
      <c r="E337" s="134">
        <f t="shared" ref="E337:L337" si="96">SUMIF(Y_VRPC_PR, E$10&amp;"_"&amp;$D289&amp;"_"&amp;$D337, VRPanelRev)</f>
        <v>0</v>
      </c>
      <c r="F337" s="135">
        <f t="shared" si="96"/>
        <v>0</v>
      </c>
      <c r="G337" s="135">
        <f t="shared" si="96"/>
        <v>0</v>
      </c>
      <c r="H337" s="135">
        <f t="shared" si="96"/>
        <v>0</v>
      </c>
      <c r="I337" s="135">
        <f t="shared" si="96"/>
        <v>0</v>
      </c>
      <c r="J337" s="135">
        <f t="shared" si="96"/>
        <v>0</v>
      </c>
      <c r="K337" s="135">
        <f t="shared" si="96"/>
        <v>0</v>
      </c>
      <c r="L337" s="136">
        <f t="shared" si="96"/>
        <v>0</v>
      </c>
    </row>
    <row r="338" spans="3:12" ht="15.6" hidden="1">
      <c r="C338" s="39" t="str">
        <f t="shared" si="50"/>
        <v>H</v>
      </c>
      <c r="D338" s="45">
        <f>Parameter!C$55</f>
        <v>0</v>
      </c>
      <c r="E338" s="134">
        <f t="shared" ref="E338:L338" si="97">SUMIF(Y_VRPC_PR, E$10&amp;"_"&amp;$D289&amp;"_"&amp;$D338, VRPanelRev)</f>
        <v>0</v>
      </c>
      <c r="F338" s="135">
        <f t="shared" si="97"/>
        <v>0</v>
      </c>
      <c r="G338" s="135">
        <f t="shared" si="97"/>
        <v>0</v>
      </c>
      <c r="H338" s="135">
        <f t="shared" si="97"/>
        <v>0</v>
      </c>
      <c r="I338" s="135">
        <f t="shared" si="97"/>
        <v>0</v>
      </c>
      <c r="J338" s="135">
        <f t="shared" si="97"/>
        <v>0</v>
      </c>
      <c r="K338" s="135">
        <f t="shared" si="97"/>
        <v>0</v>
      </c>
      <c r="L338" s="136">
        <f t="shared" si="97"/>
        <v>0</v>
      </c>
    </row>
    <row r="339" spans="3:12" ht="15.6" hidden="1">
      <c r="C339" s="39" t="str">
        <f t="shared" si="50"/>
        <v>H</v>
      </c>
      <c r="D339" s="45">
        <f>Parameter!C$56</f>
        <v>0</v>
      </c>
      <c r="E339" s="134">
        <f t="shared" ref="E339:L339" si="98">SUMIF(Y_VRPC_PR, E$10&amp;"_"&amp;$D289&amp;"_"&amp;$D339, VRPanelRev)</f>
        <v>0</v>
      </c>
      <c r="F339" s="135">
        <f t="shared" si="98"/>
        <v>0</v>
      </c>
      <c r="G339" s="135">
        <f t="shared" si="98"/>
        <v>0</v>
      </c>
      <c r="H339" s="135">
        <f t="shared" si="98"/>
        <v>0</v>
      </c>
      <c r="I339" s="135">
        <f t="shared" si="98"/>
        <v>0</v>
      </c>
      <c r="J339" s="135">
        <f t="shared" si="98"/>
        <v>0</v>
      </c>
      <c r="K339" s="135">
        <f t="shared" si="98"/>
        <v>0</v>
      </c>
      <c r="L339" s="136">
        <f t="shared" si="98"/>
        <v>0</v>
      </c>
    </row>
    <row r="340" spans="3:12" ht="16.2" hidden="1" thickBot="1">
      <c r="C340" s="39" t="str">
        <f t="shared" si="50"/>
        <v>H</v>
      </c>
      <c r="D340" s="53" t="str">
        <f>Parameter!C$57</f>
        <v>ALL</v>
      </c>
      <c r="E340" s="137">
        <f t="shared" ref="E340:L340" si="99">SUMIF(Y_VRPC_PR, E$10&amp;"_"&amp;$D289&amp;"_"&amp;$D340, VRPanelRev)</f>
        <v>0</v>
      </c>
      <c r="F340" s="138">
        <f t="shared" si="99"/>
        <v>0</v>
      </c>
      <c r="G340" s="138">
        <f t="shared" si="99"/>
        <v>0</v>
      </c>
      <c r="H340" s="138">
        <f t="shared" si="99"/>
        <v>0</v>
      </c>
      <c r="I340" s="138">
        <f t="shared" si="99"/>
        <v>0</v>
      </c>
      <c r="J340" s="138">
        <f t="shared" si="99"/>
        <v>0</v>
      </c>
      <c r="K340" s="138">
        <f t="shared" si="99"/>
        <v>0</v>
      </c>
      <c r="L340" s="139">
        <f t="shared" si="99"/>
        <v>0</v>
      </c>
    </row>
    <row r="341" spans="3:12" ht="15.6" hidden="1">
      <c r="C341" s="39" t="str">
        <f t="shared" si="50"/>
        <v>H</v>
      </c>
      <c r="D341" s="54" t="s">
        <v>87</v>
      </c>
      <c r="E341" s="140">
        <f>SUM(E291:E340)</f>
        <v>0</v>
      </c>
      <c r="F341" s="141">
        <f t="shared" ref="F341:L341" si="100">SUM(F291:F340)</f>
        <v>0</v>
      </c>
      <c r="G341" s="141">
        <f t="shared" si="100"/>
        <v>0</v>
      </c>
      <c r="H341" s="141">
        <f t="shared" si="100"/>
        <v>0</v>
      </c>
      <c r="I341" s="141">
        <f t="shared" si="100"/>
        <v>0</v>
      </c>
      <c r="J341" s="141">
        <f t="shared" si="100"/>
        <v>0</v>
      </c>
      <c r="K341" s="141">
        <f t="shared" si="100"/>
        <v>0</v>
      </c>
      <c r="L341" s="142">
        <f t="shared" si="100"/>
        <v>0</v>
      </c>
    </row>
    <row r="342" spans="3:12" ht="16.2" hidden="1" thickBot="1">
      <c r="C342" s="39" t="str">
        <f t="shared" si="50"/>
        <v>H</v>
      </c>
      <c r="D342" s="46" t="s">
        <v>88</v>
      </c>
      <c r="E342" s="47"/>
      <c r="F342" s="50" t="str">
        <f t="shared" ref="F342:G342" si="101">IF(E341*F341=0, "", F341/E341-1)</f>
        <v/>
      </c>
      <c r="G342" s="50" t="str">
        <f t="shared" si="101"/>
        <v/>
      </c>
      <c r="H342" s="50" t="str">
        <f>IF(G341*H341=0, "", H341/G341-1)</f>
        <v/>
      </c>
      <c r="I342" s="50" t="str">
        <f t="shared" ref="I342:L342" si="102">IF(H341*I341=0, "", I341/H341-1)</f>
        <v/>
      </c>
      <c r="J342" s="50" t="str">
        <f t="shared" si="102"/>
        <v/>
      </c>
      <c r="K342" s="50" t="str">
        <f t="shared" si="102"/>
        <v/>
      </c>
      <c r="L342" s="51" t="str">
        <f t="shared" si="102"/>
        <v/>
      </c>
    </row>
    <row r="343" spans="3:12" ht="15" hidden="1">
      <c r="C343" s="39" t="str">
        <f t="shared" si="50"/>
        <v>H</v>
      </c>
    </row>
    <row r="344" spans="3:12" ht="15.6" hidden="1" thickBot="1">
      <c r="C344" s="39" t="str">
        <f t="shared" si="50"/>
        <v>H</v>
      </c>
    </row>
    <row r="345" spans="3:12" ht="15" hidden="1" thickBot="1">
      <c r="C345" s="57" t="str">
        <f>IF(SUM(E397:L397)=0, "H", "")</f>
        <v>H</v>
      </c>
      <c r="D345" s="52">
        <f>Parameter!G14</f>
        <v>0</v>
      </c>
    </row>
    <row r="346" spans="3:12" ht="16.2" hidden="1" thickBot="1">
      <c r="C346" s="57" t="str">
        <f>IF(SUM(E397:L397)=0, "H", "")</f>
        <v>H</v>
      </c>
      <c r="D346" s="40" t="s">
        <v>85</v>
      </c>
      <c r="E346" s="41" t="s">
        <v>8</v>
      </c>
      <c r="F346" s="42" t="s">
        <v>9</v>
      </c>
      <c r="G346" s="42" t="s">
        <v>10</v>
      </c>
      <c r="H346" s="42" t="s">
        <v>11</v>
      </c>
      <c r="I346" s="42" t="s">
        <v>12</v>
      </c>
      <c r="J346" s="42" t="s">
        <v>13</v>
      </c>
      <c r="K346" s="42" t="s">
        <v>14</v>
      </c>
      <c r="L346" s="43" t="s">
        <v>86</v>
      </c>
    </row>
    <row r="347" spans="3:12" ht="15.6" hidden="1">
      <c r="C347" s="39" t="str">
        <f>IF(SUM(E347:L347)=0, "H", "")</f>
        <v>H</v>
      </c>
      <c r="D347" s="44" t="str">
        <f>Parameter!C$8</f>
        <v>5K VR</v>
      </c>
      <c r="E347" s="134">
        <f t="shared" ref="E347:L347" si="103">SUMIF(Y_VRPC_PR, E$10&amp;"_"&amp;$D345&amp;"_"&amp;$D347, VRPanelRev)</f>
        <v>0</v>
      </c>
      <c r="F347" s="135">
        <f t="shared" si="103"/>
        <v>0</v>
      </c>
      <c r="G347" s="135">
        <f t="shared" si="103"/>
        <v>0</v>
      </c>
      <c r="H347" s="135">
        <f t="shared" si="103"/>
        <v>0</v>
      </c>
      <c r="I347" s="135">
        <f t="shared" si="103"/>
        <v>0</v>
      </c>
      <c r="J347" s="135">
        <f t="shared" si="103"/>
        <v>0</v>
      </c>
      <c r="K347" s="135">
        <f t="shared" si="103"/>
        <v>0</v>
      </c>
      <c r="L347" s="136">
        <f t="shared" si="103"/>
        <v>0</v>
      </c>
    </row>
    <row r="348" spans="3:12" ht="15.6" hidden="1">
      <c r="C348" s="39" t="str">
        <f t="shared" ref="C348:C400" si="104">IF(SUM(E348:L348)=0, "H", "")</f>
        <v>H</v>
      </c>
      <c r="D348" s="44" t="str">
        <f>Parameter!C$9</f>
        <v>Aero</v>
      </c>
      <c r="E348" s="134">
        <f t="shared" ref="E348:L348" si="105">SUMIF(Y_VRPC_PR, E$10&amp;"_"&amp;$D345&amp;"_"&amp;$D348, VRPanelRev)</f>
        <v>0</v>
      </c>
      <c r="F348" s="135">
        <f t="shared" si="105"/>
        <v>0</v>
      </c>
      <c r="G348" s="135">
        <f t="shared" si="105"/>
        <v>0</v>
      </c>
      <c r="H348" s="135">
        <f t="shared" si="105"/>
        <v>0</v>
      </c>
      <c r="I348" s="135">
        <f t="shared" si="105"/>
        <v>0</v>
      </c>
      <c r="J348" s="135">
        <f t="shared" si="105"/>
        <v>0</v>
      </c>
      <c r="K348" s="135">
        <f t="shared" si="105"/>
        <v>0</v>
      </c>
      <c r="L348" s="136">
        <f t="shared" si="105"/>
        <v>0</v>
      </c>
    </row>
    <row r="349" spans="3:12" ht="15.6" hidden="1">
      <c r="C349" s="39" t="str">
        <f t="shared" si="104"/>
        <v>H</v>
      </c>
      <c r="D349" s="45" t="str">
        <f>Parameter!C$10</f>
        <v>Beyond</v>
      </c>
      <c r="E349" s="134">
        <f t="shared" ref="E349:L349" si="106">SUMIF(Y_VRPC_PR, E$10&amp;"_"&amp;$D345&amp;"_"&amp;$D349, VRPanelRev)</f>
        <v>0</v>
      </c>
      <c r="F349" s="135">
        <f t="shared" si="106"/>
        <v>0</v>
      </c>
      <c r="G349" s="135">
        <f t="shared" si="106"/>
        <v>0</v>
      </c>
      <c r="H349" s="135">
        <f t="shared" si="106"/>
        <v>0</v>
      </c>
      <c r="I349" s="135">
        <f t="shared" si="106"/>
        <v>0</v>
      </c>
      <c r="J349" s="135">
        <f t="shared" si="106"/>
        <v>0</v>
      </c>
      <c r="K349" s="135">
        <f t="shared" si="106"/>
        <v>0</v>
      </c>
      <c r="L349" s="136">
        <f t="shared" si="106"/>
        <v>0</v>
      </c>
    </row>
    <row r="350" spans="3:12" ht="15.6" hidden="1">
      <c r="C350" s="39" t="str">
        <f t="shared" si="104"/>
        <v>H</v>
      </c>
      <c r="D350" s="45" t="str">
        <f>Parameter!C$11</f>
        <v>Bionic models</v>
      </c>
      <c r="E350" s="134">
        <f t="shared" ref="E350:L350" si="107">SUMIF(Y_VRPC_PR, E$10&amp;"_"&amp;$D345&amp;"_"&amp;$D350, VRPanelRev)</f>
        <v>0</v>
      </c>
      <c r="F350" s="135">
        <f t="shared" si="107"/>
        <v>0</v>
      </c>
      <c r="G350" s="135">
        <f t="shared" si="107"/>
        <v>0</v>
      </c>
      <c r="H350" s="135">
        <f t="shared" si="107"/>
        <v>0</v>
      </c>
      <c r="I350" s="135">
        <f t="shared" si="107"/>
        <v>0</v>
      </c>
      <c r="J350" s="135">
        <f t="shared" si="107"/>
        <v>0</v>
      </c>
      <c r="K350" s="135">
        <f t="shared" si="107"/>
        <v>0</v>
      </c>
      <c r="L350" s="136">
        <f t="shared" si="107"/>
        <v>0</v>
      </c>
    </row>
    <row r="351" spans="3:12" ht="15.6" hidden="1">
      <c r="C351" s="39" t="str">
        <f t="shared" si="104"/>
        <v>H</v>
      </c>
      <c r="D351" s="45" t="str">
        <f>Parameter!C$12</f>
        <v>Dual LCD VR headset</v>
      </c>
      <c r="E351" s="134">
        <f t="shared" ref="E351:L351" si="108">SUMIF(Y_VRPC_PR, E$10&amp;"_"&amp;$D345&amp;"_"&amp;$D351, VRPanelRev)</f>
        <v>0</v>
      </c>
      <c r="F351" s="135">
        <f t="shared" si="108"/>
        <v>0</v>
      </c>
      <c r="G351" s="135">
        <f t="shared" si="108"/>
        <v>0</v>
      </c>
      <c r="H351" s="135">
        <f t="shared" si="108"/>
        <v>0</v>
      </c>
      <c r="I351" s="135">
        <f t="shared" si="108"/>
        <v>0</v>
      </c>
      <c r="J351" s="135">
        <f t="shared" si="108"/>
        <v>0</v>
      </c>
      <c r="K351" s="135">
        <f t="shared" si="108"/>
        <v>0</v>
      </c>
      <c r="L351" s="136">
        <f t="shared" si="108"/>
        <v>0</v>
      </c>
    </row>
    <row r="352" spans="3:12" ht="15.6" hidden="1">
      <c r="C352" s="39" t="str">
        <f t="shared" si="104"/>
        <v>H</v>
      </c>
      <c r="D352" s="45" t="str">
        <f>Parameter!C$13</f>
        <v>Dual SiOLED headset</v>
      </c>
      <c r="E352" s="134">
        <f t="shared" ref="E352:L352" si="109">SUMIF(Y_VRPC_PR, E$10&amp;"_"&amp;$D345&amp;"_"&amp;$D352, VRPanelRev)</f>
        <v>0</v>
      </c>
      <c r="F352" s="135">
        <f t="shared" si="109"/>
        <v>0</v>
      </c>
      <c r="G352" s="135">
        <f t="shared" si="109"/>
        <v>0</v>
      </c>
      <c r="H352" s="135">
        <f t="shared" si="109"/>
        <v>0</v>
      </c>
      <c r="I352" s="135">
        <f t="shared" si="109"/>
        <v>0</v>
      </c>
      <c r="J352" s="135">
        <f t="shared" si="109"/>
        <v>0</v>
      </c>
      <c r="K352" s="135">
        <f t="shared" si="109"/>
        <v>0</v>
      </c>
      <c r="L352" s="136">
        <f t="shared" si="109"/>
        <v>0</v>
      </c>
    </row>
    <row r="353" spans="3:12" ht="15.6" hidden="1">
      <c r="C353" s="39" t="str">
        <f t="shared" si="104"/>
        <v>H</v>
      </c>
      <c r="D353" s="45" t="str">
        <f>Parameter!C$14</f>
        <v>Index</v>
      </c>
      <c r="E353" s="134">
        <f t="shared" ref="E353:L353" si="110">SUMIF(Y_VRPC_PR, E$10&amp;"_"&amp;$D345&amp;"_"&amp;$D353, VRPanelRev)</f>
        <v>0</v>
      </c>
      <c r="F353" s="135">
        <f t="shared" si="110"/>
        <v>0</v>
      </c>
      <c r="G353" s="135">
        <f t="shared" si="110"/>
        <v>0</v>
      </c>
      <c r="H353" s="135">
        <f t="shared" si="110"/>
        <v>0</v>
      </c>
      <c r="I353" s="135">
        <f t="shared" si="110"/>
        <v>0</v>
      </c>
      <c r="J353" s="135">
        <f t="shared" si="110"/>
        <v>0</v>
      </c>
      <c r="K353" s="135">
        <f t="shared" si="110"/>
        <v>0</v>
      </c>
      <c r="L353" s="136">
        <f t="shared" si="110"/>
        <v>0</v>
      </c>
    </row>
    <row r="354" spans="3:12" ht="15.6" hidden="1">
      <c r="C354" s="39" t="str">
        <f t="shared" si="104"/>
        <v>H</v>
      </c>
      <c r="D354" s="45" t="str">
        <f>Parameter!C$15</f>
        <v>MeganeX</v>
      </c>
      <c r="E354" s="134">
        <f t="shared" ref="E354:L354" si="111">SUMIF(Y_VRPC_PR, E$10&amp;"_"&amp;$D345&amp;"_"&amp;$D354, VRPanelRev)</f>
        <v>0</v>
      </c>
      <c r="F354" s="135">
        <f t="shared" si="111"/>
        <v>0</v>
      </c>
      <c r="G354" s="135">
        <f t="shared" si="111"/>
        <v>0</v>
      </c>
      <c r="H354" s="135">
        <f t="shared" si="111"/>
        <v>0</v>
      </c>
      <c r="I354" s="135">
        <f t="shared" si="111"/>
        <v>0</v>
      </c>
      <c r="J354" s="135">
        <f t="shared" si="111"/>
        <v>0</v>
      </c>
      <c r="K354" s="135">
        <f t="shared" si="111"/>
        <v>0</v>
      </c>
      <c r="L354" s="136">
        <f t="shared" si="111"/>
        <v>0</v>
      </c>
    </row>
    <row r="355" spans="3:12" ht="15.6" hidden="1">
      <c r="C355" s="39" t="str">
        <f t="shared" si="104"/>
        <v>H</v>
      </c>
      <c r="D355" s="45" t="str">
        <f>Parameter!C$16</f>
        <v>MeganeX Superlight 8K</v>
      </c>
      <c r="E355" s="134">
        <f t="shared" ref="E355:L355" si="112">SUMIF(Y_VRPC_PR, E$10&amp;"_"&amp;$D345&amp;"_"&amp;$D355, VRPanelRev)</f>
        <v>0</v>
      </c>
      <c r="F355" s="135">
        <f t="shared" si="112"/>
        <v>0</v>
      </c>
      <c r="G355" s="135">
        <f t="shared" si="112"/>
        <v>0</v>
      </c>
      <c r="H355" s="135">
        <f t="shared" si="112"/>
        <v>0</v>
      </c>
      <c r="I355" s="135">
        <f t="shared" si="112"/>
        <v>0</v>
      </c>
      <c r="J355" s="135">
        <f t="shared" si="112"/>
        <v>0</v>
      </c>
      <c r="K355" s="135">
        <f t="shared" si="112"/>
        <v>0</v>
      </c>
      <c r="L355" s="136">
        <f t="shared" si="112"/>
        <v>0</v>
      </c>
    </row>
    <row r="356" spans="3:12" ht="15.6" hidden="1">
      <c r="C356" s="39" t="str">
        <f t="shared" si="104"/>
        <v>H</v>
      </c>
      <c r="D356" s="45" t="str">
        <f>Parameter!C$17</f>
        <v>Neo 3 / G3</v>
      </c>
      <c r="E356" s="134">
        <f t="shared" ref="E356:L356" si="113">SUMIF(Y_VRPC_PR, E$10&amp;"_"&amp;$D345&amp;"_"&amp;$D356, VRPanelRev)</f>
        <v>0</v>
      </c>
      <c r="F356" s="135">
        <f t="shared" si="113"/>
        <v>0</v>
      </c>
      <c r="G356" s="135">
        <f t="shared" si="113"/>
        <v>0</v>
      </c>
      <c r="H356" s="135">
        <f t="shared" si="113"/>
        <v>0</v>
      </c>
      <c r="I356" s="135">
        <f t="shared" si="113"/>
        <v>0</v>
      </c>
      <c r="J356" s="135">
        <f t="shared" si="113"/>
        <v>0</v>
      </c>
      <c r="K356" s="135">
        <f t="shared" si="113"/>
        <v>0</v>
      </c>
      <c r="L356" s="136">
        <f t="shared" si="113"/>
        <v>0</v>
      </c>
    </row>
    <row r="357" spans="3:12" ht="15.6" hidden="1">
      <c r="C357" s="39" t="str">
        <f t="shared" si="104"/>
        <v>H</v>
      </c>
      <c r="D357" s="45" t="str">
        <f>Parameter!C$18</f>
        <v>OLED VR headset</v>
      </c>
      <c r="E357" s="134">
        <f t="shared" ref="E357:L357" si="114">SUMIF(Y_VRPC_PR, E$10&amp;"_"&amp;$D345&amp;"_"&amp;$D357, VRPanelRev)</f>
        <v>0</v>
      </c>
      <c r="F357" s="135">
        <f t="shared" si="114"/>
        <v>0</v>
      </c>
      <c r="G357" s="135">
        <f t="shared" si="114"/>
        <v>0</v>
      </c>
      <c r="H357" s="135">
        <f t="shared" si="114"/>
        <v>0</v>
      </c>
      <c r="I357" s="135">
        <f t="shared" si="114"/>
        <v>0</v>
      </c>
      <c r="J357" s="135">
        <f t="shared" si="114"/>
        <v>0</v>
      </c>
      <c r="K357" s="135">
        <f t="shared" si="114"/>
        <v>0</v>
      </c>
      <c r="L357" s="136">
        <f t="shared" si="114"/>
        <v>0</v>
      </c>
    </row>
    <row r="358" spans="3:12" ht="15.6" hidden="1">
      <c r="C358" s="39" t="str">
        <f t="shared" si="104"/>
        <v>H</v>
      </c>
      <c r="D358" s="45" t="str">
        <f>Parameter!C$19</f>
        <v>P1 family</v>
      </c>
      <c r="E358" s="134">
        <f t="shared" ref="E358:L358" si="115">SUMIF(Y_VRPC_PR, E$10&amp;"_"&amp;$D345&amp;"_"&amp;$D358, VRPanelRev)</f>
        <v>0</v>
      </c>
      <c r="F358" s="135">
        <f t="shared" si="115"/>
        <v>0</v>
      </c>
      <c r="G358" s="135">
        <f t="shared" si="115"/>
        <v>0</v>
      </c>
      <c r="H358" s="135">
        <f t="shared" si="115"/>
        <v>0</v>
      </c>
      <c r="I358" s="135">
        <f t="shared" si="115"/>
        <v>0</v>
      </c>
      <c r="J358" s="135">
        <f t="shared" si="115"/>
        <v>0</v>
      </c>
      <c r="K358" s="135">
        <f t="shared" si="115"/>
        <v>0</v>
      </c>
      <c r="L358" s="136">
        <f t="shared" si="115"/>
        <v>0</v>
      </c>
    </row>
    <row r="359" spans="3:12" ht="15.6" hidden="1">
      <c r="C359" s="39" t="str">
        <f t="shared" si="104"/>
        <v>H</v>
      </c>
      <c r="D359" s="45" t="str">
        <f>Parameter!C$20</f>
        <v>Pico 4</v>
      </c>
      <c r="E359" s="134">
        <f t="shared" ref="E359:L359" si="116">SUMIF(Y_VRPC_PR, E$10&amp;"_"&amp;$D345&amp;"_"&amp;$D359, VRPanelRev)</f>
        <v>0</v>
      </c>
      <c r="F359" s="135">
        <f t="shared" si="116"/>
        <v>0</v>
      </c>
      <c r="G359" s="135">
        <f t="shared" si="116"/>
        <v>0</v>
      </c>
      <c r="H359" s="135">
        <f t="shared" si="116"/>
        <v>0</v>
      </c>
      <c r="I359" s="135">
        <f t="shared" si="116"/>
        <v>0</v>
      </c>
      <c r="J359" s="135">
        <f t="shared" si="116"/>
        <v>0</v>
      </c>
      <c r="K359" s="135">
        <f t="shared" si="116"/>
        <v>0</v>
      </c>
      <c r="L359" s="136">
        <f t="shared" si="116"/>
        <v>0</v>
      </c>
    </row>
    <row r="360" spans="3:12" ht="15.6" hidden="1">
      <c r="C360" s="39" t="str">
        <f t="shared" si="104"/>
        <v>H</v>
      </c>
      <c r="D360" s="45" t="str">
        <f>Parameter!C$21</f>
        <v>Pimax VR</v>
      </c>
      <c r="E360" s="134">
        <f t="shared" ref="E360:L360" si="117">SUMIF(Y_VRPC_PR, E$10&amp;"_"&amp;$D345&amp;"_"&amp;$D360, VRPanelRev)</f>
        <v>0</v>
      </c>
      <c r="F360" s="135">
        <f t="shared" si="117"/>
        <v>0</v>
      </c>
      <c r="G360" s="135">
        <f t="shared" si="117"/>
        <v>0</v>
      </c>
      <c r="H360" s="135">
        <f t="shared" si="117"/>
        <v>0</v>
      </c>
      <c r="I360" s="135">
        <f t="shared" si="117"/>
        <v>0</v>
      </c>
      <c r="J360" s="135">
        <f t="shared" si="117"/>
        <v>0</v>
      </c>
      <c r="K360" s="135">
        <f t="shared" si="117"/>
        <v>0</v>
      </c>
      <c r="L360" s="136">
        <f t="shared" si="117"/>
        <v>0</v>
      </c>
    </row>
    <row r="361" spans="3:12" ht="15.6" hidden="1">
      <c r="C361" s="39" t="str">
        <f t="shared" si="104"/>
        <v>H</v>
      </c>
      <c r="D361" s="45" t="str">
        <f>Parameter!C$22</f>
        <v>PlayStation VR</v>
      </c>
      <c r="E361" s="134">
        <f t="shared" ref="E361:L361" si="118">SUMIF(Y_VRPC_PR, E$10&amp;"_"&amp;$D345&amp;"_"&amp;$D361, VRPanelRev)</f>
        <v>0</v>
      </c>
      <c r="F361" s="135">
        <f t="shared" si="118"/>
        <v>0</v>
      </c>
      <c r="G361" s="135">
        <f t="shared" si="118"/>
        <v>0</v>
      </c>
      <c r="H361" s="135">
        <f t="shared" si="118"/>
        <v>0</v>
      </c>
      <c r="I361" s="135">
        <f t="shared" si="118"/>
        <v>0</v>
      </c>
      <c r="J361" s="135">
        <f t="shared" si="118"/>
        <v>0</v>
      </c>
      <c r="K361" s="135">
        <f t="shared" si="118"/>
        <v>0</v>
      </c>
      <c r="L361" s="136">
        <f t="shared" si="118"/>
        <v>0</v>
      </c>
    </row>
    <row r="362" spans="3:12" ht="15.6" hidden="1">
      <c r="C362" s="39" t="str">
        <f t="shared" si="104"/>
        <v>H</v>
      </c>
      <c r="D362" s="45" t="str">
        <f>Parameter!C$23</f>
        <v>PlayStation VR2</v>
      </c>
      <c r="E362" s="134">
        <f t="shared" ref="E362:L362" si="119">SUMIF(Y_VRPC_PR, E$10&amp;"_"&amp;$D345&amp;"_"&amp;$D362, VRPanelRev)</f>
        <v>0</v>
      </c>
      <c r="F362" s="135">
        <f t="shared" si="119"/>
        <v>0</v>
      </c>
      <c r="G362" s="135">
        <f t="shared" si="119"/>
        <v>0</v>
      </c>
      <c r="H362" s="135">
        <f t="shared" si="119"/>
        <v>0</v>
      </c>
      <c r="I362" s="135">
        <f t="shared" si="119"/>
        <v>0</v>
      </c>
      <c r="J362" s="135">
        <f t="shared" si="119"/>
        <v>0</v>
      </c>
      <c r="K362" s="135">
        <f t="shared" si="119"/>
        <v>0</v>
      </c>
      <c r="L362" s="136">
        <f t="shared" si="119"/>
        <v>0</v>
      </c>
    </row>
    <row r="363" spans="3:12" ht="15.6" hidden="1">
      <c r="C363" s="39" t="str">
        <f t="shared" si="104"/>
        <v>H</v>
      </c>
      <c r="D363" s="45" t="str">
        <f>Parameter!C$24</f>
        <v>Project Moohan</v>
      </c>
      <c r="E363" s="134">
        <f t="shared" ref="E363:L363" si="120">SUMIF(Y_VRPC_PR, E$10&amp;"_"&amp;$D345&amp;"_"&amp;$D363, VRPanelRev)</f>
        <v>0</v>
      </c>
      <c r="F363" s="135">
        <f t="shared" si="120"/>
        <v>0</v>
      </c>
      <c r="G363" s="135">
        <f t="shared" si="120"/>
        <v>0</v>
      </c>
      <c r="H363" s="135">
        <f t="shared" si="120"/>
        <v>0</v>
      </c>
      <c r="I363" s="135">
        <f t="shared" si="120"/>
        <v>0</v>
      </c>
      <c r="J363" s="135">
        <f t="shared" si="120"/>
        <v>0</v>
      </c>
      <c r="K363" s="135">
        <f t="shared" si="120"/>
        <v>0</v>
      </c>
      <c r="L363" s="136">
        <f t="shared" si="120"/>
        <v>0</v>
      </c>
    </row>
    <row r="364" spans="3:12" ht="15.6" hidden="1">
      <c r="C364" s="39" t="str">
        <f t="shared" si="104"/>
        <v>H</v>
      </c>
      <c r="D364" s="45" t="str">
        <f>Parameter!C$25</f>
        <v>Quest</v>
      </c>
      <c r="E364" s="134">
        <f t="shared" ref="E364:L364" si="121">SUMIF(Y_VRPC_PR, E$10&amp;"_"&amp;$D345&amp;"_"&amp;$D364, VRPanelRev)</f>
        <v>0</v>
      </c>
      <c r="F364" s="135">
        <f t="shared" si="121"/>
        <v>0</v>
      </c>
      <c r="G364" s="135">
        <f t="shared" si="121"/>
        <v>0</v>
      </c>
      <c r="H364" s="135">
        <f t="shared" si="121"/>
        <v>0</v>
      </c>
      <c r="I364" s="135">
        <f t="shared" si="121"/>
        <v>0</v>
      </c>
      <c r="J364" s="135">
        <f t="shared" si="121"/>
        <v>0</v>
      </c>
      <c r="K364" s="135">
        <f t="shared" si="121"/>
        <v>0</v>
      </c>
      <c r="L364" s="136">
        <f t="shared" si="121"/>
        <v>0</v>
      </c>
    </row>
    <row r="365" spans="3:12" ht="15.6" hidden="1">
      <c r="C365" s="39" t="str">
        <f t="shared" si="104"/>
        <v>H</v>
      </c>
      <c r="D365" s="45" t="str">
        <f>Parameter!C$26</f>
        <v>Quest 2</v>
      </c>
      <c r="E365" s="134">
        <f t="shared" ref="E365:L365" si="122">SUMIF(Y_VRPC_PR, E$10&amp;"_"&amp;$D345&amp;"_"&amp;$D365, VRPanelRev)</f>
        <v>0</v>
      </c>
      <c r="F365" s="135">
        <f t="shared" si="122"/>
        <v>0</v>
      </c>
      <c r="G365" s="135">
        <f t="shared" si="122"/>
        <v>0</v>
      </c>
      <c r="H365" s="135">
        <f t="shared" si="122"/>
        <v>0</v>
      </c>
      <c r="I365" s="135">
        <f t="shared" si="122"/>
        <v>0</v>
      </c>
      <c r="J365" s="135">
        <f t="shared" si="122"/>
        <v>0</v>
      </c>
      <c r="K365" s="135">
        <f t="shared" si="122"/>
        <v>0</v>
      </c>
      <c r="L365" s="136">
        <f t="shared" si="122"/>
        <v>0</v>
      </c>
    </row>
    <row r="366" spans="3:12" ht="15.6" hidden="1">
      <c r="C366" s="39" t="str">
        <f t="shared" si="104"/>
        <v>H</v>
      </c>
      <c r="D366" s="45" t="str">
        <f>Parameter!C$27</f>
        <v>Quest 3</v>
      </c>
      <c r="E366" s="134">
        <f t="shared" ref="E366:L366" si="123">SUMIF(Y_VRPC_PR, E$10&amp;"_"&amp;$D345&amp;"_"&amp;$D366, VRPanelRev)</f>
        <v>0</v>
      </c>
      <c r="F366" s="135">
        <f t="shared" si="123"/>
        <v>0</v>
      </c>
      <c r="G366" s="135">
        <f t="shared" si="123"/>
        <v>0</v>
      </c>
      <c r="H366" s="135">
        <f t="shared" si="123"/>
        <v>0</v>
      </c>
      <c r="I366" s="135">
        <f t="shared" si="123"/>
        <v>0</v>
      </c>
      <c r="J366" s="135">
        <f t="shared" si="123"/>
        <v>0</v>
      </c>
      <c r="K366" s="135">
        <f t="shared" si="123"/>
        <v>0</v>
      </c>
      <c r="L366" s="136">
        <f t="shared" si="123"/>
        <v>0</v>
      </c>
    </row>
    <row r="367" spans="3:12" ht="15.6" hidden="1">
      <c r="C367" s="39" t="str">
        <f t="shared" si="104"/>
        <v>H</v>
      </c>
      <c r="D367" s="45" t="str">
        <f>Parameter!C$28</f>
        <v>Quest 3S</v>
      </c>
      <c r="E367" s="134">
        <f t="shared" ref="E367:L367" si="124">SUMIF(Y_VRPC_PR, E$10&amp;"_"&amp;$D345&amp;"_"&amp;$D367, VRPanelRev)</f>
        <v>0</v>
      </c>
      <c r="F367" s="135">
        <f t="shared" si="124"/>
        <v>0</v>
      </c>
      <c r="G367" s="135">
        <f t="shared" si="124"/>
        <v>0</v>
      </c>
      <c r="H367" s="135">
        <f t="shared" si="124"/>
        <v>0</v>
      </c>
      <c r="I367" s="135">
        <f t="shared" si="124"/>
        <v>0</v>
      </c>
      <c r="J367" s="135">
        <f t="shared" si="124"/>
        <v>0</v>
      </c>
      <c r="K367" s="135">
        <f t="shared" si="124"/>
        <v>0</v>
      </c>
      <c r="L367" s="136">
        <f t="shared" si="124"/>
        <v>0</v>
      </c>
    </row>
    <row r="368" spans="3:12" ht="15.6" hidden="1">
      <c r="C368" s="39" t="str">
        <f t="shared" si="104"/>
        <v>H</v>
      </c>
      <c r="D368" s="45" t="str">
        <f>Parameter!C$29</f>
        <v>Quest Pro</v>
      </c>
      <c r="E368" s="134">
        <f t="shared" ref="E368:L368" si="125">SUMIF(Y_VRPC_PR, E$10&amp;"_"&amp;$D345&amp;"_"&amp;$D368, VRPanelRev)</f>
        <v>0</v>
      </c>
      <c r="F368" s="135">
        <f t="shared" si="125"/>
        <v>0</v>
      </c>
      <c r="G368" s="135">
        <f t="shared" si="125"/>
        <v>0</v>
      </c>
      <c r="H368" s="135">
        <f t="shared" si="125"/>
        <v>0</v>
      </c>
      <c r="I368" s="135">
        <f t="shared" si="125"/>
        <v>0</v>
      </c>
      <c r="J368" s="135">
        <f t="shared" si="125"/>
        <v>0</v>
      </c>
      <c r="K368" s="135">
        <f t="shared" si="125"/>
        <v>0</v>
      </c>
      <c r="L368" s="136">
        <f t="shared" si="125"/>
        <v>0</v>
      </c>
    </row>
    <row r="369" spans="3:12" ht="15.6" hidden="1">
      <c r="C369" s="39" t="str">
        <f t="shared" si="104"/>
        <v>H</v>
      </c>
      <c r="D369" s="45" t="str">
        <f>Parameter!C$30</f>
        <v>R1</v>
      </c>
      <c r="E369" s="134">
        <f t="shared" ref="E369:L369" si="126">SUMIF(Y_VRPC_PR, E$10&amp;"_"&amp;$D345&amp;"_"&amp;$D369, VRPanelRev)</f>
        <v>0</v>
      </c>
      <c r="F369" s="135">
        <f t="shared" si="126"/>
        <v>0</v>
      </c>
      <c r="G369" s="135">
        <f t="shared" si="126"/>
        <v>0</v>
      </c>
      <c r="H369" s="135">
        <f t="shared" si="126"/>
        <v>0</v>
      </c>
      <c r="I369" s="135">
        <f t="shared" si="126"/>
        <v>0</v>
      </c>
      <c r="J369" s="135">
        <f t="shared" si="126"/>
        <v>0</v>
      </c>
      <c r="K369" s="135">
        <f t="shared" si="126"/>
        <v>0</v>
      </c>
      <c r="L369" s="136">
        <f t="shared" si="126"/>
        <v>0</v>
      </c>
    </row>
    <row r="370" spans="3:12" ht="15.6" hidden="1">
      <c r="C370" s="39" t="str">
        <f t="shared" si="104"/>
        <v>H</v>
      </c>
      <c r="D370" s="45" t="str">
        <f>Parameter!C$31</f>
        <v>Reverb</v>
      </c>
      <c r="E370" s="134">
        <f t="shared" ref="E370:L370" si="127">SUMIF(Y_VRPC_PR, E$10&amp;"_"&amp;$D345&amp;"_"&amp;$D370, VRPanelRev)</f>
        <v>0</v>
      </c>
      <c r="F370" s="135">
        <f t="shared" si="127"/>
        <v>0</v>
      </c>
      <c r="G370" s="135">
        <f t="shared" si="127"/>
        <v>0</v>
      </c>
      <c r="H370" s="135">
        <f t="shared" si="127"/>
        <v>0</v>
      </c>
      <c r="I370" s="135">
        <f t="shared" si="127"/>
        <v>0</v>
      </c>
      <c r="J370" s="135">
        <f t="shared" si="127"/>
        <v>0</v>
      </c>
      <c r="K370" s="135">
        <f t="shared" si="127"/>
        <v>0</v>
      </c>
      <c r="L370" s="136">
        <f t="shared" si="127"/>
        <v>0</v>
      </c>
    </row>
    <row r="371" spans="3:12" ht="15.6" hidden="1">
      <c r="C371" s="39" t="str">
        <f t="shared" si="104"/>
        <v>H</v>
      </c>
      <c r="D371" s="45" t="str">
        <f>Parameter!C$32</f>
        <v>Reverb G2</v>
      </c>
      <c r="E371" s="134">
        <f t="shared" ref="E371:L371" si="128">SUMIF(Y_VRPC_PR, E$10&amp;"_"&amp;$D345&amp;"_"&amp;$D371, VRPanelRev)</f>
        <v>0</v>
      </c>
      <c r="F371" s="135">
        <f t="shared" si="128"/>
        <v>0</v>
      </c>
      <c r="G371" s="135">
        <f t="shared" si="128"/>
        <v>0</v>
      </c>
      <c r="H371" s="135">
        <f t="shared" si="128"/>
        <v>0</v>
      </c>
      <c r="I371" s="135">
        <f t="shared" si="128"/>
        <v>0</v>
      </c>
      <c r="J371" s="135">
        <f t="shared" si="128"/>
        <v>0</v>
      </c>
      <c r="K371" s="135">
        <f t="shared" si="128"/>
        <v>0</v>
      </c>
      <c r="L371" s="136">
        <f t="shared" si="128"/>
        <v>0</v>
      </c>
    </row>
    <row r="372" spans="3:12" ht="15.6" hidden="1">
      <c r="C372" s="39" t="str">
        <f t="shared" si="104"/>
        <v>H</v>
      </c>
      <c r="D372" s="45" t="str">
        <f>Parameter!C$33</f>
        <v>Rift S</v>
      </c>
      <c r="E372" s="134">
        <f t="shared" ref="E372:L372" si="129">SUMIF(Y_VRPC_PR, E$10&amp;"_"&amp;$D345&amp;"_"&amp;$D372, VRPanelRev)</f>
        <v>0</v>
      </c>
      <c r="F372" s="135">
        <f t="shared" si="129"/>
        <v>0</v>
      </c>
      <c r="G372" s="135">
        <f t="shared" si="129"/>
        <v>0</v>
      </c>
      <c r="H372" s="135">
        <f t="shared" si="129"/>
        <v>0</v>
      </c>
      <c r="I372" s="135">
        <f t="shared" si="129"/>
        <v>0</v>
      </c>
      <c r="J372" s="135">
        <f t="shared" si="129"/>
        <v>0</v>
      </c>
      <c r="K372" s="135">
        <f t="shared" si="129"/>
        <v>0</v>
      </c>
      <c r="L372" s="136">
        <f t="shared" si="129"/>
        <v>0</v>
      </c>
    </row>
    <row r="373" spans="3:12" ht="15.6" hidden="1">
      <c r="C373" s="39" t="str">
        <f t="shared" si="104"/>
        <v>H</v>
      </c>
      <c r="D373" s="45" t="str">
        <f>Parameter!C$34</f>
        <v>Single LCD VR headset</v>
      </c>
      <c r="E373" s="134">
        <f t="shared" ref="E373:L373" si="130">SUMIF(Y_VRPC_PR, E$10&amp;"_"&amp;$D345&amp;"_"&amp;$D373, VRPanelRev)</f>
        <v>0</v>
      </c>
      <c r="F373" s="135">
        <f t="shared" si="130"/>
        <v>0</v>
      </c>
      <c r="G373" s="135">
        <f t="shared" si="130"/>
        <v>0</v>
      </c>
      <c r="H373" s="135">
        <f t="shared" si="130"/>
        <v>0</v>
      </c>
      <c r="I373" s="135">
        <f t="shared" si="130"/>
        <v>0</v>
      </c>
      <c r="J373" s="135">
        <f t="shared" si="130"/>
        <v>0</v>
      </c>
      <c r="K373" s="135">
        <f t="shared" si="130"/>
        <v>0</v>
      </c>
      <c r="L373" s="136">
        <f t="shared" si="130"/>
        <v>0</v>
      </c>
    </row>
    <row r="374" spans="3:12" ht="15.6" hidden="1">
      <c r="C374" s="39" t="str">
        <f t="shared" si="104"/>
        <v>H</v>
      </c>
      <c r="D374" s="45" t="str">
        <f>Parameter!C$35</f>
        <v>ThinkReality VRX</v>
      </c>
      <c r="E374" s="134">
        <f t="shared" ref="E374:L374" si="131">SUMIF(Y_VRPC_PR, E$10&amp;"_"&amp;$D345&amp;"_"&amp;$D374, VRPanelRev)</f>
        <v>0</v>
      </c>
      <c r="F374" s="135">
        <f t="shared" si="131"/>
        <v>0</v>
      </c>
      <c r="G374" s="135">
        <f t="shared" si="131"/>
        <v>0</v>
      </c>
      <c r="H374" s="135">
        <f t="shared" si="131"/>
        <v>0</v>
      </c>
      <c r="I374" s="135">
        <f t="shared" si="131"/>
        <v>0</v>
      </c>
      <c r="J374" s="135">
        <f t="shared" si="131"/>
        <v>0</v>
      </c>
      <c r="K374" s="135">
        <f t="shared" si="131"/>
        <v>0</v>
      </c>
      <c r="L374" s="136">
        <f t="shared" si="131"/>
        <v>0</v>
      </c>
    </row>
    <row r="375" spans="3:12" ht="15.6" hidden="1">
      <c r="C375" s="39" t="str">
        <f t="shared" si="104"/>
        <v>H</v>
      </c>
      <c r="D375" s="45" t="str">
        <f>Parameter!C$36</f>
        <v>Vision Pro</v>
      </c>
      <c r="E375" s="134">
        <f t="shared" ref="E375:L375" si="132">SUMIF(Y_VRPC_PR, E$10&amp;"_"&amp;$D345&amp;"_"&amp;$D375, VRPanelRev)</f>
        <v>0</v>
      </c>
      <c r="F375" s="135">
        <f t="shared" si="132"/>
        <v>0</v>
      </c>
      <c r="G375" s="135">
        <f t="shared" si="132"/>
        <v>0</v>
      </c>
      <c r="H375" s="135">
        <f t="shared" si="132"/>
        <v>0</v>
      </c>
      <c r="I375" s="135">
        <f t="shared" si="132"/>
        <v>0</v>
      </c>
      <c r="J375" s="135">
        <f t="shared" si="132"/>
        <v>0</v>
      </c>
      <c r="K375" s="135">
        <f t="shared" si="132"/>
        <v>0</v>
      </c>
      <c r="L375" s="136">
        <f t="shared" si="132"/>
        <v>0</v>
      </c>
    </row>
    <row r="376" spans="3:12" ht="15.6" hidden="1">
      <c r="C376" s="39" t="str">
        <f t="shared" si="104"/>
        <v>H</v>
      </c>
      <c r="D376" s="45" t="str">
        <f>Parameter!C$37</f>
        <v>Vive LCD headsets</v>
      </c>
      <c r="E376" s="134">
        <f t="shared" ref="E376:L376" si="133">SUMIF(Y_VRPC_PR, E$10&amp;"_"&amp;$D345&amp;"_"&amp;$D376, VRPanelRev)</f>
        <v>0</v>
      </c>
      <c r="F376" s="135">
        <f t="shared" si="133"/>
        <v>0</v>
      </c>
      <c r="G376" s="135">
        <f t="shared" si="133"/>
        <v>0</v>
      </c>
      <c r="H376" s="135">
        <f t="shared" si="133"/>
        <v>0</v>
      </c>
      <c r="I376" s="135">
        <f t="shared" si="133"/>
        <v>0</v>
      </c>
      <c r="J376" s="135">
        <f t="shared" si="133"/>
        <v>0</v>
      </c>
      <c r="K376" s="135">
        <f t="shared" si="133"/>
        <v>0</v>
      </c>
      <c r="L376" s="136">
        <f t="shared" si="133"/>
        <v>0</v>
      </c>
    </row>
    <row r="377" spans="3:12" ht="15.6" hidden="1">
      <c r="C377" s="39" t="str">
        <f t="shared" si="104"/>
        <v>H</v>
      </c>
      <c r="D377" s="45" t="str">
        <f>Parameter!C$38</f>
        <v>VR1</v>
      </c>
      <c r="E377" s="134">
        <f t="shared" ref="E377:L377" si="134">SUMIF(Y_VRPC_PR, E$10&amp;"_"&amp;$D345&amp;"_"&amp;$D377, VRPanelRev)</f>
        <v>0</v>
      </c>
      <c r="F377" s="135">
        <f t="shared" si="134"/>
        <v>0</v>
      </c>
      <c r="G377" s="135">
        <f t="shared" si="134"/>
        <v>0</v>
      </c>
      <c r="H377" s="135">
        <f t="shared" si="134"/>
        <v>0</v>
      </c>
      <c r="I377" s="135">
        <f t="shared" si="134"/>
        <v>0</v>
      </c>
      <c r="J377" s="135">
        <f t="shared" si="134"/>
        <v>0</v>
      </c>
      <c r="K377" s="135">
        <f t="shared" si="134"/>
        <v>0</v>
      </c>
      <c r="L377" s="136">
        <f t="shared" si="134"/>
        <v>0</v>
      </c>
    </row>
    <row r="378" spans="3:12" ht="15.6" hidden="1">
      <c r="C378" s="39" t="str">
        <f t="shared" si="104"/>
        <v>H</v>
      </c>
      <c r="D378" s="45" t="str">
        <f>Parameter!C$39</f>
        <v>XR-4</v>
      </c>
      <c r="E378" s="134">
        <f t="shared" ref="E378:L378" si="135">SUMIF(Y_VRPC_PR, E$10&amp;"_"&amp;$D345&amp;"_"&amp;$D378, VRPanelRev)</f>
        <v>0</v>
      </c>
      <c r="F378" s="135">
        <f t="shared" si="135"/>
        <v>0</v>
      </c>
      <c r="G378" s="135">
        <f t="shared" si="135"/>
        <v>0</v>
      </c>
      <c r="H378" s="135">
        <f t="shared" si="135"/>
        <v>0</v>
      </c>
      <c r="I378" s="135">
        <f t="shared" si="135"/>
        <v>0</v>
      </c>
      <c r="J378" s="135">
        <f t="shared" si="135"/>
        <v>0</v>
      </c>
      <c r="K378" s="135">
        <f t="shared" si="135"/>
        <v>0</v>
      </c>
      <c r="L378" s="136">
        <f t="shared" si="135"/>
        <v>0</v>
      </c>
    </row>
    <row r="379" spans="3:12" ht="15.6" hidden="1">
      <c r="C379" s="39" t="str">
        <f t="shared" si="104"/>
        <v>H</v>
      </c>
      <c r="D379" s="45">
        <f>Parameter!C$40</f>
        <v>0</v>
      </c>
      <c r="E379" s="134">
        <f t="shared" ref="E379:L379" si="136">SUMIF(Y_VRPC_PR, E$10&amp;"_"&amp;$D345&amp;"_"&amp;$D379, VRPanelRev)</f>
        <v>0</v>
      </c>
      <c r="F379" s="135">
        <f t="shared" si="136"/>
        <v>0</v>
      </c>
      <c r="G379" s="135">
        <f t="shared" si="136"/>
        <v>0</v>
      </c>
      <c r="H379" s="135">
        <f t="shared" si="136"/>
        <v>0</v>
      </c>
      <c r="I379" s="135">
        <f t="shared" si="136"/>
        <v>0</v>
      </c>
      <c r="J379" s="135">
        <f t="shared" si="136"/>
        <v>0</v>
      </c>
      <c r="K379" s="135">
        <f t="shared" si="136"/>
        <v>0</v>
      </c>
      <c r="L379" s="136">
        <f t="shared" si="136"/>
        <v>0</v>
      </c>
    </row>
    <row r="380" spans="3:12" ht="15.6" hidden="1">
      <c r="C380" s="39" t="str">
        <f t="shared" si="104"/>
        <v>H</v>
      </c>
      <c r="D380" s="45">
        <f>Parameter!C$41</f>
        <v>0</v>
      </c>
      <c r="E380" s="134">
        <f t="shared" ref="E380:L380" si="137">SUMIF(Y_VRPC_PR, E$10&amp;"_"&amp;$D345&amp;"_"&amp;$D380, VRPanelRev)</f>
        <v>0</v>
      </c>
      <c r="F380" s="135">
        <f t="shared" si="137"/>
        <v>0</v>
      </c>
      <c r="G380" s="135">
        <f t="shared" si="137"/>
        <v>0</v>
      </c>
      <c r="H380" s="135">
        <f t="shared" si="137"/>
        <v>0</v>
      </c>
      <c r="I380" s="135">
        <f t="shared" si="137"/>
        <v>0</v>
      </c>
      <c r="J380" s="135">
        <f t="shared" si="137"/>
        <v>0</v>
      </c>
      <c r="K380" s="135">
        <f t="shared" si="137"/>
        <v>0</v>
      </c>
      <c r="L380" s="136">
        <f t="shared" si="137"/>
        <v>0</v>
      </c>
    </row>
    <row r="381" spans="3:12" ht="15.6" hidden="1">
      <c r="C381" s="39" t="str">
        <f t="shared" si="104"/>
        <v>H</v>
      </c>
      <c r="D381" s="45">
        <f>Parameter!C$42</f>
        <v>0</v>
      </c>
      <c r="E381" s="134">
        <f t="shared" ref="E381:L381" si="138">SUMIF(Y_VRPC_PR, E$10&amp;"_"&amp;$D345&amp;"_"&amp;$D381, VRPanelRev)</f>
        <v>0</v>
      </c>
      <c r="F381" s="135">
        <f t="shared" si="138"/>
        <v>0</v>
      </c>
      <c r="G381" s="135">
        <f t="shared" si="138"/>
        <v>0</v>
      </c>
      <c r="H381" s="135">
        <f t="shared" si="138"/>
        <v>0</v>
      </c>
      <c r="I381" s="135">
        <f t="shared" si="138"/>
        <v>0</v>
      </c>
      <c r="J381" s="135">
        <f t="shared" si="138"/>
        <v>0</v>
      </c>
      <c r="K381" s="135">
        <f t="shared" si="138"/>
        <v>0</v>
      </c>
      <c r="L381" s="136">
        <f t="shared" si="138"/>
        <v>0</v>
      </c>
    </row>
    <row r="382" spans="3:12" ht="15.6" hidden="1">
      <c r="C382" s="39" t="str">
        <f t="shared" si="104"/>
        <v>H</v>
      </c>
      <c r="D382" s="45">
        <f>Parameter!C$43</f>
        <v>0</v>
      </c>
      <c r="E382" s="134">
        <f t="shared" ref="E382:L382" si="139">SUMIF(Y_VRPC_PR, E$10&amp;"_"&amp;$D345&amp;"_"&amp;$D382, VRPanelRev)</f>
        <v>0</v>
      </c>
      <c r="F382" s="135">
        <f t="shared" si="139"/>
        <v>0</v>
      </c>
      <c r="G382" s="135">
        <f t="shared" si="139"/>
        <v>0</v>
      </c>
      <c r="H382" s="135">
        <f t="shared" si="139"/>
        <v>0</v>
      </c>
      <c r="I382" s="135">
        <f t="shared" si="139"/>
        <v>0</v>
      </c>
      <c r="J382" s="135">
        <f t="shared" si="139"/>
        <v>0</v>
      </c>
      <c r="K382" s="135">
        <f t="shared" si="139"/>
        <v>0</v>
      </c>
      <c r="L382" s="136">
        <f t="shared" si="139"/>
        <v>0</v>
      </c>
    </row>
    <row r="383" spans="3:12" ht="15.6" hidden="1">
      <c r="C383" s="39" t="str">
        <f t="shared" si="104"/>
        <v>H</v>
      </c>
      <c r="D383" s="45">
        <f>Parameter!C$44</f>
        <v>0</v>
      </c>
      <c r="E383" s="134">
        <f t="shared" ref="E383:L383" si="140">SUMIF(Y_VRPC_PR, E$10&amp;"_"&amp;$D345&amp;"_"&amp;$D383, VRPanelRev)</f>
        <v>0</v>
      </c>
      <c r="F383" s="135">
        <f t="shared" si="140"/>
        <v>0</v>
      </c>
      <c r="G383" s="135">
        <f t="shared" si="140"/>
        <v>0</v>
      </c>
      <c r="H383" s="135">
        <f t="shared" si="140"/>
        <v>0</v>
      </c>
      <c r="I383" s="135">
        <f t="shared" si="140"/>
        <v>0</v>
      </c>
      <c r="J383" s="135">
        <f t="shared" si="140"/>
        <v>0</v>
      </c>
      <c r="K383" s="135">
        <f t="shared" si="140"/>
        <v>0</v>
      </c>
      <c r="L383" s="136">
        <f t="shared" si="140"/>
        <v>0</v>
      </c>
    </row>
    <row r="384" spans="3:12" ht="15.6" hidden="1">
      <c r="C384" s="39" t="str">
        <f t="shared" si="104"/>
        <v>H</v>
      </c>
      <c r="D384" s="45">
        <f>Parameter!C$45</f>
        <v>0</v>
      </c>
      <c r="E384" s="134">
        <f t="shared" ref="E384:L384" si="141">SUMIF(Y_VRPC_PR, E$10&amp;"_"&amp;$D345&amp;"_"&amp;$D384, VRPanelRev)</f>
        <v>0</v>
      </c>
      <c r="F384" s="135">
        <f t="shared" si="141"/>
        <v>0</v>
      </c>
      <c r="G384" s="135">
        <f t="shared" si="141"/>
        <v>0</v>
      </c>
      <c r="H384" s="135">
        <f t="shared" si="141"/>
        <v>0</v>
      </c>
      <c r="I384" s="135">
        <f t="shared" si="141"/>
        <v>0</v>
      </c>
      <c r="J384" s="135">
        <f t="shared" si="141"/>
        <v>0</v>
      </c>
      <c r="K384" s="135">
        <f t="shared" si="141"/>
        <v>0</v>
      </c>
      <c r="L384" s="136">
        <f t="shared" si="141"/>
        <v>0</v>
      </c>
    </row>
    <row r="385" spans="3:12" ht="15.6" hidden="1">
      <c r="C385" s="39" t="str">
        <f t="shared" si="104"/>
        <v>H</v>
      </c>
      <c r="D385" s="45">
        <f>Parameter!C$46</f>
        <v>0</v>
      </c>
      <c r="E385" s="134">
        <f t="shared" ref="E385:L385" si="142">SUMIF(Y_VRPC_PR, E$10&amp;"_"&amp;$D345&amp;"_"&amp;$D385, VRPanelRev)</f>
        <v>0</v>
      </c>
      <c r="F385" s="135">
        <f t="shared" si="142"/>
        <v>0</v>
      </c>
      <c r="G385" s="135">
        <f t="shared" si="142"/>
        <v>0</v>
      </c>
      <c r="H385" s="135">
        <f t="shared" si="142"/>
        <v>0</v>
      </c>
      <c r="I385" s="135">
        <f t="shared" si="142"/>
        <v>0</v>
      </c>
      <c r="J385" s="135">
        <f t="shared" si="142"/>
        <v>0</v>
      </c>
      <c r="K385" s="135">
        <f t="shared" si="142"/>
        <v>0</v>
      </c>
      <c r="L385" s="136">
        <f t="shared" si="142"/>
        <v>0</v>
      </c>
    </row>
    <row r="386" spans="3:12" ht="15.6" hidden="1">
      <c r="C386" s="39" t="str">
        <f t="shared" si="104"/>
        <v>H</v>
      </c>
      <c r="D386" s="45">
        <f>Parameter!C$47</f>
        <v>0</v>
      </c>
      <c r="E386" s="134">
        <f t="shared" ref="E386:L386" si="143">SUMIF(Y_VRPC_PR, E$10&amp;"_"&amp;$D345&amp;"_"&amp;$D386, VRPanelRev)</f>
        <v>0</v>
      </c>
      <c r="F386" s="135">
        <f t="shared" si="143"/>
        <v>0</v>
      </c>
      <c r="G386" s="135">
        <f t="shared" si="143"/>
        <v>0</v>
      </c>
      <c r="H386" s="135">
        <f t="shared" si="143"/>
        <v>0</v>
      </c>
      <c r="I386" s="135">
        <f t="shared" si="143"/>
        <v>0</v>
      </c>
      <c r="J386" s="135">
        <f t="shared" si="143"/>
        <v>0</v>
      </c>
      <c r="K386" s="135">
        <f t="shared" si="143"/>
        <v>0</v>
      </c>
      <c r="L386" s="136">
        <f t="shared" si="143"/>
        <v>0</v>
      </c>
    </row>
    <row r="387" spans="3:12" ht="15.6" hidden="1">
      <c r="C387" s="39" t="str">
        <f t="shared" si="104"/>
        <v>H</v>
      </c>
      <c r="D387" s="45">
        <f>Parameter!C$48</f>
        <v>0</v>
      </c>
      <c r="E387" s="134">
        <f t="shared" ref="E387:L387" si="144">SUMIF(Y_VRPC_PR, E$10&amp;"_"&amp;$D345&amp;"_"&amp;$D387, VRPanelRev)</f>
        <v>0</v>
      </c>
      <c r="F387" s="135">
        <f t="shared" si="144"/>
        <v>0</v>
      </c>
      <c r="G387" s="135">
        <f t="shared" si="144"/>
        <v>0</v>
      </c>
      <c r="H387" s="135">
        <f t="shared" si="144"/>
        <v>0</v>
      </c>
      <c r="I387" s="135">
        <f t="shared" si="144"/>
        <v>0</v>
      </c>
      <c r="J387" s="135">
        <f t="shared" si="144"/>
        <v>0</v>
      </c>
      <c r="K387" s="135">
        <f t="shared" si="144"/>
        <v>0</v>
      </c>
      <c r="L387" s="136">
        <f t="shared" si="144"/>
        <v>0</v>
      </c>
    </row>
    <row r="388" spans="3:12" ht="15.6" hidden="1">
      <c r="C388" s="39" t="str">
        <f t="shared" si="104"/>
        <v>H</v>
      </c>
      <c r="D388" s="45">
        <f>Parameter!C$49</f>
        <v>0</v>
      </c>
      <c r="E388" s="134">
        <f t="shared" ref="E388:L388" si="145">SUMIF(Y_VRPC_PR, E$10&amp;"_"&amp;$D345&amp;"_"&amp;$D388, VRPanelRev)</f>
        <v>0</v>
      </c>
      <c r="F388" s="135">
        <f t="shared" si="145"/>
        <v>0</v>
      </c>
      <c r="G388" s="135">
        <f t="shared" si="145"/>
        <v>0</v>
      </c>
      <c r="H388" s="135">
        <f t="shared" si="145"/>
        <v>0</v>
      </c>
      <c r="I388" s="135">
        <f t="shared" si="145"/>
        <v>0</v>
      </c>
      <c r="J388" s="135">
        <f t="shared" si="145"/>
        <v>0</v>
      </c>
      <c r="K388" s="135">
        <f t="shared" si="145"/>
        <v>0</v>
      </c>
      <c r="L388" s="136">
        <f t="shared" si="145"/>
        <v>0</v>
      </c>
    </row>
    <row r="389" spans="3:12" ht="15.6" hidden="1">
      <c r="C389" s="39" t="str">
        <f t="shared" si="104"/>
        <v>H</v>
      </c>
      <c r="D389" s="45">
        <f>Parameter!C$50</f>
        <v>0</v>
      </c>
      <c r="E389" s="134">
        <f t="shared" ref="E389:L389" si="146">SUMIF(Y_VRPC_PR, E$10&amp;"_"&amp;$D345&amp;"_"&amp;$D389, VRPanelRev)</f>
        <v>0</v>
      </c>
      <c r="F389" s="135">
        <f t="shared" si="146"/>
        <v>0</v>
      </c>
      <c r="G389" s="135">
        <f t="shared" si="146"/>
        <v>0</v>
      </c>
      <c r="H389" s="135">
        <f t="shared" si="146"/>
        <v>0</v>
      </c>
      <c r="I389" s="135">
        <f t="shared" si="146"/>
        <v>0</v>
      </c>
      <c r="J389" s="135">
        <f t="shared" si="146"/>
        <v>0</v>
      </c>
      <c r="K389" s="135">
        <f t="shared" si="146"/>
        <v>0</v>
      </c>
      <c r="L389" s="136">
        <f t="shared" si="146"/>
        <v>0</v>
      </c>
    </row>
    <row r="390" spans="3:12" ht="15.6" hidden="1">
      <c r="C390" s="39" t="str">
        <f t="shared" si="104"/>
        <v>H</v>
      </c>
      <c r="D390" s="45">
        <f>Parameter!C$51</f>
        <v>0</v>
      </c>
      <c r="E390" s="134">
        <f t="shared" ref="E390:L390" si="147">SUMIF(Y_VRPC_PR, E$10&amp;"_"&amp;$D345&amp;"_"&amp;$D390, VRPanelRev)</f>
        <v>0</v>
      </c>
      <c r="F390" s="135">
        <f t="shared" si="147"/>
        <v>0</v>
      </c>
      <c r="G390" s="135">
        <f t="shared" si="147"/>
        <v>0</v>
      </c>
      <c r="H390" s="135">
        <f t="shared" si="147"/>
        <v>0</v>
      </c>
      <c r="I390" s="135">
        <f t="shared" si="147"/>
        <v>0</v>
      </c>
      <c r="J390" s="135">
        <f t="shared" si="147"/>
        <v>0</v>
      </c>
      <c r="K390" s="135">
        <f t="shared" si="147"/>
        <v>0</v>
      </c>
      <c r="L390" s="136">
        <f t="shared" si="147"/>
        <v>0</v>
      </c>
    </row>
    <row r="391" spans="3:12" ht="15.6" hidden="1">
      <c r="C391" s="39" t="str">
        <f t="shared" si="104"/>
        <v>H</v>
      </c>
      <c r="D391" s="45">
        <f>Parameter!C$52</f>
        <v>0</v>
      </c>
      <c r="E391" s="134">
        <f t="shared" ref="E391:L391" si="148">SUMIF(Y_VRPC_PR, E$10&amp;"_"&amp;$D345&amp;"_"&amp;$D391, VRPanelRev)</f>
        <v>0</v>
      </c>
      <c r="F391" s="135">
        <f t="shared" si="148"/>
        <v>0</v>
      </c>
      <c r="G391" s="135">
        <f t="shared" si="148"/>
        <v>0</v>
      </c>
      <c r="H391" s="135">
        <f t="shared" si="148"/>
        <v>0</v>
      </c>
      <c r="I391" s="135">
        <f t="shared" si="148"/>
        <v>0</v>
      </c>
      <c r="J391" s="135">
        <f t="shared" si="148"/>
        <v>0</v>
      </c>
      <c r="K391" s="135">
        <f t="shared" si="148"/>
        <v>0</v>
      </c>
      <c r="L391" s="136">
        <f t="shared" si="148"/>
        <v>0</v>
      </c>
    </row>
    <row r="392" spans="3:12" ht="15.6" hidden="1">
      <c r="C392" s="39" t="str">
        <f t="shared" si="104"/>
        <v>H</v>
      </c>
      <c r="D392" s="45">
        <f>Parameter!C$53</f>
        <v>0</v>
      </c>
      <c r="E392" s="134">
        <f t="shared" ref="E392:L392" si="149">SUMIF(Y_VRPC_PR, E$10&amp;"_"&amp;$D345&amp;"_"&amp;$D392, VRPanelRev)</f>
        <v>0</v>
      </c>
      <c r="F392" s="135">
        <f t="shared" si="149"/>
        <v>0</v>
      </c>
      <c r="G392" s="135">
        <f t="shared" si="149"/>
        <v>0</v>
      </c>
      <c r="H392" s="135">
        <f t="shared" si="149"/>
        <v>0</v>
      </c>
      <c r="I392" s="135">
        <f t="shared" si="149"/>
        <v>0</v>
      </c>
      <c r="J392" s="135">
        <f t="shared" si="149"/>
        <v>0</v>
      </c>
      <c r="K392" s="135">
        <f t="shared" si="149"/>
        <v>0</v>
      </c>
      <c r="L392" s="136">
        <f t="shared" si="149"/>
        <v>0</v>
      </c>
    </row>
    <row r="393" spans="3:12" ht="15.6" hidden="1">
      <c r="C393" s="39" t="str">
        <f t="shared" si="104"/>
        <v>H</v>
      </c>
      <c r="D393" s="45">
        <f>Parameter!C$54</f>
        <v>0</v>
      </c>
      <c r="E393" s="134">
        <f t="shared" ref="E393:L393" si="150">SUMIF(Y_VRPC_PR, E$10&amp;"_"&amp;$D345&amp;"_"&amp;$D393, VRPanelRev)</f>
        <v>0</v>
      </c>
      <c r="F393" s="135">
        <f t="shared" si="150"/>
        <v>0</v>
      </c>
      <c r="G393" s="135">
        <f t="shared" si="150"/>
        <v>0</v>
      </c>
      <c r="H393" s="135">
        <f t="shared" si="150"/>
        <v>0</v>
      </c>
      <c r="I393" s="135">
        <f t="shared" si="150"/>
        <v>0</v>
      </c>
      <c r="J393" s="135">
        <f t="shared" si="150"/>
        <v>0</v>
      </c>
      <c r="K393" s="135">
        <f t="shared" si="150"/>
        <v>0</v>
      </c>
      <c r="L393" s="136">
        <f t="shared" si="150"/>
        <v>0</v>
      </c>
    </row>
    <row r="394" spans="3:12" ht="15.6" hidden="1">
      <c r="C394" s="39" t="str">
        <f t="shared" si="104"/>
        <v>H</v>
      </c>
      <c r="D394" s="45">
        <f>Parameter!C$55</f>
        <v>0</v>
      </c>
      <c r="E394" s="134">
        <f t="shared" ref="E394:L394" si="151">SUMIF(Y_VRPC_PR, E$10&amp;"_"&amp;$D345&amp;"_"&amp;$D394, VRPanelRev)</f>
        <v>0</v>
      </c>
      <c r="F394" s="135">
        <f t="shared" si="151"/>
        <v>0</v>
      </c>
      <c r="G394" s="135">
        <f t="shared" si="151"/>
        <v>0</v>
      </c>
      <c r="H394" s="135">
        <f t="shared" si="151"/>
        <v>0</v>
      </c>
      <c r="I394" s="135">
        <f t="shared" si="151"/>
        <v>0</v>
      </c>
      <c r="J394" s="135">
        <f t="shared" si="151"/>
        <v>0</v>
      </c>
      <c r="K394" s="135">
        <f t="shared" si="151"/>
        <v>0</v>
      </c>
      <c r="L394" s="136">
        <f t="shared" si="151"/>
        <v>0</v>
      </c>
    </row>
    <row r="395" spans="3:12" ht="15.6" hidden="1">
      <c r="C395" s="39" t="str">
        <f t="shared" si="104"/>
        <v>H</v>
      </c>
      <c r="D395" s="45">
        <f>Parameter!C$56</f>
        <v>0</v>
      </c>
      <c r="E395" s="134">
        <f t="shared" ref="E395:L395" si="152">SUMIF(Y_VRPC_PR, E$10&amp;"_"&amp;$D345&amp;"_"&amp;$D395, VRPanelRev)</f>
        <v>0</v>
      </c>
      <c r="F395" s="135">
        <f t="shared" si="152"/>
        <v>0</v>
      </c>
      <c r="G395" s="135">
        <f t="shared" si="152"/>
        <v>0</v>
      </c>
      <c r="H395" s="135">
        <f t="shared" si="152"/>
        <v>0</v>
      </c>
      <c r="I395" s="135">
        <f t="shared" si="152"/>
        <v>0</v>
      </c>
      <c r="J395" s="135">
        <f t="shared" si="152"/>
        <v>0</v>
      </c>
      <c r="K395" s="135">
        <f t="shared" si="152"/>
        <v>0</v>
      </c>
      <c r="L395" s="136">
        <f t="shared" si="152"/>
        <v>0</v>
      </c>
    </row>
    <row r="396" spans="3:12" ht="16.2" hidden="1" thickBot="1">
      <c r="C396" s="39" t="str">
        <f t="shared" si="104"/>
        <v>H</v>
      </c>
      <c r="D396" s="53" t="str">
        <f>Parameter!C$57</f>
        <v>ALL</v>
      </c>
      <c r="E396" s="137">
        <f t="shared" ref="E396:L396" si="153">SUMIF(Y_VRPC_PR, E$10&amp;"_"&amp;$D345&amp;"_"&amp;$D396, VRPanelRev)</f>
        <v>0</v>
      </c>
      <c r="F396" s="138">
        <f t="shared" si="153"/>
        <v>0</v>
      </c>
      <c r="G396" s="138">
        <f t="shared" si="153"/>
        <v>0</v>
      </c>
      <c r="H396" s="138">
        <f t="shared" si="153"/>
        <v>0</v>
      </c>
      <c r="I396" s="138">
        <f t="shared" si="153"/>
        <v>0</v>
      </c>
      <c r="J396" s="138">
        <f t="shared" si="153"/>
        <v>0</v>
      </c>
      <c r="K396" s="138">
        <f t="shared" si="153"/>
        <v>0</v>
      </c>
      <c r="L396" s="139">
        <f t="shared" si="153"/>
        <v>0</v>
      </c>
    </row>
    <row r="397" spans="3:12" ht="15.6" hidden="1">
      <c r="C397" s="39" t="str">
        <f t="shared" si="104"/>
        <v>H</v>
      </c>
      <c r="D397" s="54" t="s">
        <v>87</v>
      </c>
      <c r="E397" s="140">
        <f>SUM(E347:E396)</f>
        <v>0</v>
      </c>
      <c r="F397" s="141">
        <f t="shared" ref="F397:L397" si="154">SUM(F347:F396)</f>
        <v>0</v>
      </c>
      <c r="G397" s="141">
        <f t="shared" si="154"/>
        <v>0</v>
      </c>
      <c r="H397" s="141">
        <f t="shared" si="154"/>
        <v>0</v>
      </c>
      <c r="I397" s="141">
        <f t="shared" si="154"/>
        <v>0</v>
      </c>
      <c r="J397" s="141">
        <f t="shared" si="154"/>
        <v>0</v>
      </c>
      <c r="K397" s="141">
        <f t="shared" si="154"/>
        <v>0</v>
      </c>
      <c r="L397" s="142">
        <f t="shared" si="154"/>
        <v>0</v>
      </c>
    </row>
    <row r="398" spans="3:12" ht="16.2" hidden="1" thickBot="1">
      <c r="C398" s="39" t="str">
        <f t="shared" si="104"/>
        <v>H</v>
      </c>
      <c r="D398" s="46" t="s">
        <v>88</v>
      </c>
      <c r="E398" s="47"/>
      <c r="F398" s="50" t="str">
        <f t="shared" ref="F398:G398" si="155">IF(E397*F397=0, "", F397/E397-1)</f>
        <v/>
      </c>
      <c r="G398" s="50" t="str">
        <f t="shared" si="155"/>
        <v/>
      </c>
      <c r="H398" s="50" t="str">
        <f>IF(G397*H397=0, "", H397/G397-1)</f>
        <v/>
      </c>
      <c r="I398" s="50" t="str">
        <f t="shared" ref="I398:L398" si="156">IF(H397*I397=0, "", I397/H397-1)</f>
        <v/>
      </c>
      <c r="J398" s="50" t="str">
        <f t="shared" si="156"/>
        <v/>
      </c>
      <c r="K398" s="50" t="str">
        <f t="shared" si="156"/>
        <v/>
      </c>
      <c r="L398" s="51" t="str">
        <f t="shared" si="156"/>
        <v/>
      </c>
    </row>
    <row r="399" spans="3:12" ht="15" hidden="1">
      <c r="C399" s="39" t="str">
        <f t="shared" si="104"/>
        <v>H</v>
      </c>
    </row>
    <row r="400" spans="3:12" ht="15.6" hidden="1" thickBot="1">
      <c r="C400" s="39" t="str">
        <f t="shared" si="104"/>
        <v>H</v>
      </c>
    </row>
    <row r="401" spans="3:12" ht="15" hidden="1" thickBot="1">
      <c r="C401" s="57" t="str">
        <f>IF(SUM(E453:L453)=0, "H", "")</f>
        <v>H</v>
      </c>
      <c r="D401" s="52">
        <f>Parameter!G15</f>
        <v>0</v>
      </c>
    </row>
    <row r="402" spans="3:12" ht="16.2" hidden="1" thickBot="1">
      <c r="C402" s="57" t="str">
        <f>IF(SUM(E453:L453)=0, "H", "")</f>
        <v>H</v>
      </c>
      <c r="D402" s="40" t="s">
        <v>85</v>
      </c>
      <c r="E402" s="41" t="s">
        <v>8</v>
      </c>
      <c r="F402" s="42" t="s">
        <v>9</v>
      </c>
      <c r="G402" s="42" t="s">
        <v>10</v>
      </c>
      <c r="H402" s="42" t="s">
        <v>11</v>
      </c>
      <c r="I402" s="42" t="s">
        <v>12</v>
      </c>
      <c r="J402" s="42" t="s">
        <v>13</v>
      </c>
      <c r="K402" s="42" t="s">
        <v>14</v>
      </c>
      <c r="L402" s="43" t="s">
        <v>86</v>
      </c>
    </row>
    <row r="403" spans="3:12" ht="15.6" hidden="1">
      <c r="C403" s="39" t="str">
        <f>IF(SUM(E403:L403)=0, "H", "")</f>
        <v>H</v>
      </c>
      <c r="D403" s="44" t="str">
        <f>Parameter!C$8</f>
        <v>5K VR</v>
      </c>
      <c r="E403" s="134">
        <f t="shared" ref="E403:L403" si="157">SUMIF(Y_VRPC_PR, E$10&amp;"_"&amp;$D401&amp;"_"&amp;$D403, VRPanelRev)</f>
        <v>0</v>
      </c>
      <c r="F403" s="135">
        <f t="shared" si="157"/>
        <v>0</v>
      </c>
      <c r="G403" s="135">
        <f t="shared" si="157"/>
        <v>0</v>
      </c>
      <c r="H403" s="135">
        <f t="shared" si="157"/>
        <v>0</v>
      </c>
      <c r="I403" s="135">
        <f t="shared" si="157"/>
        <v>0</v>
      </c>
      <c r="J403" s="135">
        <f t="shared" si="157"/>
        <v>0</v>
      </c>
      <c r="K403" s="135">
        <f t="shared" si="157"/>
        <v>0</v>
      </c>
      <c r="L403" s="136">
        <f t="shared" si="157"/>
        <v>0</v>
      </c>
    </row>
    <row r="404" spans="3:12" ht="15.6" hidden="1">
      <c r="C404" s="39" t="str">
        <f t="shared" ref="C404:C456" si="158">IF(SUM(E404:L404)=0, "H", "")</f>
        <v>H</v>
      </c>
      <c r="D404" s="44" t="str">
        <f>Parameter!C$9</f>
        <v>Aero</v>
      </c>
      <c r="E404" s="134">
        <f t="shared" ref="E404:L404" si="159">SUMIF(Y_VRPC_PR, E$10&amp;"_"&amp;$D401&amp;"_"&amp;$D404, VRPanelRev)</f>
        <v>0</v>
      </c>
      <c r="F404" s="135">
        <f t="shared" si="159"/>
        <v>0</v>
      </c>
      <c r="G404" s="135">
        <f t="shared" si="159"/>
        <v>0</v>
      </c>
      <c r="H404" s="135">
        <f t="shared" si="159"/>
        <v>0</v>
      </c>
      <c r="I404" s="135">
        <f t="shared" si="159"/>
        <v>0</v>
      </c>
      <c r="J404" s="135">
        <f t="shared" si="159"/>
        <v>0</v>
      </c>
      <c r="K404" s="135">
        <f t="shared" si="159"/>
        <v>0</v>
      </c>
      <c r="L404" s="136">
        <f t="shared" si="159"/>
        <v>0</v>
      </c>
    </row>
    <row r="405" spans="3:12" ht="15.6" hidden="1">
      <c r="C405" s="39" t="str">
        <f t="shared" si="158"/>
        <v>H</v>
      </c>
      <c r="D405" s="45" t="str">
        <f>Parameter!C$10</f>
        <v>Beyond</v>
      </c>
      <c r="E405" s="134">
        <f t="shared" ref="E405:L405" si="160">SUMIF(Y_VRPC_PR, E$10&amp;"_"&amp;$D401&amp;"_"&amp;$D405, VRPanelRev)</f>
        <v>0</v>
      </c>
      <c r="F405" s="135">
        <f t="shared" si="160"/>
        <v>0</v>
      </c>
      <c r="G405" s="135">
        <f t="shared" si="160"/>
        <v>0</v>
      </c>
      <c r="H405" s="135">
        <f t="shared" si="160"/>
        <v>0</v>
      </c>
      <c r="I405" s="135">
        <f t="shared" si="160"/>
        <v>0</v>
      </c>
      <c r="J405" s="135">
        <f t="shared" si="160"/>
        <v>0</v>
      </c>
      <c r="K405" s="135">
        <f t="shared" si="160"/>
        <v>0</v>
      </c>
      <c r="L405" s="136">
        <f t="shared" si="160"/>
        <v>0</v>
      </c>
    </row>
    <row r="406" spans="3:12" ht="15.6" hidden="1">
      <c r="C406" s="39" t="str">
        <f t="shared" si="158"/>
        <v>H</v>
      </c>
      <c r="D406" s="45" t="str">
        <f>Parameter!C$11</f>
        <v>Bionic models</v>
      </c>
      <c r="E406" s="134">
        <f t="shared" ref="E406:L406" si="161">SUMIF(Y_VRPC_PR, E$10&amp;"_"&amp;$D401&amp;"_"&amp;$D406, VRPanelRev)</f>
        <v>0</v>
      </c>
      <c r="F406" s="135">
        <f t="shared" si="161"/>
        <v>0</v>
      </c>
      <c r="G406" s="135">
        <f t="shared" si="161"/>
        <v>0</v>
      </c>
      <c r="H406" s="135">
        <f t="shared" si="161"/>
        <v>0</v>
      </c>
      <c r="I406" s="135">
        <f t="shared" si="161"/>
        <v>0</v>
      </c>
      <c r="J406" s="135">
        <f t="shared" si="161"/>
        <v>0</v>
      </c>
      <c r="K406" s="135">
        <f t="shared" si="161"/>
        <v>0</v>
      </c>
      <c r="L406" s="136">
        <f t="shared" si="161"/>
        <v>0</v>
      </c>
    </row>
    <row r="407" spans="3:12" ht="15.6" hidden="1">
      <c r="C407" s="39" t="str">
        <f t="shared" si="158"/>
        <v>H</v>
      </c>
      <c r="D407" s="45" t="str">
        <f>Parameter!C$12</f>
        <v>Dual LCD VR headset</v>
      </c>
      <c r="E407" s="134">
        <f t="shared" ref="E407:L407" si="162">SUMIF(Y_VRPC_PR, E$10&amp;"_"&amp;$D401&amp;"_"&amp;$D407, VRPanelRev)</f>
        <v>0</v>
      </c>
      <c r="F407" s="135">
        <f t="shared" si="162"/>
        <v>0</v>
      </c>
      <c r="G407" s="135">
        <f t="shared" si="162"/>
        <v>0</v>
      </c>
      <c r="H407" s="135">
        <f t="shared" si="162"/>
        <v>0</v>
      </c>
      <c r="I407" s="135">
        <f t="shared" si="162"/>
        <v>0</v>
      </c>
      <c r="J407" s="135">
        <f t="shared" si="162"/>
        <v>0</v>
      </c>
      <c r="K407" s="135">
        <f t="shared" si="162"/>
        <v>0</v>
      </c>
      <c r="L407" s="136">
        <f t="shared" si="162"/>
        <v>0</v>
      </c>
    </row>
    <row r="408" spans="3:12" ht="15.6" hidden="1">
      <c r="C408" s="39" t="str">
        <f t="shared" si="158"/>
        <v>H</v>
      </c>
      <c r="D408" s="45" t="str">
        <f>Parameter!C$13</f>
        <v>Dual SiOLED headset</v>
      </c>
      <c r="E408" s="134">
        <f t="shared" ref="E408:L408" si="163">SUMIF(Y_VRPC_PR, E$10&amp;"_"&amp;$D401&amp;"_"&amp;$D408, VRPanelRev)</f>
        <v>0</v>
      </c>
      <c r="F408" s="135">
        <f t="shared" si="163"/>
        <v>0</v>
      </c>
      <c r="G408" s="135">
        <f t="shared" si="163"/>
        <v>0</v>
      </c>
      <c r="H408" s="135">
        <f t="shared" si="163"/>
        <v>0</v>
      </c>
      <c r="I408" s="135">
        <f t="shared" si="163"/>
        <v>0</v>
      </c>
      <c r="J408" s="135">
        <f t="shared" si="163"/>
        <v>0</v>
      </c>
      <c r="K408" s="135">
        <f t="shared" si="163"/>
        <v>0</v>
      </c>
      <c r="L408" s="136">
        <f t="shared" si="163"/>
        <v>0</v>
      </c>
    </row>
    <row r="409" spans="3:12" ht="15.6" hidden="1">
      <c r="C409" s="39" t="str">
        <f t="shared" si="158"/>
        <v>H</v>
      </c>
      <c r="D409" s="45" t="str">
        <f>Parameter!C$14</f>
        <v>Index</v>
      </c>
      <c r="E409" s="134">
        <f t="shared" ref="E409:L409" si="164">SUMIF(Y_VRPC_PR, E$10&amp;"_"&amp;$D401&amp;"_"&amp;$D409, VRPanelRev)</f>
        <v>0</v>
      </c>
      <c r="F409" s="135">
        <f t="shared" si="164"/>
        <v>0</v>
      </c>
      <c r="G409" s="135">
        <f t="shared" si="164"/>
        <v>0</v>
      </c>
      <c r="H409" s="135">
        <f t="shared" si="164"/>
        <v>0</v>
      </c>
      <c r="I409" s="135">
        <f t="shared" si="164"/>
        <v>0</v>
      </c>
      <c r="J409" s="135">
        <f t="shared" si="164"/>
        <v>0</v>
      </c>
      <c r="K409" s="135">
        <f t="shared" si="164"/>
        <v>0</v>
      </c>
      <c r="L409" s="136">
        <f t="shared" si="164"/>
        <v>0</v>
      </c>
    </row>
    <row r="410" spans="3:12" ht="15.6" hidden="1">
      <c r="C410" s="39" t="str">
        <f t="shared" si="158"/>
        <v>H</v>
      </c>
      <c r="D410" s="45" t="str">
        <f>Parameter!C$15</f>
        <v>MeganeX</v>
      </c>
      <c r="E410" s="134">
        <f t="shared" ref="E410:L410" si="165">SUMIF(Y_VRPC_PR, E$10&amp;"_"&amp;$D401&amp;"_"&amp;$D410, VRPanelRev)</f>
        <v>0</v>
      </c>
      <c r="F410" s="135">
        <f t="shared" si="165"/>
        <v>0</v>
      </c>
      <c r="G410" s="135">
        <f t="shared" si="165"/>
        <v>0</v>
      </c>
      <c r="H410" s="135">
        <f t="shared" si="165"/>
        <v>0</v>
      </c>
      <c r="I410" s="135">
        <f t="shared" si="165"/>
        <v>0</v>
      </c>
      <c r="J410" s="135">
        <f t="shared" si="165"/>
        <v>0</v>
      </c>
      <c r="K410" s="135">
        <f t="shared" si="165"/>
        <v>0</v>
      </c>
      <c r="L410" s="136">
        <f t="shared" si="165"/>
        <v>0</v>
      </c>
    </row>
    <row r="411" spans="3:12" ht="15.6" hidden="1">
      <c r="C411" s="39" t="str">
        <f t="shared" si="158"/>
        <v>H</v>
      </c>
      <c r="D411" s="45" t="str">
        <f>Parameter!C$16</f>
        <v>MeganeX Superlight 8K</v>
      </c>
      <c r="E411" s="134">
        <f t="shared" ref="E411:L411" si="166">SUMIF(Y_VRPC_PR, E$10&amp;"_"&amp;$D401&amp;"_"&amp;$D411, VRPanelRev)</f>
        <v>0</v>
      </c>
      <c r="F411" s="135">
        <f t="shared" si="166"/>
        <v>0</v>
      </c>
      <c r="G411" s="135">
        <f t="shared" si="166"/>
        <v>0</v>
      </c>
      <c r="H411" s="135">
        <f t="shared" si="166"/>
        <v>0</v>
      </c>
      <c r="I411" s="135">
        <f t="shared" si="166"/>
        <v>0</v>
      </c>
      <c r="J411" s="135">
        <f t="shared" si="166"/>
        <v>0</v>
      </c>
      <c r="K411" s="135">
        <f t="shared" si="166"/>
        <v>0</v>
      </c>
      <c r="L411" s="136">
        <f t="shared" si="166"/>
        <v>0</v>
      </c>
    </row>
    <row r="412" spans="3:12" ht="15.6" hidden="1">
      <c r="C412" s="39" t="str">
        <f t="shared" si="158"/>
        <v>H</v>
      </c>
      <c r="D412" s="45" t="str">
        <f>Parameter!C$17</f>
        <v>Neo 3 / G3</v>
      </c>
      <c r="E412" s="134">
        <f t="shared" ref="E412:L412" si="167">SUMIF(Y_VRPC_PR, E$10&amp;"_"&amp;$D401&amp;"_"&amp;$D412, VRPanelRev)</f>
        <v>0</v>
      </c>
      <c r="F412" s="135">
        <f t="shared" si="167"/>
        <v>0</v>
      </c>
      <c r="G412" s="135">
        <f t="shared" si="167"/>
        <v>0</v>
      </c>
      <c r="H412" s="135">
        <f t="shared" si="167"/>
        <v>0</v>
      </c>
      <c r="I412" s="135">
        <f t="shared" si="167"/>
        <v>0</v>
      </c>
      <c r="J412" s="135">
        <f t="shared" si="167"/>
        <v>0</v>
      </c>
      <c r="K412" s="135">
        <f t="shared" si="167"/>
        <v>0</v>
      </c>
      <c r="L412" s="136">
        <f t="shared" si="167"/>
        <v>0</v>
      </c>
    </row>
    <row r="413" spans="3:12" ht="15.6" hidden="1">
      <c r="C413" s="39" t="str">
        <f t="shared" si="158"/>
        <v>H</v>
      </c>
      <c r="D413" s="45" t="str">
        <f>Parameter!C$18</f>
        <v>OLED VR headset</v>
      </c>
      <c r="E413" s="134">
        <f t="shared" ref="E413:L413" si="168">SUMIF(Y_VRPC_PR, E$10&amp;"_"&amp;$D401&amp;"_"&amp;$D413, VRPanelRev)</f>
        <v>0</v>
      </c>
      <c r="F413" s="135">
        <f t="shared" si="168"/>
        <v>0</v>
      </c>
      <c r="G413" s="135">
        <f t="shared" si="168"/>
        <v>0</v>
      </c>
      <c r="H413" s="135">
        <f t="shared" si="168"/>
        <v>0</v>
      </c>
      <c r="I413" s="135">
        <f t="shared" si="168"/>
        <v>0</v>
      </c>
      <c r="J413" s="135">
        <f t="shared" si="168"/>
        <v>0</v>
      </c>
      <c r="K413" s="135">
        <f t="shared" si="168"/>
        <v>0</v>
      </c>
      <c r="L413" s="136">
        <f t="shared" si="168"/>
        <v>0</v>
      </c>
    </row>
    <row r="414" spans="3:12" ht="15.6" hidden="1">
      <c r="C414" s="39" t="str">
        <f t="shared" si="158"/>
        <v>H</v>
      </c>
      <c r="D414" s="45" t="str">
        <f>Parameter!C$19</f>
        <v>P1 family</v>
      </c>
      <c r="E414" s="134">
        <f t="shared" ref="E414:L414" si="169">SUMIF(Y_VRPC_PR, E$10&amp;"_"&amp;$D401&amp;"_"&amp;$D414, VRPanelRev)</f>
        <v>0</v>
      </c>
      <c r="F414" s="135">
        <f t="shared" si="169"/>
        <v>0</v>
      </c>
      <c r="G414" s="135">
        <f t="shared" si="169"/>
        <v>0</v>
      </c>
      <c r="H414" s="135">
        <f t="shared" si="169"/>
        <v>0</v>
      </c>
      <c r="I414" s="135">
        <f t="shared" si="169"/>
        <v>0</v>
      </c>
      <c r="J414" s="135">
        <f t="shared" si="169"/>
        <v>0</v>
      </c>
      <c r="K414" s="135">
        <f t="shared" si="169"/>
        <v>0</v>
      </c>
      <c r="L414" s="136">
        <f t="shared" si="169"/>
        <v>0</v>
      </c>
    </row>
    <row r="415" spans="3:12" ht="15.6" hidden="1">
      <c r="C415" s="39" t="str">
        <f t="shared" si="158"/>
        <v>H</v>
      </c>
      <c r="D415" s="45" t="str">
        <f>Parameter!C$20</f>
        <v>Pico 4</v>
      </c>
      <c r="E415" s="134">
        <f t="shared" ref="E415:L415" si="170">SUMIF(Y_VRPC_PR, E$10&amp;"_"&amp;$D401&amp;"_"&amp;$D415, VRPanelRev)</f>
        <v>0</v>
      </c>
      <c r="F415" s="135">
        <f t="shared" si="170"/>
        <v>0</v>
      </c>
      <c r="G415" s="135">
        <f t="shared" si="170"/>
        <v>0</v>
      </c>
      <c r="H415" s="135">
        <f t="shared" si="170"/>
        <v>0</v>
      </c>
      <c r="I415" s="135">
        <f t="shared" si="170"/>
        <v>0</v>
      </c>
      <c r="J415" s="135">
        <f t="shared" si="170"/>
        <v>0</v>
      </c>
      <c r="K415" s="135">
        <f t="shared" si="170"/>
        <v>0</v>
      </c>
      <c r="L415" s="136">
        <f t="shared" si="170"/>
        <v>0</v>
      </c>
    </row>
    <row r="416" spans="3:12" ht="15.6" hidden="1">
      <c r="C416" s="39" t="str">
        <f t="shared" si="158"/>
        <v>H</v>
      </c>
      <c r="D416" s="45" t="str">
        <f>Parameter!C$21</f>
        <v>Pimax VR</v>
      </c>
      <c r="E416" s="134">
        <f t="shared" ref="E416:L416" si="171">SUMIF(Y_VRPC_PR, E$10&amp;"_"&amp;$D401&amp;"_"&amp;$D416, VRPanelRev)</f>
        <v>0</v>
      </c>
      <c r="F416" s="135">
        <f t="shared" si="171"/>
        <v>0</v>
      </c>
      <c r="G416" s="135">
        <f t="shared" si="171"/>
        <v>0</v>
      </c>
      <c r="H416" s="135">
        <f t="shared" si="171"/>
        <v>0</v>
      </c>
      <c r="I416" s="135">
        <f t="shared" si="171"/>
        <v>0</v>
      </c>
      <c r="J416" s="135">
        <f t="shared" si="171"/>
        <v>0</v>
      </c>
      <c r="K416" s="135">
        <f t="shared" si="171"/>
        <v>0</v>
      </c>
      <c r="L416" s="136">
        <f t="shared" si="171"/>
        <v>0</v>
      </c>
    </row>
    <row r="417" spans="3:12" ht="15.6" hidden="1">
      <c r="C417" s="39" t="str">
        <f t="shared" si="158"/>
        <v>H</v>
      </c>
      <c r="D417" s="45" t="str">
        <f>Parameter!C$22</f>
        <v>PlayStation VR</v>
      </c>
      <c r="E417" s="134">
        <f t="shared" ref="E417:L417" si="172">SUMIF(Y_VRPC_PR, E$10&amp;"_"&amp;$D401&amp;"_"&amp;$D417, VRPanelRev)</f>
        <v>0</v>
      </c>
      <c r="F417" s="135">
        <f t="shared" si="172"/>
        <v>0</v>
      </c>
      <c r="G417" s="135">
        <f t="shared" si="172"/>
        <v>0</v>
      </c>
      <c r="H417" s="135">
        <f t="shared" si="172"/>
        <v>0</v>
      </c>
      <c r="I417" s="135">
        <f t="shared" si="172"/>
        <v>0</v>
      </c>
      <c r="J417" s="135">
        <f t="shared" si="172"/>
        <v>0</v>
      </c>
      <c r="K417" s="135">
        <f t="shared" si="172"/>
        <v>0</v>
      </c>
      <c r="L417" s="136">
        <f t="shared" si="172"/>
        <v>0</v>
      </c>
    </row>
    <row r="418" spans="3:12" ht="15.6" hidden="1">
      <c r="C418" s="39" t="str">
        <f t="shared" si="158"/>
        <v>H</v>
      </c>
      <c r="D418" s="45" t="str">
        <f>Parameter!C$23</f>
        <v>PlayStation VR2</v>
      </c>
      <c r="E418" s="134">
        <f t="shared" ref="E418:L418" si="173">SUMIF(Y_VRPC_PR, E$10&amp;"_"&amp;$D401&amp;"_"&amp;$D418, VRPanelRev)</f>
        <v>0</v>
      </c>
      <c r="F418" s="135">
        <f t="shared" si="173"/>
        <v>0</v>
      </c>
      <c r="G418" s="135">
        <f t="shared" si="173"/>
        <v>0</v>
      </c>
      <c r="H418" s="135">
        <f t="shared" si="173"/>
        <v>0</v>
      </c>
      <c r="I418" s="135">
        <f t="shared" si="173"/>
        <v>0</v>
      </c>
      <c r="J418" s="135">
        <f t="shared" si="173"/>
        <v>0</v>
      </c>
      <c r="K418" s="135">
        <f t="shared" si="173"/>
        <v>0</v>
      </c>
      <c r="L418" s="136">
        <f t="shared" si="173"/>
        <v>0</v>
      </c>
    </row>
    <row r="419" spans="3:12" ht="15.6" hidden="1">
      <c r="C419" s="39" t="str">
        <f t="shared" si="158"/>
        <v>H</v>
      </c>
      <c r="D419" s="45" t="str">
        <f>Parameter!C$24</f>
        <v>Project Moohan</v>
      </c>
      <c r="E419" s="134">
        <f t="shared" ref="E419:L419" si="174">SUMIF(Y_VRPC_PR, E$10&amp;"_"&amp;$D401&amp;"_"&amp;$D419, VRPanelRev)</f>
        <v>0</v>
      </c>
      <c r="F419" s="135">
        <f t="shared" si="174"/>
        <v>0</v>
      </c>
      <c r="G419" s="135">
        <f t="shared" si="174"/>
        <v>0</v>
      </c>
      <c r="H419" s="135">
        <f t="shared" si="174"/>
        <v>0</v>
      </c>
      <c r="I419" s="135">
        <f t="shared" si="174"/>
        <v>0</v>
      </c>
      <c r="J419" s="135">
        <f t="shared" si="174"/>
        <v>0</v>
      </c>
      <c r="K419" s="135">
        <f t="shared" si="174"/>
        <v>0</v>
      </c>
      <c r="L419" s="136">
        <f t="shared" si="174"/>
        <v>0</v>
      </c>
    </row>
    <row r="420" spans="3:12" ht="15.6" hidden="1">
      <c r="C420" s="39" t="str">
        <f t="shared" si="158"/>
        <v>H</v>
      </c>
      <c r="D420" s="45" t="str">
        <f>Parameter!C$25</f>
        <v>Quest</v>
      </c>
      <c r="E420" s="134">
        <f t="shared" ref="E420:L420" si="175">SUMIF(Y_VRPC_PR, E$10&amp;"_"&amp;$D401&amp;"_"&amp;$D420, VRPanelRev)</f>
        <v>0</v>
      </c>
      <c r="F420" s="135">
        <f t="shared" si="175"/>
        <v>0</v>
      </c>
      <c r="G420" s="135">
        <f t="shared" si="175"/>
        <v>0</v>
      </c>
      <c r="H420" s="135">
        <f t="shared" si="175"/>
        <v>0</v>
      </c>
      <c r="I420" s="135">
        <f t="shared" si="175"/>
        <v>0</v>
      </c>
      <c r="J420" s="135">
        <f t="shared" si="175"/>
        <v>0</v>
      </c>
      <c r="K420" s="135">
        <f t="shared" si="175"/>
        <v>0</v>
      </c>
      <c r="L420" s="136">
        <f t="shared" si="175"/>
        <v>0</v>
      </c>
    </row>
    <row r="421" spans="3:12" ht="15.6" hidden="1">
      <c r="C421" s="39" t="str">
        <f t="shared" si="158"/>
        <v>H</v>
      </c>
      <c r="D421" s="45" t="str">
        <f>Parameter!C$26</f>
        <v>Quest 2</v>
      </c>
      <c r="E421" s="134">
        <f t="shared" ref="E421:L421" si="176">SUMIF(Y_VRPC_PR, E$10&amp;"_"&amp;$D401&amp;"_"&amp;$D421, VRPanelRev)</f>
        <v>0</v>
      </c>
      <c r="F421" s="135">
        <f t="shared" si="176"/>
        <v>0</v>
      </c>
      <c r="G421" s="135">
        <f t="shared" si="176"/>
        <v>0</v>
      </c>
      <c r="H421" s="135">
        <f t="shared" si="176"/>
        <v>0</v>
      </c>
      <c r="I421" s="135">
        <f t="shared" si="176"/>
        <v>0</v>
      </c>
      <c r="J421" s="135">
        <f t="shared" si="176"/>
        <v>0</v>
      </c>
      <c r="K421" s="135">
        <f t="shared" si="176"/>
        <v>0</v>
      </c>
      <c r="L421" s="136">
        <f t="shared" si="176"/>
        <v>0</v>
      </c>
    </row>
    <row r="422" spans="3:12" ht="15.6" hidden="1">
      <c r="C422" s="39" t="str">
        <f t="shared" si="158"/>
        <v>H</v>
      </c>
      <c r="D422" s="45" t="str">
        <f>Parameter!C$27</f>
        <v>Quest 3</v>
      </c>
      <c r="E422" s="134">
        <f t="shared" ref="E422:L422" si="177">SUMIF(Y_VRPC_PR, E$10&amp;"_"&amp;$D401&amp;"_"&amp;$D422, VRPanelRev)</f>
        <v>0</v>
      </c>
      <c r="F422" s="135">
        <f t="shared" si="177"/>
        <v>0</v>
      </c>
      <c r="G422" s="135">
        <f t="shared" si="177"/>
        <v>0</v>
      </c>
      <c r="H422" s="135">
        <f t="shared" si="177"/>
        <v>0</v>
      </c>
      <c r="I422" s="135">
        <f t="shared" si="177"/>
        <v>0</v>
      </c>
      <c r="J422" s="135">
        <f t="shared" si="177"/>
        <v>0</v>
      </c>
      <c r="K422" s="135">
        <f t="shared" si="177"/>
        <v>0</v>
      </c>
      <c r="L422" s="136">
        <f t="shared" si="177"/>
        <v>0</v>
      </c>
    </row>
    <row r="423" spans="3:12" ht="15.6" hidden="1">
      <c r="C423" s="39" t="str">
        <f t="shared" si="158"/>
        <v>H</v>
      </c>
      <c r="D423" s="45" t="str">
        <f>Parameter!C$28</f>
        <v>Quest 3S</v>
      </c>
      <c r="E423" s="134">
        <f t="shared" ref="E423:L423" si="178">SUMIF(Y_VRPC_PR, E$10&amp;"_"&amp;$D401&amp;"_"&amp;$D423, VRPanelRev)</f>
        <v>0</v>
      </c>
      <c r="F423" s="135">
        <f t="shared" si="178"/>
        <v>0</v>
      </c>
      <c r="G423" s="135">
        <f t="shared" si="178"/>
        <v>0</v>
      </c>
      <c r="H423" s="135">
        <f t="shared" si="178"/>
        <v>0</v>
      </c>
      <c r="I423" s="135">
        <f t="shared" si="178"/>
        <v>0</v>
      </c>
      <c r="J423" s="135">
        <f t="shared" si="178"/>
        <v>0</v>
      </c>
      <c r="K423" s="135">
        <f t="shared" si="178"/>
        <v>0</v>
      </c>
      <c r="L423" s="136">
        <f t="shared" si="178"/>
        <v>0</v>
      </c>
    </row>
    <row r="424" spans="3:12" ht="15.6" hidden="1">
      <c r="C424" s="39" t="str">
        <f t="shared" si="158"/>
        <v>H</v>
      </c>
      <c r="D424" s="45" t="str">
        <f>Parameter!C$29</f>
        <v>Quest Pro</v>
      </c>
      <c r="E424" s="134">
        <f t="shared" ref="E424:L424" si="179">SUMIF(Y_VRPC_PR, E$10&amp;"_"&amp;$D401&amp;"_"&amp;$D424, VRPanelRev)</f>
        <v>0</v>
      </c>
      <c r="F424" s="135">
        <f t="shared" si="179"/>
        <v>0</v>
      </c>
      <c r="G424" s="135">
        <f t="shared" si="179"/>
        <v>0</v>
      </c>
      <c r="H424" s="135">
        <f t="shared" si="179"/>
        <v>0</v>
      </c>
      <c r="I424" s="135">
        <f t="shared" si="179"/>
        <v>0</v>
      </c>
      <c r="J424" s="135">
        <f t="shared" si="179"/>
        <v>0</v>
      </c>
      <c r="K424" s="135">
        <f t="shared" si="179"/>
        <v>0</v>
      </c>
      <c r="L424" s="136">
        <f t="shared" si="179"/>
        <v>0</v>
      </c>
    </row>
    <row r="425" spans="3:12" ht="15.6" hidden="1">
      <c r="C425" s="39" t="str">
        <f t="shared" si="158"/>
        <v>H</v>
      </c>
      <c r="D425" s="45" t="str">
        <f>Parameter!C$30</f>
        <v>R1</v>
      </c>
      <c r="E425" s="134">
        <f t="shared" ref="E425:L425" si="180">SUMIF(Y_VRPC_PR, E$10&amp;"_"&amp;$D401&amp;"_"&amp;$D425, VRPanelRev)</f>
        <v>0</v>
      </c>
      <c r="F425" s="135">
        <f t="shared" si="180"/>
        <v>0</v>
      </c>
      <c r="G425" s="135">
        <f t="shared" si="180"/>
        <v>0</v>
      </c>
      <c r="H425" s="135">
        <f t="shared" si="180"/>
        <v>0</v>
      </c>
      <c r="I425" s="135">
        <f t="shared" si="180"/>
        <v>0</v>
      </c>
      <c r="J425" s="135">
        <f t="shared" si="180"/>
        <v>0</v>
      </c>
      <c r="K425" s="135">
        <f t="shared" si="180"/>
        <v>0</v>
      </c>
      <c r="L425" s="136">
        <f t="shared" si="180"/>
        <v>0</v>
      </c>
    </row>
    <row r="426" spans="3:12" ht="15.6" hidden="1">
      <c r="C426" s="39" t="str">
        <f t="shared" si="158"/>
        <v>H</v>
      </c>
      <c r="D426" s="45" t="str">
        <f>Parameter!C$31</f>
        <v>Reverb</v>
      </c>
      <c r="E426" s="134">
        <f t="shared" ref="E426:L426" si="181">SUMIF(Y_VRPC_PR, E$10&amp;"_"&amp;$D401&amp;"_"&amp;$D426, VRPanelRev)</f>
        <v>0</v>
      </c>
      <c r="F426" s="135">
        <f t="shared" si="181"/>
        <v>0</v>
      </c>
      <c r="G426" s="135">
        <f t="shared" si="181"/>
        <v>0</v>
      </c>
      <c r="H426" s="135">
        <f t="shared" si="181"/>
        <v>0</v>
      </c>
      <c r="I426" s="135">
        <f t="shared" si="181"/>
        <v>0</v>
      </c>
      <c r="J426" s="135">
        <f t="shared" si="181"/>
        <v>0</v>
      </c>
      <c r="K426" s="135">
        <f t="shared" si="181"/>
        <v>0</v>
      </c>
      <c r="L426" s="136">
        <f t="shared" si="181"/>
        <v>0</v>
      </c>
    </row>
    <row r="427" spans="3:12" ht="15.6" hidden="1">
      <c r="C427" s="39" t="str">
        <f t="shared" si="158"/>
        <v>H</v>
      </c>
      <c r="D427" s="45" t="str">
        <f>Parameter!C$32</f>
        <v>Reverb G2</v>
      </c>
      <c r="E427" s="134">
        <f t="shared" ref="E427:L427" si="182">SUMIF(Y_VRPC_PR, E$10&amp;"_"&amp;$D401&amp;"_"&amp;$D427, VRPanelRev)</f>
        <v>0</v>
      </c>
      <c r="F427" s="135">
        <f t="shared" si="182"/>
        <v>0</v>
      </c>
      <c r="G427" s="135">
        <f t="shared" si="182"/>
        <v>0</v>
      </c>
      <c r="H427" s="135">
        <f t="shared" si="182"/>
        <v>0</v>
      </c>
      <c r="I427" s="135">
        <f t="shared" si="182"/>
        <v>0</v>
      </c>
      <c r="J427" s="135">
        <f t="shared" si="182"/>
        <v>0</v>
      </c>
      <c r="K427" s="135">
        <f t="shared" si="182"/>
        <v>0</v>
      </c>
      <c r="L427" s="136">
        <f t="shared" si="182"/>
        <v>0</v>
      </c>
    </row>
    <row r="428" spans="3:12" ht="15.6" hidden="1">
      <c r="C428" s="39" t="str">
        <f t="shared" si="158"/>
        <v>H</v>
      </c>
      <c r="D428" s="45" t="str">
        <f>Parameter!C$33</f>
        <v>Rift S</v>
      </c>
      <c r="E428" s="134">
        <f t="shared" ref="E428:L428" si="183">SUMIF(Y_VRPC_PR, E$10&amp;"_"&amp;$D401&amp;"_"&amp;$D428, VRPanelRev)</f>
        <v>0</v>
      </c>
      <c r="F428" s="135">
        <f t="shared" si="183"/>
        <v>0</v>
      </c>
      <c r="G428" s="135">
        <f t="shared" si="183"/>
        <v>0</v>
      </c>
      <c r="H428" s="135">
        <f t="shared" si="183"/>
        <v>0</v>
      </c>
      <c r="I428" s="135">
        <f t="shared" si="183"/>
        <v>0</v>
      </c>
      <c r="J428" s="135">
        <f t="shared" si="183"/>
        <v>0</v>
      </c>
      <c r="K428" s="135">
        <f t="shared" si="183"/>
        <v>0</v>
      </c>
      <c r="L428" s="136">
        <f t="shared" si="183"/>
        <v>0</v>
      </c>
    </row>
    <row r="429" spans="3:12" ht="15.6" hidden="1">
      <c r="C429" s="39" t="str">
        <f t="shared" si="158"/>
        <v>H</v>
      </c>
      <c r="D429" s="45" t="str">
        <f>Parameter!C$34</f>
        <v>Single LCD VR headset</v>
      </c>
      <c r="E429" s="134">
        <f t="shared" ref="E429:L429" si="184">SUMIF(Y_VRPC_PR, E$10&amp;"_"&amp;$D401&amp;"_"&amp;$D429, VRPanelRev)</f>
        <v>0</v>
      </c>
      <c r="F429" s="135">
        <f t="shared" si="184"/>
        <v>0</v>
      </c>
      <c r="G429" s="135">
        <f t="shared" si="184"/>
        <v>0</v>
      </c>
      <c r="H429" s="135">
        <f t="shared" si="184"/>
        <v>0</v>
      </c>
      <c r="I429" s="135">
        <f t="shared" si="184"/>
        <v>0</v>
      </c>
      <c r="J429" s="135">
        <f t="shared" si="184"/>
        <v>0</v>
      </c>
      <c r="K429" s="135">
        <f t="shared" si="184"/>
        <v>0</v>
      </c>
      <c r="L429" s="136">
        <f t="shared" si="184"/>
        <v>0</v>
      </c>
    </row>
    <row r="430" spans="3:12" ht="15.6" hidden="1">
      <c r="C430" s="39" t="str">
        <f t="shared" si="158"/>
        <v>H</v>
      </c>
      <c r="D430" s="45" t="str">
        <f>Parameter!C$35</f>
        <v>ThinkReality VRX</v>
      </c>
      <c r="E430" s="134">
        <f t="shared" ref="E430:L430" si="185">SUMIF(Y_VRPC_PR, E$10&amp;"_"&amp;$D401&amp;"_"&amp;$D430, VRPanelRev)</f>
        <v>0</v>
      </c>
      <c r="F430" s="135">
        <f t="shared" si="185"/>
        <v>0</v>
      </c>
      <c r="G430" s="135">
        <f t="shared" si="185"/>
        <v>0</v>
      </c>
      <c r="H430" s="135">
        <f t="shared" si="185"/>
        <v>0</v>
      </c>
      <c r="I430" s="135">
        <f t="shared" si="185"/>
        <v>0</v>
      </c>
      <c r="J430" s="135">
        <f t="shared" si="185"/>
        <v>0</v>
      </c>
      <c r="K430" s="135">
        <f t="shared" si="185"/>
        <v>0</v>
      </c>
      <c r="L430" s="136">
        <f t="shared" si="185"/>
        <v>0</v>
      </c>
    </row>
    <row r="431" spans="3:12" ht="15.6" hidden="1">
      <c r="C431" s="39" t="str">
        <f t="shared" si="158"/>
        <v>H</v>
      </c>
      <c r="D431" s="45" t="str">
        <f>Parameter!C$36</f>
        <v>Vision Pro</v>
      </c>
      <c r="E431" s="134">
        <f t="shared" ref="E431:L431" si="186">SUMIF(Y_VRPC_PR, E$10&amp;"_"&amp;$D401&amp;"_"&amp;$D431, VRPanelRev)</f>
        <v>0</v>
      </c>
      <c r="F431" s="135">
        <f t="shared" si="186"/>
        <v>0</v>
      </c>
      <c r="G431" s="135">
        <f t="shared" si="186"/>
        <v>0</v>
      </c>
      <c r="H431" s="135">
        <f t="shared" si="186"/>
        <v>0</v>
      </c>
      <c r="I431" s="135">
        <f t="shared" si="186"/>
        <v>0</v>
      </c>
      <c r="J431" s="135">
        <f t="shared" si="186"/>
        <v>0</v>
      </c>
      <c r="K431" s="135">
        <f t="shared" si="186"/>
        <v>0</v>
      </c>
      <c r="L431" s="136">
        <f t="shared" si="186"/>
        <v>0</v>
      </c>
    </row>
    <row r="432" spans="3:12" ht="15.6" hidden="1">
      <c r="C432" s="39" t="str">
        <f t="shared" si="158"/>
        <v>H</v>
      </c>
      <c r="D432" s="45" t="str">
        <f>Parameter!C$37</f>
        <v>Vive LCD headsets</v>
      </c>
      <c r="E432" s="134">
        <f t="shared" ref="E432:L432" si="187">SUMIF(Y_VRPC_PR, E$10&amp;"_"&amp;$D401&amp;"_"&amp;$D432, VRPanelRev)</f>
        <v>0</v>
      </c>
      <c r="F432" s="135">
        <f t="shared" si="187"/>
        <v>0</v>
      </c>
      <c r="G432" s="135">
        <f t="shared" si="187"/>
        <v>0</v>
      </c>
      <c r="H432" s="135">
        <f t="shared" si="187"/>
        <v>0</v>
      </c>
      <c r="I432" s="135">
        <f t="shared" si="187"/>
        <v>0</v>
      </c>
      <c r="J432" s="135">
        <f t="shared" si="187"/>
        <v>0</v>
      </c>
      <c r="K432" s="135">
        <f t="shared" si="187"/>
        <v>0</v>
      </c>
      <c r="L432" s="136">
        <f t="shared" si="187"/>
        <v>0</v>
      </c>
    </row>
    <row r="433" spans="3:12" ht="15.6" hidden="1">
      <c r="C433" s="39" t="str">
        <f t="shared" si="158"/>
        <v>H</v>
      </c>
      <c r="D433" s="45" t="str">
        <f>Parameter!C$38</f>
        <v>VR1</v>
      </c>
      <c r="E433" s="134">
        <f t="shared" ref="E433:L433" si="188">SUMIF(Y_VRPC_PR, E$10&amp;"_"&amp;$D401&amp;"_"&amp;$D433, VRPanelRev)</f>
        <v>0</v>
      </c>
      <c r="F433" s="135">
        <f t="shared" si="188"/>
        <v>0</v>
      </c>
      <c r="G433" s="135">
        <f t="shared" si="188"/>
        <v>0</v>
      </c>
      <c r="H433" s="135">
        <f t="shared" si="188"/>
        <v>0</v>
      </c>
      <c r="I433" s="135">
        <f t="shared" si="188"/>
        <v>0</v>
      </c>
      <c r="J433" s="135">
        <f t="shared" si="188"/>
        <v>0</v>
      </c>
      <c r="K433" s="135">
        <f t="shared" si="188"/>
        <v>0</v>
      </c>
      <c r="L433" s="136">
        <f t="shared" si="188"/>
        <v>0</v>
      </c>
    </row>
    <row r="434" spans="3:12" ht="15.6" hidden="1">
      <c r="C434" s="39" t="str">
        <f t="shared" si="158"/>
        <v>H</v>
      </c>
      <c r="D434" s="45" t="str">
        <f>Parameter!C$39</f>
        <v>XR-4</v>
      </c>
      <c r="E434" s="134">
        <f t="shared" ref="E434:L434" si="189">SUMIF(Y_VRPC_PR, E$10&amp;"_"&amp;$D401&amp;"_"&amp;$D434, VRPanelRev)</f>
        <v>0</v>
      </c>
      <c r="F434" s="135">
        <f t="shared" si="189"/>
        <v>0</v>
      </c>
      <c r="G434" s="135">
        <f t="shared" si="189"/>
        <v>0</v>
      </c>
      <c r="H434" s="135">
        <f t="shared" si="189"/>
        <v>0</v>
      </c>
      <c r="I434" s="135">
        <f t="shared" si="189"/>
        <v>0</v>
      </c>
      <c r="J434" s="135">
        <f t="shared" si="189"/>
        <v>0</v>
      </c>
      <c r="K434" s="135">
        <f t="shared" si="189"/>
        <v>0</v>
      </c>
      <c r="L434" s="136">
        <f t="shared" si="189"/>
        <v>0</v>
      </c>
    </row>
    <row r="435" spans="3:12" ht="15.6" hidden="1">
      <c r="C435" s="39" t="str">
        <f t="shared" si="158"/>
        <v>H</v>
      </c>
      <c r="D435" s="45">
        <f>Parameter!C$40</f>
        <v>0</v>
      </c>
      <c r="E435" s="134">
        <f t="shared" ref="E435:L435" si="190">SUMIF(Y_VRPC_PR, E$10&amp;"_"&amp;$D401&amp;"_"&amp;$D435, VRPanelRev)</f>
        <v>0</v>
      </c>
      <c r="F435" s="135">
        <f t="shared" si="190"/>
        <v>0</v>
      </c>
      <c r="G435" s="135">
        <f t="shared" si="190"/>
        <v>0</v>
      </c>
      <c r="H435" s="135">
        <f t="shared" si="190"/>
        <v>0</v>
      </c>
      <c r="I435" s="135">
        <f t="shared" si="190"/>
        <v>0</v>
      </c>
      <c r="J435" s="135">
        <f t="shared" si="190"/>
        <v>0</v>
      </c>
      <c r="K435" s="135">
        <f t="shared" si="190"/>
        <v>0</v>
      </c>
      <c r="L435" s="136">
        <f t="shared" si="190"/>
        <v>0</v>
      </c>
    </row>
    <row r="436" spans="3:12" ht="15.6" hidden="1">
      <c r="C436" s="39" t="str">
        <f t="shared" si="158"/>
        <v>H</v>
      </c>
      <c r="D436" s="45">
        <f>Parameter!C$41</f>
        <v>0</v>
      </c>
      <c r="E436" s="134">
        <f t="shared" ref="E436:L436" si="191">SUMIF(Y_VRPC_PR, E$10&amp;"_"&amp;$D401&amp;"_"&amp;$D436, VRPanelRev)</f>
        <v>0</v>
      </c>
      <c r="F436" s="135">
        <f t="shared" si="191"/>
        <v>0</v>
      </c>
      <c r="G436" s="135">
        <f t="shared" si="191"/>
        <v>0</v>
      </c>
      <c r="H436" s="135">
        <f t="shared" si="191"/>
        <v>0</v>
      </c>
      <c r="I436" s="135">
        <f t="shared" si="191"/>
        <v>0</v>
      </c>
      <c r="J436" s="135">
        <f t="shared" si="191"/>
        <v>0</v>
      </c>
      <c r="K436" s="135">
        <f t="shared" si="191"/>
        <v>0</v>
      </c>
      <c r="L436" s="136">
        <f t="shared" si="191"/>
        <v>0</v>
      </c>
    </row>
    <row r="437" spans="3:12" ht="15.6" hidden="1">
      <c r="C437" s="39" t="str">
        <f t="shared" si="158"/>
        <v>H</v>
      </c>
      <c r="D437" s="45">
        <f>Parameter!C$42</f>
        <v>0</v>
      </c>
      <c r="E437" s="134">
        <f t="shared" ref="E437:L437" si="192">SUMIF(Y_VRPC_PR, E$10&amp;"_"&amp;$D401&amp;"_"&amp;$D437, VRPanelRev)</f>
        <v>0</v>
      </c>
      <c r="F437" s="135">
        <f t="shared" si="192"/>
        <v>0</v>
      </c>
      <c r="G437" s="135">
        <f t="shared" si="192"/>
        <v>0</v>
      </c>
      <c r="H437" s="135">
        <f t="shared" si="192"/>
        <v>0</v>
      </c>
      <c r="I437" s="135">
        <f t="shared" si="192"/>
        <v>0</v>
      </c>
      <c r="J437" s="135">
        <f t="shared" si="192"/>
        <v>0</v>
      </c>
      <c r="K437" s="135">
        <f t="shared" si="192"/>
        <v>0</v>
      </c>
      <c r="L437" s="136">
        <f t="shared" si="192"/>
        <v>0</v>
      </c>
    </row>
    <row r="438" spans="3:12" ht="15.6" hidden="1">
      <c r="C438" s="39" t="str">
        <f t="shared" si="158"/>
        <v>H</v>
      </c>
      <c r="D438" s="45">
        <f>Parameter!C$43</f>
        <v>0</v>
      </c>
      <c r="E438" s="134">
        <f t="shared" ref="E438:L438" si="193">SUMIF(Y_VRPC_PR, E$10&amp;"_"&amp;$D401&amp;"_"&amp;$D438, VRPanelRev)</f>
        <v>0</v>
      </c>
      <c r="F438" s="135">
        <f t="shared" si="193"/>
        <v>0</v>
      </c>
      <c r="G438" s="135">
        <f t="shared" si="193"/>
        <v>0</v>
      </c>
      <c r="H438" s="135">
        <f t="shared" si="193"/>
        <v>0</v>
      </c>
      <c r="I438" s="135">
        <f t="shared" si="193"/>
        <v>0</v>
      </c>
      <c r="J438" s="135">
        <f t="shared" si="193"/>
        <v>0</v>
      </c>
      <c r="K438" s="135">
        <f t="shared" si="193"/>
        <v>0</v>
      </c>
      <c r="L438" s="136">
        <f t="shared" si="193"/>
        <v>0</v>
      </c>
    </row>
    <row r="439" spans="3:12" ht="15.6" hidden="1">
      <c r="C439" s="39" t="str">
        <f t="shared" si="158"/>
        <v>H</v>
      </c>
      <c r="D439" s="45">
        <f>Parameter!C$44</f>
        <v>0</v>
      </c>
      <c r="E439" s="134">
        <f t="shared" ref="E439:L439" si="194">SUMIF(Y_VRPC_PR, E$10&amp;"_"&amp;$D401&amp;"_"&amp;$D439, VRPanelRev)</f>
        <v>0</v>
      </c>
      <c r="F439" s="135">
        <f t="shared" si="194"/>
        <v>0</v>
      </c>
      <c r="G439" s="135">
        <f t="shared" si="194"/>
        <v>0</v>
      </c>
      <c r="H439" s="135">
        <f t="shared" si="194"/>
        <v>0</v>
      </c>
      <c r="I439" s="135">
        <f t="shared" si="194"/>
        <v>0</v>
      </c>
      <c r="J439" s="135">
        <f t="shared" si="194"/>
        <v>0</v>
      </c>
      <c r="K439" s="135">
        <f t="shared" si="194"/>
        <v>0</v>
      </c>
      <c r="L439" s="136">
        <f t="shared" si="194"/>
        <v>0</v>
      </c>
    </row>
    <row r="440" spans="3:12" ht="15.6" hidden="1">
      <c r="C440" s="39" t="str">
        <f t="shared" si="158"/>
        <v>H</v>
      </c>
      <c r="D440" s="45">
        <f>Parameter!C$45</f>
        <v>0</v>
      </c>
      <c r="E440" s="134">
        <f t="shared" ref="E440:L440" si="195">SUMIF(Y_VRPC_PR, E$10&amp;"_"&amp;$D401&amp;"_"&amp;$D440, VRPanelRev)</f>
        <v>0</v>
      </c>
      <c r="F440" s="135">
        <f t="shared" si="195"/>
        <v>0</v>
      </c>
      <c r="G440" s="135">
        <f t="shared" si="195"/>
        <v>0</v>
      </c>
      <c r="H440" s="135">
        <f t="shared" si="195"/>
        <v>0</v>
      </c>
      <c r="I440" s="135">
        <f t="shared" si="195"/>
        <v>0</v>
      </c>
      <c r="J440" s="135">
        <f t="shared" si="195"/>
        <v>0</v>
      </c>
      <c r="K440" s="135">
        <f t="shared" si="195"/>
        <v>0</v>
      </c>
      <c r="L440" s="136">
        <f t="shared" si="195"/>
        <v>0</v>
      </c>
    </row>
    <row r="441" spans="3:12" ht="15.6" hidden="1">
      <c r="C441" s="39" t="str">
        <f t="shared" si="158"/>
        <v>H</v>
      </c>
      <c r="D441" s="45">
        <f>Parameter!C$46</f>
        <v>0</v>
      </c>
      <c r="E441" s="134">
        <f t="shared" ref="E441:L441" si="196">SUMIF(Y_VRPC_PR, E$10&amp;"_"&amp;$D401&amp;"_"&amp;$D441, VRPanelRev)</f>
        <v>0</v>
      </c>
      <c r="F441" s="135">
        <f t="shared" si="196"/>
        <v>0</v>
      </c>
      <c r="G441" s="135">
        <f t="shared" si="196"/>
        <v>0</v>
      </c>
      <c r="H441" s="135">
        <f t="shared" si="196"/>
        <v>0</v>
      </c>
      <c r="I441" s="135">
        <f t="shared" si="196"/>
        <v>0</v>
      </c>
      <c r="J441" s="135">
        <f t="shared" si="196"/>
        <v>0</v>
      </c>
      <c r="K441" s="135">
        <f t="shared" si="196"/>
        <v>0</v>
      </c>
      <c r="L441" s="136">
        <f t="shared" si="196"/>
        <v>0</v>
      </c>
    </row>
    <row r="442" spans="3:12" ht="15.6" hidden="1">
      <c r="C442" s="39" t="str">
        <f t="shared" si="158"/>
        <v>H</v>
      </c>
      <c r="D442" s="45">
        <f>Parameter!C$47</f>
        <v>0</v>
      </c>
      <c r="E442" s="134">
        <f t="shared" ref="E442:L442" si="197">SUMIF(Y_VRPC_PR, E$10&amp;"_"&amp;$D401&amp;"_"&amp;$D442, VRPanelRev)</f>
        <v>0</v>
      </c>
      <c r="F442" s="135">
        <f t="shared" si="197"/>
        <v>0</v>
      </c>
      <c r="G442" s="135">
        <f t="shared" si="197"/>
        <v>0</v>
      </c>
      <c r="H442" s="135">
        <f t="shared" si="197"/>
        <v>0</v>
      </c>
      <c r="I442" s="135">
        <f t="shared" si="197"/>
        <v>0</v>
      </c>
      <c r="J442" s="135">
        <f t="shared" si="197"/>
        <v>0</v>
      </c>
      <c r="K442" s="135">
        <f t="shared" si="197"/>
        <v>0</v>
      </c>
      <c r="L442" s="136">
        <f t="shared" si="197"/>
        <v>0</v>
      </c>
    </row>
    <row r="443" spans="3:12" ht="15.6" hidden="1">
      <c r="C443" s="39" t="str">
        <f t="shared" si="158"/>
        <v>H</v>
      </c>
      <c r="D443" s="45">
        <f>Parameter!C$48</f>
        <v>0</v>
      </c>
      <c r="E443" s="134">
        <f t="shared" ref="E443:L443" si="198">SUMIF(Y_VRPC_PR, E$10&amp;"_"&amp;$D401&amp;"_"&amp;$D443, VRPanelRev)</f>
        <v>0</v>
      </c>
      <c r="F443" s="135">
        <f t="shared" si="198"/>
        <v>0</v>
      </c>
      <c r="G443" s="135">
        <f t="shared" si="198"/>
        <v>0</v>
      </c>
      <c r="H443" s="135">
        <f t="shared" si="198"/>
        <v>0</v>
      </c>
      <c r="I443" s="135">
        <f t="shared" si="198"/>
        <v>0</v>
      </c>
      <c r="J443" s="135">
        <f t="shared" si="198"/>
        <v>0</v>
      </c>
      <c r="K443" s="135">
        <f t="shared" si="198"/>
        <v>0</v>
      </c>
      <c r="L443" s="136">
        <f t="shared" si="198"/>
        <v>0</v>
      </c>
    </row>
    <row r="444" spans="3:12" ht="15.6" hidden="1">
      <c r="C444" s="39" t="str">
        <f t="shared" si="158"/>
        <v>H</v>
      </c>
      <c r="D444" s="45">
        <f>Parameter!C$49</f>
        <v>0</v>
      </c>
      <c r="E444" s="134">
        <f t="shared" ref="E444:L444" si="199">SUMIF(Y_VRPC_PR, E$10&amp;"_"&amp;$D401&amp;"_"&amp;$D444, VRPanelRev)</f>
        <v>0</v>
      </c>
      <c r="F444" s="135">
        <f t="shared" si="199"/>
        <v>0</v>
      </c>
      <c r="G444" s="135">
        <f t="shared" si="199"/>
        <v>0</v>
      </c>
      <c r="H444" s="135">
        <f t="shared" si="199"/>
        <v>0</v>
      </c>
      <c r="I444" s="135">
        <f t="shared" si="199"/>
        <v>0</v>
      </c>
      <c r="J444" s="135">
        <f t="shared" si="199"/>
        <v>0</v>
      </c>
      <c r="K444" s="135">
        <f t="shared" si="199"/>
        <v>0</v>
      </c>
      <c r="L444" s="136">
        <f t="shared" si="199"/>
        <v>0</v>
      </c>
    </row>
    <row r="445" spans="3:12" ht="15.6" hidden="1">
      <c r="C445" s="39" t="str">
        <f t="shared" si="158"/>
        <v>H</v>
      </c>
      <c r="D445" s="45">
        <f>Parameter!C$50</f>
        <v>0</v>
      </c>
      <c r="E445" s="134">
        <f t="shared" ref="E445:L445" si="200">SUMIF(Y_VRPC_PR, E$10&amp;"_"&amp;$D401&amp;"_"&amp;$D445, VRPanelRev)</f>
        <v>0</v>
      </c>
      <c r="F445" s="135">
        <f t="shared" si="200"/>
        <v>0</v>
      </c>
      <c r="G445" s="135">
        <f t="shared" si="200"/>
        <v>0</v>
      </c>
      <c r="H445" s="135">
        <f t="shared" si="200"/>
        <v>0</v>
      </c>
      <c r="I445" s="135">
        <f t="shared" si="200"/>
        <v>0</v>
      </c>
      <c r="J445" s="135">
        <f t="shared" si="200"/>
        <v>0</v>
      </c>
      <c r="K445" s="135">
        <f t="shared" si="200"/>
        <v>0</v>
      </c>
      <c r="L445" s="136">
        <f t="shared" si="200"/>
        <v>0</v>
      </c>
    </row>
    <row r="446" spans="3:12" ht="15.6" hidden="1">
      <c r="C446" s="39" t="str">
        <f t="shared" si="158"/>
        <v>H</v>
      </c>
      <c r="D446" s="45">
        <f>Parameter!C$51</f>
        <v>0</v>
      </c>
      <c r="E446" s="134">
        <f t="shared" ref="E446:L446" si="201">SUMIF(Y_VRPC_PR, E$10&amp;"_"&amp;$D401&amp;"_"&amp;$D446, VRPanelRev)</f>
        <v>0</v>
      </c>
      <c r="F446" s="135">
        <f t="shared" si="201"/>
        <v>0</v>
      </c>
      <c r="G446" s="135">
        <f t="shared" si="201"/>
        <v>0</v>
      </c>
      <c r="H446" s="135">
        <f t="shared" si="201"/>
        <v>0</v>
      </c>
      <c r="I446" s="135">
        <f t="shared" si="201"/>
        <v>0</v>
      </c>
      <c r="J446" s="135">
        <f t="shared" si="201"/>
        <v>0</v>
      </c>
      <c r="K446" s="135">
        <f t="shared" si="201"/>
        <v>0</v>
      </c>
      <c r="L446" s="136">
        <f t="shared" si="201"/>
        <v>0</v>
      </c>
    </row>
    <row r="447" spans="3:12" ht="15.6" hidden="1">
      <c r="C447" s="39" t="str">
        <f t="shared" si="158"/>
        <v>H</v>
      </c>
      <c r="D447" s="45">
        <f>Parameter!C$52</f>
        <v>0</v>
      </c>
      <c r="E447" s="134">
        <f t="shared" ref="E447:L447" si="202">SUMIF(Y_VRPC_PR, E$10&amp;"_"&amp;$D401&amp;"_"&amp;$D447, VRPanelRev)</f>
        <v>0</v>
      </c>
      <c r="F447" s="135">
        <f t="shared" si="202"/>
        <v>0</v>
      </c>
      <c r="G447" s="135">
        <f t="shared" si="202"/>
        <v>0</v>
      </c>
      <c r="H447" s="135">
        <f t="shared" si="202"/>
        <v>0</v>
      </c>
      <c r="I447" s="135">
        <f t="shared" si="202"/>
        <v>0</v>
      </c>
      <c r="J447" s="135">
        <f t="shared" si="202"/>
        <v>0</v>
      </c>
      <c r="K447" s="135">
        <f t="shared" si="202"/>
        <v>0</v>
      </c>
      <c r="L447" s="136">
        <f t="shared" si="202"/>
        <v>0</v>
      </c>
    </row>
    <row r="448" spans="3:12" ht="15.6" hidden="1">
      <c r="C448" s="39" t="str">
        <f t="shared" si="158"/>
        <v>H</v>
      </c>
      <c r="D448" s="45">
        <f>Parameter!C$53</f>
        <v>0</v>
      </c>
      <c r="E448" s="134">
        <f t="shared" ref="E448:L448" si="203">SUMIF(Y_VRPC_PR, E$10&amp;"_"&amp;$D401&amp;"_"&amp;$D448, VRPanelRev)</f>
        <v>0</v>
      </c>
      <c r="F448" s="135">
        <f t="shared" si="203"/>
        <v>0</v>
      </c>
      <c r="G448" s="135">
        <f t="shared" si="203"/>
        <v>0</v>
      </c>
      <c r="H448" s="135">
        <f t="shared" si="203"/>
        <v>0</v>
      </c>
      <c r="I448" s="135">
        <f t="shared" si="203"/>
        <v>0</v>
      </c>
      <c r="J448" s="135">
        <f t="shared" si="203"/>
        <v>0</v>
      </c>
      <c r="K448" s="135">
        <f t="shared" si="203"/>
        <v>0</v>
      </c>
      <c r="L448" s="136">
        <f t="shared" si="203"/>
        <v>0</v>
      </c>
    </row>
    <row r="449" spans="3:12" ht="15.6" hidden="1">
      <c r="C449" s="39" t="str">
        <f t="shared" si="158"/>
        <v>H</v>
      </c>
      <c r="D449" s="45">
        <f>Parameter!C$54</f>
        <v>0</v>
      </c>
      <c r="E449" s="134">
        <f t="shared" ref="E449:L449" si="204">SUMIF(Y_VRPC_PR, E$10&amp;"_"&amp;$D401&amp;"_"&amp;$D449, VRPanelRev)</f>
        <v>0</v>
      </c>
      <c r="F449" s="135">
        <f t="shared" si="204"/>
        <v>0</v>
      </c>
      <c r="G449" s="135">
        <f t="shared" si="204"/>
        <v>0</v>
      </c>
      <c r="H449" s="135">
        <f t="shared" si="204"/>
        <v>0</v>
      </c>
      <c r="I449" s="135">
        <f t="shared" si="204"/>
        <v>0</v>
      </c>
      <c r="J449" s="135">
        <f t="shared" si="204"/>
        <v>0</v>
      </c>
      <c r="K449" s="135">
        <f t="shared" si="204"/>
        <v>0</v>
      </c>
      <c r="L449" s="136">
        <f t="shared" si="204"/>
        <v>0</v>
      </c>
    </row>
    <row r="450" spans="3:12" ht="15.6" hidden="1">
      <c r="C450" s="39" t="str">
        <f t="shared" si="158"/>
        <v>H</v>
      </c>
      <c r="D450" s="45">
        <f>Parameter!C$55</f>
        <v>0</v>
      </c>
      <c r="E450" s="134">
        <f t="shared" ref="E450:L450" si="205">SUMIF(Y_VRPC_PR, E$10&amp;"_"&amp;$D401&amp;"_"&amp;$D450, VRPanelRev)</f>
        <v>0</v>
      </c>
      <c r="F450" s="135">
        <f t="shared" si="205"/>
        <v>0</v>
      </c>
      <c r="G450" s="135">
        <f t="shared" si="205"/>
        <v>0</v>
      </c>
      <c r="H450" s="135">
        <f t="shared" si="205"/>
        <v>0</v>
      </c>
      <c r="I450" s="135">
        <f t="shared" si="205"/>
        <v>0</v>
      </c>
      <c r="J450" s="135">
        <f t="shared" si="205"/>
        <v>0</v>
      </c>
      <c r="K450" s="135">
        <f t="shared" si="205"/>
        <v>0</v>
      </c>
      <c r="L450" s="136">
        <f t="shared" si="205"/>
        <v>0</v>
      </c>
    </row>
    <row r="451" spans="3:12" ht="15.6" hidden="1">
      <c r="C451" s="39" t="str">
        <f t="shared" si="158"/>
        <v>H</v>
      </c>
      <c r="D451" s="45">
        <f>Parameter!C$56</f>
        <v>0</v>
      </c>
      <c r="E451" s="134">
        <f t="shared" ref="E451:L451" si="206">SUMIF(Y_VRPC_PR, E$10&amp;"_"&amp;$D401&amp;"_"&amp;$D451, VRPanelRev)</f>
        <v>0</v>
      </c>
      <c r="F451" s="135">
        <f t="shared" si="206"/>
        <v>0</v>
      </c>
      <c r="G451" s="135">
        <f t="shared" si="206"/>
        <v>0</v>
      </c>
      <c r="H451" s="135">
        <f t="shared" si="206"/>
        <v>0</v>
      </c>
      <c r="I451" s="135">
        <f t="shared" si="206"/>
        <v>0</v>
      </c>
      <c r="J451" s="135">
        <f t="shared" si="206"/>
        <v>0</v>
      </c>
      <c r="K451" s="135">
        <f t="shared" si="206"/>
        <v>0</v>
      </c>
      <c r="L451" s="136">
        <f t="shared" si="206"/>
        <v>0</v>
      </c>
    </row>
    <row r="452" spans="3:12" ht="16.2" hidden="1" thickBot="1">
      <c r="C452" s="39" t="str">
        <f t="shared" si="158"/>
        <v>H</v>
      </c>
      <c r="D452" s="53" t="str">
        <f>Parameter!C$57</f>
        <v>ALL</v>
      </c>
      <c r="E452" s="137">
        <f t="shared" ref="E452:L452" si="207">SUMIF(Y_VRPC_PR, E$10&amp;"_"&amp;$D401&amp;"_"&amp;$D452, VRPanelRev)</f>
        <v>0</v>
      </c>
      <c r="F452" s="138">
        <f t="shared" si="207"/>
        <v>0</v>
      </c>
      <c r="G452" s="138">
        <f t="shared" si="207"/>
        <v>0</v>
      </c>
      <c r="H452" s="138">
        <f t="shared" si="207"/>
        <v>0</v>
      </c>
      <c r="I452" s="138">
        <f t="shared" si="207"/>
        <v>0</v>
      </c>
      <c r="J452" s="138">
        <f t="shared" si="207"/>
        <v>0</v>
      </c>
      <c r="K452" s="138">
        <f t="shared" si="207"/>
        <v>0</v>
      </c>
      <c r="L452" s="139">
        <f t="shared" si="207"/>
        <v>0</v>
      </c>
    </row>
    <row r="453" spans="3:12" ht="15.6" hidden="1">
      <c r="C453" s="39" t="str">
        <f t="shared" si="158"/>
        <v>H</v>
      </c>
      <c r="D453" s="54" t="s">
        <v>87</v>
      </c>
      <c r="E453" s="140">
        <f>SUM(E403:E452)</f>
        <v>0</v>
      </c>
      <c r="F453" s="141">
        <f t="shared" ref="F453:L453" si="208">SUM(F403:F452)</f>
        <v>0</v>
      </c>
      <c r="G453" s="141">
        <f t="shared" si="208"/>
        <v>0</v>
      </c>
      <c r="H453" s="141">
        <f t="shared" si="208"/>
        <v>0</v>
      </c>
      <c r="I453" s="141">
        <f t="shared" si="208"/>
        <v>0</v>
      </c>
      <c r="J453" s="141">
        <f t="shared" si="208"/>
        <v>0</v>
      </c>
      <c r="K453" s="141">
        <f t="shared" si="208"/>
        <v>0</v>
      </c>
      <c r="L453" s="142">
        <f t="shared" si="208"/>
        <v>0</v>
      </c>
    </row>
    <row r="454" spans="3:12" ht="16.2" hidden="1" thickBot="1">
      <c r="C454" s="39" t="str">
        <f t="shared" si="158"/>
        <v>H</v>
      </c>
      <c r="D454" s="46" t="s">
        <v>88</v>
      </c>
      <c r="E454" s="47"/>
      <c r="F454" s="50" t="str">
        <f t="shared" ref="F454:G454" si="209">IF(E453*F453=0, "", F453/E453-1)</f>
        <v/>
      </c>
      <c r="G454" s="50" t="str">
        <f t="shared" si="209"/>
        <v/>
      </c>
      <c r="H454" s="50" t="str">
        <f>IF(G453*H453=0, "", H453/G453-1)</f>
        <v/>
      </c>
      <c r="I454" s="50" t="str">
        <f t="shared" ref="I454:L454" si="210">IF(H453*I453=0, "", I453/H453-1)</f>
        <v/>
      </c>
      <c r="J454" s="50" t="str">
        <f t="shared" si="210"/>
        <v/>
      </c>
      <c r="K454" s="50" t="str">
        <f t="shared" si="210"/>
        <v/>
      </c>
      <c r="L454" s="51" t="str">
        <f t="shared" si="210"/>
        <v/>
      </c>
    </row>
    <row r="455" spans="3:12" ht="15" hidden="1">
      <c r="C455" s="39" t="str">
        <f t="shared" si="158"/>
        <v>H</v>
      </c>
    </row>
    <row r="456" spans="3:12" ht="15.6" hidden="1" thickBot="1">
      <c r="C456" s="39" t="str">
        <f t="shared" si="158"/>
        <v>H</v>
      </c>
    </row>
    <row r="457" spans="3:12" ht="15" hidden="1" thickBot="1">
      <c r="C457" s="57" t="str">
        <f>IF(SUM(E509:L509)=0, "H", "")</f>
        <v>H</v>
      </c>
      <c r="D457" s="52">
        <f>Parameter!G16</f>
        <v>0</v>
      </c>
    </row>
    <row r="458" spans="3:12" ht="16.2" hidden="1" thickBot="1">
      <c r="C458" s="57" t="str">
        <f>IF(SUM(E509:L509)=0, "H", "")</f>
        <v>H</v>
      </c>
      <c r="D458" s="40" t="s">
        <v>85</v>
      </c>
      <c r="E458" s="41" t="s">
        <v>8</v>
      </c>
      <c r="F458" s="42" t="s">
        <v>9</v>
      </c>
      <c r="G458" s="42" t="s">
        <v>10</v>
      </c>
      <c r="H458" s="42" t="s">
        <v>11</v>
      </c>
      <c r="I458" s="42" t="s">
        <v>12</v>
      </c>
      <c r="J458" s="42" t="s">
        <v>13</v>
      </c>
      <c r="K458" s="42" t="s">
        <v>14</v>
      </c>
      <c r="L458" s="43" t="s">
        <v>86</v>
      </c>
    </row>
    <row r="459" spans="3:12" ht="15.6" hidden="1">
      <c r="C459" s="39" t="str">
        <f>IF(SUM(E459:L459)=0, "H", "")</f>
        <v>H</v>
      </c>
      <c r="D459" s="44" t="str">
        <f>Parameter!C$8</f>
        <v>5K VR</v>
      </c>
      <c r="E459" s="134">
        <f t="shared" ref="E459:L459" si="211">SUMIF(Y_VRPC_PR, E$10&amp;"_"&amp;$D457&amp;"_"&amp;$D459, VRPanelRev)</f>
        <v>0</v>
      </c>
      <c r="F459" s="135">
        <f t="shared" si="211"/>
        <v>0</v>
      </c>
      <c r="G459" s="135">
        <f t="shared" si="211"/>
        <v>0</v>
      </c>
      <c r="H459" s="135">
        <f t="shared" si="211"/>
        <v>0</v>
      </c>
      <c r="I459" s="135">
        <f t="shared" si="211"/>
        <v>0</v>
      </c>
      <c r="J459" s="135">
        <f t="shared" si="211"/>
        <v>0</v>
      </c>
      <c r="K459" s="135">
        <f t="shared" si="211"/>
        <v>0</v>
      </c>
      <c r="L459" s="136">
        <f t="shared" si="211"/>
        <v>0</v>
      </c>
    </row>
    <row r="460" spans="3:12" ht="15.6" hidden="1">
      <c r="C460" s="39" t="str">
        <f t="shared" ref="C460:C512" si="212">IF(SUM(E460:L460)=0, "H", "")</f>
        <v>H</v>
      </c>
      <c r="D460" s="44" t="str">
        <f>Parameter!C$9</f>
        <v>Aero</v>
      </c>
      <c r="E460" s="134">
        <f t="shared" ref="E460:L460" si="213">SUMIF(Y_VRPC_PR, E$10&amp;"_"&amp;$D457&amp;"_"&amp;$D460, VRPanelRev)</f>
        <v>0</v>
      </c>
      <c r="F460" s="135">
        <f t="shared" si="213"/>
        <v>0</v>
      </c>
      <c r="G460" s="135">
        <f t="shared" si="213"/>
        <v>0</v>
      </c>
      <c r="H460" s="135">
        <f t="shared" si="213"/>
        <v>0</v>
      </c>
      <c r="I460" s="135">
        <f t="shared" si="213"/>
        <v>0</v>
      </c>
      <c r="J460" s="135">
        <f t="shared" si="213"/>
        <v>0</v>
      </c>
      <c r="K460" s="135">
        <f t="shared" si="213"/>
        <v>0</v>
      </c>
      <c r="L460" s="136">
        <f t="shared" si="213"/>
        <v>0</v>
      </c>
    </row>
    <row r="461" spans="3:12" ht="15.6" hidden="1">
      <c r="C461" s="39" t="str">
        <f t="shared" si="212"/>
        <v>H</v>
      </c>
      <c r="D461" s="45" t="str">
        <f>Parameter!C$10</f>
        <v>Beyond</v>
      </c>
      <c r="E461" s="134">
        <f t="shared" ref="E461:L461" si="214">SUMIF(Y_VRPC_PR, E$10&amp;"_"&amp;$D457&amp;"_"&amp;$D461, VRPanelRev)</f>
        <v>0</v>
      </c>
      <c r="F461" s="135">
        <f t="shared" si="214"/>
        <v>0</v>
      </c>
      <c r="G461" s="135">
        <f t="shared" si="214"/>
        <v>0</v>
      </c>
      <c r="H461" s="135">
        <f t="shared" si="214"/>
        <v>0</v>
      </c>
      <c r="I461" s="135">
        <f t="shared" si="214"/>
        <v>0</v>
      </c>
      <c r="J461" s="135">
        <f t="shared" si="214"/>
        <v>0</v>
      </c>
      <c r="K461" s="135">
        <f t="shared" si="214"/>
        <v>0</v>
      </c>
      <c r="L461" s="136">
        <f t="shared" si="214"/>
        <v>0</v>
      </c>
    </row>
    <row r="462" spans="3:12" ht="15.6" hidden="1">
      <c r="C462" s="39" t="str">
        <f t="shared" si="212"/>
        <v>H</v>
      </c>
      <c r="D462" s="45" t="str">
        <f>Parameter!C$11</f>
        <v>Bionic models</v>
      </c>
      <c r="E462" s="134">
        <f t="shared" ref="E462:L462" si="215">SUMIF(Y_VRPC_PR, E$10&amp;"_"&amp;$D457&amp;"_"&amp;$D462, VRPanelRev)</f>
        <v>0</v>
      </c>
      <c r="F462" s="135">
        <f t="shared" si="215"/>
        <v>0</v>
      </c>
      <c r="G462" s="135">
        <f t="shared" si="215"/>
        <v>0</v>
      </c>
      <c r="H462" s="135">
        <f t="shared" si="215"/>
        <v>0</v>
      </c>
      <c r="I462" s="135">
        <f t="shared" si="215"/>
        <v>0</v>
      </c>
      <c r="J462" s="135">
        <f t="shared" si="215"/>
        <v>0</v>
      </c>
      <c r="K462" s="135">
        <f t="shared" si="215"/>
        <v>0</v>
      </c>
      <c r="L462" s="136">
        <f t="shared" si="215"/>
        <v>0</v>
      </c>
    </row>
    <row r="463" spans="3:12" ht="15.6" hidden="1">
      <c r="C463" s="39" t="str">
        <f t="shared" si="212"/>
        <v>H</v>
      </c>
      <c r="D463" s="45" t="str">
        <f>Parameter!C$12</f>
        <v>Dual LCD VR headset</v>
      </c>
      <c r="E463" s="134">
        <f t="shared" ref="E463:L463" si="216">SUMIF(Y_VRPC_PR, E$10&amp;"_"&amp;$D457&amp;"_"&amp;$D463, VRPanelRev)</f>
        <v>0</v>
      </c>
      <c r="F463" s="135">
        <f t="shared" si="216"/>
        <v>0</v>
      </c>
      <c r="G463" s="135">
        <f t="shared" si="216"/>
        <v>0</v>
      </c>
      <c r="H463" s="135">
        <f t="shared" si="216"/>
        <v>0</v>
      </c>
      <c r="I463" s="135">
        <f t="shared" si="216"/>
        <v>0</v>
      </c>
      <c r="J463" s="135">
        <f t="shared" si="216"/>
        <v>0</v>
      </c>
      <c r="K463" s="135">
        <f t="shared" si="216"/>
        <v>0</v>
      </c>
      <c r="L463" s="136">
        <f t="shared" si="216"/>
        <v>0</v>
      </c>
    </row>
    <row r="464" spans="3:12" ht="15.6" hidden="1">
      <c r="C464" s="39" t="str">
        <f t="shared" si="212"/>
        <v>H</v>
      </c>
      <c r="D464" s="45" t="str">
        <f>Parameter!C$13</f>
        <v>Dual SiOLED headset</v>
      </c>
      <c r="E464" s="134">
        <f t="shared" ref="E464:L464" si="217">SUMIF(Y_VRPC_PR, E$10&amp;"_"&amp;$D457&amp;"_"&amp;$D464, VRPanelRev)</f>
        <v>0</v>
      </c>
      <c r="F464" s="135">
        <f t="shared" si="217"/>
        <v>0</v>
      </c>
      <c r="G464" s="135">
        <f t="shared" si="217"/>
        <v>0</v>
      </c>
      <c r="H464" s="135">
        <f t="shared" si="217"/>
        <v>0</v>
      </c>
      <c r="I464" s="135">
        <f t="shared" si="217"/>
        <v>0</v>
      </c>
      <c r="J464" s="135">
        <f t="shared" si="217"/>
        <v>0</v>
      </c>
      <c r="K464" s="135">
        <f t="shared" si="217"/>
        <v>0</v>
      </c>
      <c r="L464" s="136">
        <f t="shared" si="217"/>
        <v>0</v>
      </c>
    </row>
    <row r="465" spans="3:12" ht="15.6" hidden="1">
      <c r="C465" s="39" t="str">
        <f t="shared" si="212"/>
        <v>H</v>
      </c>
      <c r="D465" s="45" t="str">
        <f>Parameter!C$14</f>
        <v>Index</v>
      </c>
      <c r="E465" s="134">
        <f t="shared" ref="E465:L465" si="218">SUMIF(Y_VRPC_PR, E$10&amp;"_"&amp;$D457&amp;"_"&amp;$D465, VRPanelRev)</f>
        <v>0</v>
      </c>
      <c r="F465" s="135">
        <f t="shared" si="218"/>
        <v>0</v>
      </c>
      <c r="G465" s="135">
        <f t="shared" si="218"/>
        <v>0</v>
      </c>
      <c r="H465" s="135">
        <f t="shared" si="218"/>
        <v>0</v>
      </c>
      <c r="I465" s="135">
        <f t="shared" si="218"/>
        <v>0</v>
      </c>
      <c r="J465" s="135">
        <f t="shared" si="218"/>
        <v>0</v>
      </c>
      <c r="K465" s="135">
        <f t="shared" si="218"/>
        <v>0</v>
      </c>
      <c r="L465" s="136">
        <f t="shared" si="218"/>
        <v>0</v>
      </c>
    </row>
    <row r="466" spans="3:12" ht="15.6" hidden="1">
      <c r="C466" s="39" t="str">
        <f t="shared" si="212"/>
        <v>H</v>
      </c>
      <c r="D466" s="45" t="str">
        <f>Parameter!C$15</f>
        <v>MeganeX</v>
      </c>
      <c r="E466" s="134">
        <f t="shared" ref="E466:L466" si="219">SUMIF(Y_VRPC_PR, E$10&amp;"_"&amp;$D457&amp;"_"&amp;$D466, VRPanelRev)</f>
        <v>0</v>
      </c>
      <c r="F466" s="135">
        <f t="shared" si="219"/>
        <v>0</v>
      </c>
      <c r="G466" s="135">
        <f t="shared" si="219"/>
        <v>0</v>
      </c>
      <c r="H466" s="135">
        <f t="shared" si="219"/>
        <v>0</v>
      </c>
      <c r="I466" s="135">
        <f t="shared" si="219"/>
        <v>0</v>
      </c>
      <c r="J466" s="135">
        <f t="shared" si="219"/>
        <v>0</v>
      </c>
      <c r="K466" s="135">
        <f t="shared" si="219"/>
        <v>0</v>
      </c>
      <c r="L466" s="136">
        <f t="shared" si="219"/>
        <v>0</v>
      </c>
    </row>
    <row r="467" spans="3:12" ht="15.6" hidden="1">
      <c r="C467" s="39" t="str">
        <f t="shared" si="212"/>
        <v>H</v>
      </c>
      <c r="D467" s="45" t="str">
        <f>Parameter!C$16</f>
        <v>MeganeX Superlight 8K</v>
      </c>
      <c r="E467" s="134">
        <f t="shared" ref="E467:L467" si="220">SUMIF(Y_VRPC_PR, E$10&amp;"_"&amp;$D457&amp;"_"&amp;$D467, VRPanelRev)</f>
        <v>0</v>
      </c>
      <c r="F467" s="135">
        <f t="shared" si="220"/>
        <v>0</v>
      </c>
      <c r="G467" s="135">
        <f t="shared" si="220"/>
        <v>0</v>
      </c>
      <c r="H467" s="135">
        <f t="shared" si="220"/>
        <v>0</v>
      </c>
      <c r="I467" s="135">
        <f t="shared" si="220"/>
        <v>0</v>
      </c>
      <c r="J467" s="135">
        <f t="shared" si="220"/>
        <v>0</v>
      </c>
      <c r="K467" s="135">
        <f t="shared" si="220"/>
        <v>0</v>
      </c>
      <c r="L467" s="136">
        <f t="shared" si="220"/>
        <v>0</v>
      </c>
    </row>
    <row r="468" spans="3:12" ht="15.6" hidden="1">
      <c r="C468" s="39" t="str">
        <f t="shared" si="212"/>
        <v>H</v>
      </c>
      <c r="D468" s="45" t="str">
        <f>Parameter!C$17</f>
        <v>Neo 3 / G3</v>
      </c>
      <c r="E468" s="134">
        <f t="shared" ref="E468:L468" si="221">SUMIF(Y_VRPC_PR, E$10&amp;"_"&amp;$D457&amp;"_"&amp;$D468, VRPanelRev)</f>
        <v>0</v>
      </c>
      <c r="F468" s="135">
        <f t="shared" si="221"/>
        <v>0</v>
      </c>
      <c r="G468" s="135">
        <f t="shared" si="221"/>
        <v>0</v>
      </c>
      <c r="H468" s="135">
        <f t="shared" si="221"/>
        <v>0</v>
      </c>
      <c r="I468" s="135">
        <f t="shared" si="221"/>
        <v>0</v>
      </c>
      <c r="J468" s="135">
        <f t="shared" si="221"/>
        <v>0</v>
      </c>
      <c r="K468" s="135">
        <f t="shared" si="221"/>
        <v>0</v>
      </c>
      <c r="L468" s="136">
        <f t="shared" si="221"/>
        <v>0</v>
      </c>
    </row>
    <row r="469" spans="3:12" ht="15.6" hidden="1">
      <c r="C469" s="39" t="str">
        <f t="shared" si="212"/>
        <v>H</v>
      </c>
      <c r="D469" s="45" t="str">
        <f>Parameter!C$18</f>
        <v>OLED VR headset</v>
      </c>
      <c r="E469" s="134">
        <f t="shared" ref="E469:L469" si="222">SUMIF(Y_VRPC_PR, E$10&amp;"_"&amp;$D457&amp;"_"&amp;$D469, VRPanelRev)</f>
        <v>0</v>
      </c>
      <c r="F469" s="135">
        <f t="shared" si="222"/>
        <v>0</v>
      </c>
      <c r="G469" s="135">
        <f t="shared" si="222"/>
        <v>0</v>
      </c>
      <c r="H469" s="135">
        <f t="shared" si="222"/>
        <v>0</v>
      </c>
      <c r="I469" s="135">
        <f t="shared" si="222"/>
        <v>0</v>
      </c>
      <c r="J469" s="135">
        <f t="shared" si="222"/>
        <v>0</v>
      </c>
      <c r="K469" s="135">
        <f t="shared" si="222"/>
        <v>0</v>
      </c>
      <c r="L469" s="136">
        <f t="shared" si="222"/>
        <v>0</v>
      </c>
    </row>
    <row r="470" spans="3:12" ht="15.6" hidden="1">
      <c r="C470" s="39" t="str">
        <f t="shared" si="212"/>
        <v>H</v>
      </c>
      <c r="D470" s="45" t="str">
        <f>Parameter!C$19</f>
        <v>P1 family</v>
      </c>
      <c r="E470" s="134">
        <f t="shared" ref="E470:L470" si="223">SUMIF(Y_VRPC_PR, E$10&amp;"_"&amp;$D457&amp;"_"&amp;$D470, VRPanelRev)</f>
        <v>0</v>
      </c>
      <c r="F470" s="135">
        <f t="shared" si="223"/>
        <v>0</v>
      </c>
      <c r="G470" s="135">
        <f t="shared" si="223"/>
        <v>0</v>
      </c>
      <c r="H470" s="135">
        <f t="shared" si="223"/>
        <v>0</v>
      </c>
      <c r="I470" s="135">
        <f t="shared" si="223"/>
        <v>0</v>
      </c>
      <c r="J470" s="135">
        <f t="shared" si="223"/>
        <v>0</v>
      </c>
      <c r="K470" s="135">
        <f t="shared" si="223"/>
        <v>0</v>
      </c>
      <c r="L470" s="136">
        <f t="shared" si="223"/>
        <v>0</v>
      </c>
    </row>
    <row r="471" spans="3:12" ht="15.6" hidden="1">
      <c r="C471" s="39" t="str">
        <f t="shared" si="212"/>
        <v>H</v>
      </c>
      <c r="D471" s="45" t="str">
        <f>Parameter!C$20</f>
        <v>Pico 4</v>
      </c>
      <c r="E471" s="134">
        <f t="shared" ref="E471:L471" si="224">SUMIF(Y_VRPC_PR, E$10&amp;"_"&amp;$D457&amp;"_"&amp;$D471, VRPanelRev)</f>
        <v>0</v>
      </c>
      <c r="F471" s="135">
        <f t="shared" si="224"/>
        <v>0</v>
      </c>
      <c r="G471" s="135">
        <f t="shared" si="224"/>
        <v>0</v>
      </c>
      <c r="H471" s="135">
        <f t="shared" si="224"/>
        <v>0</v>
      </c>
      <c r="I471" s="135">
        <f t="shared" si="224"/>
        <v>0</v>
      </c>
      <c r="J471" s="135">
        <f t="shared" si="224"/>
        <v>0</v>
      </c>
      <c r="K471" s="135">
        <f t="shared" si="224"/>
        <v>0</v>
      </c>
      <c r="L471" s="136">
        <f t="shared" si="224"/>
        <v>0</v>
      </c>
    </row>
    <row r="472" spans="3:12" ht="15.6" hidden="1">
      <c r="C472" s="39" t="str">
        <f t="shared" si="212"/>
        <v>H</v>
      </c>
      <c r="D472" s="45" t="str">
        <f>Parameter!C$21</f>
        <v>Pimax VR</v>
      </c>
      <c r="E472" s="134">
        <f t="shared" ref="E472:L472" si="225">SUMIF(Y_VRPC_PR, E$10&amp;"_"&amp;$D457&amp;"_"&amp;$D472, VRPanelRev)</f>
        <v>0</v>
      </c>
      <c r="F472" s="135">
        <f t="shared" si="225"/>
        <v>0</v>
      </c>
      <c r="G472" s="135">
        <f t="shared" si="225"/>
        <v>0</v>
      </c>
      <c r="H472" s="135">
        <f t="shared" si="225"/>
        <v>0</v>
      </c>
      <c r="I472" s="135">
        <f t="shared" si="225"/>
        <v>0</v>
      </c>
      <c r="J472" s="135">
        <f t="shared" si="225"/>
        <v>0</v>
      </c>
      <c r="K472" s="135">
        <f t="shared" si="225"/>
        <v>0</v>
      </c>
      <c r="L472" s="136">
        <f t="shared" si="225"/>
        <v>0</v>
      </c>
    </row>
    <row r="473" spans="3:12" ht="15.6" hidden="1">
      <c r="C473" s="39" t="str">
        <f t="shared" si="212"/>
        <v>H</v>
      </c>
      <c r="D473" s="45" t="str">
        <f>Parameter!C$22</f>
        <v>PlayStation VR</v>
      </c>
      <c r="E473" s="134">
        <f t="shared" ref="E473:L473" si="226">SUMIF(Y_VRPC_PR, E$10&amp;"_"&amp;$D457&amp;"_"&amp;$D473, VRPanelRev)</f>
        <v>0</v>
      </c>
      <c r="F473" s="135">
        <f t="shared" si="226"/>
        <v>0</v>
      </c>
      <c r="G473" s="135">
        <f t="shared" si="226"/>
        <v>0</v>
      </c>
      <c r="H473" s="135">
        <f t="shared" si="226"/>
        <v>0</v>
      </c>
      <c r="I473" s="135">
        <f t="shared" si="226"/>
        <v>0</v>
      </c>
      <c r="J473" s="135">
        <f t="shared" si="226"/>
        <v>0</v>
      </c>
      <c r="K473" s="135">
        <f t="shared" si="226"/>
        <v>0</v>
      </c>
      <c r="L473" s="136">
        <f t="shared" si="226"/>
        <v>0</v>
      </c>
    </row>
    <row r="474" spans="3:12" ht="15.6" hidden="1">
      <c r="C474" s="39" t="str">
        <f t="shared" si="212"/>
        <v>H</v>
      </c>
      <c r="D474" s="45" t="str">
        <f>Parameter!C$23</f>
        <v>PlayStation VR2</v>
      </c>
      <c r="E474" s="134">
        <f t="shared" ref="E474:L474" si="227">SUMIF(Y_VRPC_PR, E$10&amp;"_"&amp;$D457&amp;"_"&amp;$D474, VRPanelRev)</f>
        <v>0</v>
      </c>
      <c r="F474" s="135">
        <f t="shared" si="227"/>
        <v>0</v>
      </c>
      <c r="G474" s="135">
        <f t="shared" si="227"/>
        <v>0</v>
      </c>
      <c r="H474" s="135">
        <f t="shared" si="227"/>
        <v>0</v>
      </c>
      <c r="I474" s="135">
        <f t="shared" si="227"/>
        <v>0</v>
      </c>
      <c r="J474" s="135">
        <f t="shared" si="227"/>
        <v>0</v>
      </c>
      <c r="K474" s="135">
        <f t="shared" si="227"/>
        <v>0</v>
      </c>
      <c r="L474" s="136">
        <f t="shared" si="227"/>
        <v>0</v>
      </c>
    </row>
    <row r="475" spans="3:12" ht="15.6" hidden="1">
      <c r="C475" s="39" t="str">
        <f t="shared" si="212"/>
        <v>H</v>
      </c>
      <c r="D475" s="45" t="str">
        <f>Parameter!C$24</f>
        <v>Project Moohan</v>
      </c>
      <c r="E475" s="134">
        <f t="shared" ref="E475:L475" si="228">SUMIF(Y_VRPC_PR, E$10&amp;"_"&amp;$D457&amp;"_"&amp;$D475, VRPanelRev)</f>
        <v>0</v>
      </c>
      <c r="F475" s="135">
        <f t="shared" si="228"/>
        <v>0</v>
      </c>
      <c r="G475" s="135">
        <f t="shared" si="228"/>
        <v>0</v>
      </c>
      <c r="H475" s="135">
        <f t="shared" si="228"/>
        <v>0</v>
      </c>
      <c r="I475" s="135">
        <f t="shared" si="228"/>
        <v>0</v>
      </c>
      <c r="J475" s="135">
        <f t="shared" si="228"/>
        <v>0</v>
      </c>
      <c r="K475" s="135">
        <f t="shared" si="228"/>
        <v>0</v>
      </c>
      <c r="L475" s="136">
        <f t="shared" si="228"/>
        <v>0</v>
      </c>
    </row>
    <row r="476" spans="3:12" ht="15.6" hidden="1">
      <c r="C476" s="39" t="str">
        <f t="shared" si="212"/>
        <v>H</v>
      </c>
      <c r="D476" s="45" t="str">
        <f>Parameter!C$25</f>
        <v>Quest</v>
      </c>
      <c r="E476" s="134">
        <f t="shared" ref="E476:L476" si="229">SUMIF(Y_VRPC_PR, E$10&amp;"_"&amp;$D457&amp;"_"&amp;$D476, VRPanelRev)</f>
        <v>0</v>
      </c>
      <c r="F476" s="135">
        <f t="shared" si="229"/>
        <v>0</v>
      </c>
      <c r="G476" s="135">
        <f t="shared" si="229"/>
        <v>0</v>
      </c>
      <c r="H476" s="135">
        <f t="shared" si="229"/>
        <v>0</v>
      </c>
      <c r="I476" s="135">
        <f t="shared" si="229"/>
        <v>0</v>
      </c>
      <c r="J476" s="135">
        <f t="shared" si="229"/>
        <v>0</v>
      </c>
      <c r="K476" s="135">
        <f t="shared" si="229"/>
        <v>0</v>
      </c>
      <c r="L476" s="136">
        <f t="shared" si="229"/>
        <v>0</v>
      </c>
    </row>
    <row r="477" spans="3:12" ht="15.6" hidden="1">
      <c r="C477" s="39" t="str">
        <f t="shared" si="212"/>
        <v>H</v>
      </c>
      <c r="D477" s="45" t="str">
        <f>Parameter!C$26</f>
        <v>Quest 2</v>
      </c>
      <c r="E477" s="134">
        <f t="shared" ref="E477:L477" si="230">SUMIF(Y_VRPC_PR, E$10&amp;"_"&amp;$D457&amp;"_"&amp;$D477, VRPanelRev)</f>
        <v>0</v>
      </c>
      <c r="F477" s="135">
        <f t="shared" si="230"/>
        <v>0</v>
      </c>
      <c r="G477" s="135">
        <f t="shared" si="230"/>
        <v>0</v>
      </c>
      <c r="H477" s="135">
        <f t="shared" si="230"/>
        <v>0</v>
      </c>
      <c r="I477" s="135">
        <f t="shared" si="230"/>
        <v>0</v>
      </c>
      <c r="J477" s="135">
        <f t="shared" si="230"/>
        <v>0</v>
      </c>
      <c r="K477" s="135">
        <f t="shared" si="230"/>
        <v>0</v>
      </c>
      <c r="L477" s="136">
        <f t="shared" si="230"/>
        <v>0</v>
      </c>
    </row>
    <row r="478" spans="3:12" ht="15.6" hidden="1">
      <c r="C478" s="39" t="str">
        <f t="shared" si="212"/>
        <v>H</v>
      </c>
      <c r="D478" s="45" t="str">
        <f>Parameter!C$27</f>
        <v>Quest 3</v>
      </c>
      <c r="E478" s="134">
        <f t="shared" ref="E478:L478" si="231">SUMIF(Y_VRPC_PR, E$10&amp;"_"&amp;$D457&amp;"_"&amp;$D478, VRPanelRev)</f>
        <v>0</v>
      </c>
      <c r="F478" s="135">
        <f t="shared" si="231"/>
        <v>0</v>
      </c>
      <c r="G478" s="135">
        <f t="shared" si="231"/>
        <v>0</v>
      </c>
      <c r="H478" s="135">
        <f t="shared" si="231"/>
        <v>0</v>
      </c>
      <c r="I478" s="135">
        <f t="shared" si="231"/>
        <v>0</v>
      </c>
      <c r="J478" s="135">
        <f t="shared" si="231"/>
        <v>0</v>
      </c>
      <c r="K478" s="135">
        <f t="shared" si="231"/>
        <v>0</v>
      </c>
      <c r="L478" s="136">
        <f t="shared" si="231"/>
        <v>0</v>
      </c>
    </row>
    <row r="479" spans="3:12" ht="15.6" hidden="1">
      <c r="C479" s="39" t="str">
        <f t="shared" si="212"/>
        <v>H</v>
      </c>
      <c r="D479" s="45" t="str">
        <f>Parameter!C$28</f>
        <v>Quest 3S</v>
      </c>
      <c r="E479" s="134">
        <f t="shared" ref="E479:L479" si="232">SUMIF(Y_VRPC_PR, E$10&amp;"_"&amp;$D457&amp;"_"&amp;$D479, VRPanelRev)</f>
        <v>0</v>
      </c>
      <c r="F479" s="135">
        <f t="shared" si="232"/>
        <v>0</v>
      </c>
      <c r="G479" s="135">
        <f t="shared" si="232"/>
        <v>0</v>
      </c>
      <c r="H479" s="135">
        <f t="shared" si="232"/>
        <v>0</v>
      </c>
      <c r="I479" s="135">
        <f t="shared" si="232"/>
        <v>0</v>
      </c>
      <c r="J479" s="135">
        <f t="shared" si="232"/>
        <v>0</v>
      </c>
      <c r="K479" s="135">
        <f t="shared" si="232"/>
        <v>0</v>
      </c>
      <c r="L479" s="136">
        <f t="shared" si="232"/>
        <v>0</v>
      </c>
    </row>
    <row r="480" spans="3:12" ht="15.6" hidden="1">
      <c r="C480" s="39" t="str">
        <f t="shared" si="212"/>
        <v>H</v>
      </c>
      <c r="D480" s="45" t="str">
        <f>Parameter!C$29</f>
        <v>Quest Pro</v>
      </c>
      <c r="E480" s="134">
        <f t="shared" ref="E480:L480" si="233">SUMIF(Y_VRPC_PR, E$10&amp;"_"&amp;$D457&amp;"_"&amp;$D480, VRPanelRev)</f>
        <v>0</v>
      </c>
      <c r="F480" s="135">
        <f t="shared" si="233"/>
        <v>0</v>
      </c>
      <c r="G480" s="135">
        <f t="shared" si="233"/>
        <v>0</v>
      </c>
      <c r="H480" s="135">
        <f t="shared" si="233"/>
        <v>0</v>
      </c>
      <c r="I480" s="135">
        <f t="shared" si="233"/>
        <v>0</v>
      </c>
      <c r="J480" s="135">
        <f t="shared" si="233"/>
        <v>0</v>
      </c>
      <c r="K480" s="135">
        <f t="shared" si="233"/>
        <v>0</v>
      </c>
      <c r="L480" s="136">
        <f t="shared" si="233"/>
        <v>0</v>
      </c>
    </row>
    <row r="481" spans="3:12" ht="15.6" hidden="1">
      <c r="C481" s="39" t="str">
        <f t="shared" si="212"/>
        <v>H</v>
      </c>
      <c r="D481" s="45" t="str">
        <f>Parameter!C$30</f>
        <v>R1</v>
      </c>
      <c r="E481" s="134">
        <f t="shared" ref="E481:L481" si="234">SUMIF(Y_VRPC_PR, E$10&amp;"_"&amp;$D457&amp;"_"&amp;$D481, VRPanelRev)</f>
        <v>0</v>
      </c>
      <c r="F481" s="135">
        <f t="shared" si="234"/>
        <v>0</v>
      </c>
      <c r="G481" s="135">
        <f t="shared" si="234"/>
        <v>0</v>
      </c>
      <c r="H481" s="135">
        <f t="shared" si="234"/>
        <v>0</v>
      </c>
      <c r="I481" s="135">
        <f t="shared" si="234"/>
        <v>0</v>
      </c>
      <c r="J481" s="135">
        <f t="shared" si="234"/>
        <v>0</v>
      </c>
      <c r="K481" s="135">
        <f t="shared" si="234"/>
        <v>0</v>
      </c>
      <c r="L481" s="136">
        <f t="shared" si="234"/>
        <v>0</v>
      </c>
    </row>
    <row r="482" spans="3:12" ht="15.6" hidden="1">
      <c r="C482" s="39" t="str">
        <f t="shared" si="212"/>
        <v>H</v>
      </c>
      <c r="D482" s="45" t="str">
        <f>Parameter!C$31</f>
        <v>Reverb</v>
      </c>
      <c r="E482" s="134">
        <f t="shared" ref="E482:L482" si="235">SUMIF(Y_VRPC_PR, E$10&amp;"_"&amp;$D457&amp;"_"&amp;$D482, VRPanelRev)</f>
        <v>0</v>
      </c>
      <c r="F482" s="135">
        <f t="shared" si="235"/>
        <v>0</v>
      </c>
      <c r="G482" s="135">
        <f t="shared" si="235"/>
        <v>0</v>
      </c>
      <c r="H482" s="135">
        <f t="shared" si="235"/>
        <v>0</v>
      </c>
      <c r="I482" s="135">
        <f t="shared" si="235"/>
        <v>0</v>
      </c>
      <c r="J482" s="135">
        <f t="shared" si="235"/>
        <v>0</v>
      </c>
      <c r="K482" s="135">
        <f t="shared" si="235"/>
        <v>0</v>
      </c>
      <c r="L482" s="136">
        <f t="shared" si="235"/>
        <v>0</v>
      </c>
    </row>
    <row r="483" spans="3:12" ht="15.6" hidden="1">
      <c r="C483" s="39" t="str">
        <f t="shared" si="212"/>
        <v>H</v>
      </c>
      <c r="D483" s="45" t="str">
        <f>Parameter!C$32</f>
        <v>Reverb G2</v>
      </c>
      <c r="E483" s="134">
        <f t="shared" ref="E483:L483" si="236">SUMIF(Y_VRPC_PR, E$10&amp;"_"&amp;$D457&amp;"_"&amp;$D483, VRPanelRev)</f>
        <v>0</v>
      </c>
      <c r="F483" s="135">
        <f t="shared" si="236"/>
        <v>0</v>
      </c>
      <c r="G483" s="135">
        <f t="shared" si="236"/>
        <v>0</v>
      </c>
      <c r="H483" s="135">
        <f t="shared" si="236"/>
        <v>0</v>
      </c>
      <c r="I483" s="135">
        <f t="shared" si="236"/>
        <v>0</v>
      </c>
      <c r="J483" s="135">
        <f t="shared" si="236"/>
        <v>0</v>
      </c>
      <c r="K483" s="135">
        <f t="shared" si="236"/>
        <v>0</v>
      </c>
      <c r="L483" s="136">
        <f t="shared" si="236"/>
        <v>0</v>
      </c>
    </row>
    <row r="484" spans="3:12" ht="15.6" hidden="1">
      <c r="C484" s="39" t="str">
        <f t="shared" si="212"/>
        <v>H</v>
      </c>
      <c r="D484" s="45" t="str">
        <f>Parameter!C$33</f>
        <v>Rift S</v>
      </c>
      <c r="E484" s="134">
        <f t="shared" ref="E484:L484" si="237">SUMIF(Y_VRPC_PR, E$10&amp;"_"&amp;$D457&amp;"_"&amp;$D484, VRPanelRev)</f>
        <v>0</v>
      </c>
      <c r="F484" s="135">
        <f t="shared" si="237"/>
        <v>0</v>
      </c>
      <c r="G484" s="135">
        <f t="shared" si="237"/>
        <v>0</v>
      </c>
      <c r="H484" s="135">
        <f t="shared" si="237"/>
        <v>0</v>
      </c>
      <c r="I484" s="135">
        <f t="shared" si="237"/>
        <v>0</v>
      </c>
      <c r="J484" s="135">
        <f t="shared" si="237"/>
        <v>0</v>
      </c>
      <c r="K484" s="135">
        <f t="shared" si="237"/>
        <v>0</v>
      </c>
      <c r="L484" s="136">
        <f t="shared" si="237"/>
        <v>0</v>
      </c>
    </row>
    <row r="485" spans="3:12" ht="15.6" hidden="1">
      <c r="C485" s="39" t="str">
        <f t="shared" si="212"/>
        <v>H</v>
      </c>
      <c r="D485" s="45" t="str">
        <f>Parameter!C$34</f>
        <v>Single LCD VR headset</v>
      </c>
      <c r="E485" s="134">
        <f t="shared" ref="E485:L485" si="238">SUMIF(Y_VRPC_PR, E$10&amp;"_"&amp;$D457&amp;"_"&amp;$D485, VRPanelRev)</f>
        <v>0</v>
      </c>
      <c r="F485" s="135">
        <f t="shared" si="238"/>
        <v>0</v>
      </c>
      <c r="G485" s="135">
        <f t="shared" si="238"/>
        <v>0</v>
      </c>
      <c r="H485" s="135">
        <f t="shared" si="238"/>
        <v>0</v>
      </c>
      <c r="I485" s="135">
        <f t="shared" si="238"/>
        <v>0</v>
      </c>
      <c r="J485" s="135">
        <f t="shared" si="238"/>
        <v>0</v>
      </c>
      <c r="K485" s="135">
        <f t="shared" si="238"/>
        <v>0</v>
      </c>
      <c r="L485" s="136">
        <f t="shared" si="238"/>
        <v>0</v>
      </c>
    </row>
    <row r="486" spans="3:12" ht="15.6" hidden="1">
      <c r="C486" s="39" t="str">
        <f t="shared" si="212"/>
        <v>H</v>
      </c>
      <c r="D486" s="45" t="str">
        <f>Parameter!C$35</f>
        <v>ThinkReality VRX</v>
      </c>
      <c r="E486" s="134">
        <f t="shared" ref="E486:L486" si="239">SUMIF(Y_VRPC_PR, E$10&amp;"_"&amp;$D457&amp;"_"&amp;$D486, VRPanelRev)</f>
        <v>0</v>
      </c>
      <c r="F486" s="135">
        <f t="shared" si="239"/>
        <v>0</v>
      </c>
      <c r="G486" s="135">
        <f t="shared" si="239"/>
        <v>0</v>
      </c>
      <c r="H486" s="135">
        <f t="shared" si="239"/>
        <v>0</v>
      </c>
      <c r="I486" s="135">
        <f t="shared" si="239"/>
        <v>0</v>
      </c>
      <c r="J486" s="135">
        <f t="shared" si="239"/>
        <v>0</v>
      </c>
      <c r="K486" s="135">
        <f t="shared" si="239"/>
        <v>0</v>
      </c>
      <c r="L486" s="136">
        <f t="shared" si="239"/>
        <v>0</v>
      </c>
    </row>
    <row r="487" spans="3:12" ht="15.6" hidden="1">
      <c r="C487" s="39" t="str">
        <f t="shared" si="212"/>
        <v>H</v>
      </c>
      <c r="D487" s="45" t="str">
        <f>Parameter!C$36</f>
        <v>Vision Pro</v>
      </c>
      <c r="E487" s="134">
        <f t="shared" ref="E487:L487" si="240">SUMIF(Y_VRPC_PR, E$10&amp;"_"&amp;$D457&amp;"_"&amp;$D487, VRPanelRev)</f>
        <v>0</v>
      </c>
      <c r="F487" s="135">
        <f t="shared" si="240"/>
        <v>0</v>
      </c>
      <c r="G487" s="135">
        <f t="shared" si="240"/>
        <v>0</v>
      </c>
      <c r="H487" s="135">
        <f t="shared" si="240"/>
        <v>0</v>
      </c>
      <c r="I487" s="135">
        <f t="shared" si="240"/>
        <v>0</v>
      </c>
      <c r="J487" s="135">
        <f t="shared" si="240"/>
        <v>0</v>
      </c>
      <c r="K487" s="135">
        <f t="shared" si="240"/>
        <v>0</v>
      </c>
      <c r="L487" s="136">
        <f t="shared" si="240"/>
        <v>0</v>
      </c>
    </row>
    <row r="488" spans="3:12" ht="15.6" hidden="1">
      <c r="C488" s="39" t="str">
        <f t="shared" si="212"/>
        <v>H</v>
      </c>
      <c r="D488" s="45" t="str">
        <f>Parameter!C$37</f>
        <v>Vive LCD headsets</v>
      </c>
      <c r="E488" s="134">
        <f t="shared" ref="E488:L488" si="241">SUMIF(Y_VRPC_PR, E$10&amp;"_"&amp;$D457&amp;"_"&amp;$D488, VRPanelRev)</f>
        <v>0</v>
      </c>
      <c r="F488" s="135">
        <f t="shared" si="241"/>
        <v>0</v>
      </c>
      <c r="G488" s="135">
        <f t="shared" si="241"/>
        <v>0</v>
      </c>
      <c r="H488" s="135">
        <f t="shared" si="241"/>
        <v>0</v>
      </c>
      <c r="I488" s="135">
        <f t="shared" si="241"/>
        <v>0</v>
      </c>
      <c r="J488" s="135">
        <f t="shared" si="241"/>
        <v>0</v>
      </c>
      <c r="K488" s="135">
        <f t="shared" si="241"/>
        <v>0</v>
      </c>
      <c r="L488" s="136">
        <f t="shared" si="241"/>
        <v>0</v>
      </c>
    </row>
    <row r="489" spans="3:12" ht="15.6" hidden="1">
      <c r="C489" s="39" t="str">
        <f t="shared" si="212"/>
        <v>H</v>
      </c>
      <c r="D489" s="45" t="str">
        <f>Parameter!C$38</f>
        <v>VR1</v>
      </c>
      <c r="E489" s="134">
        <f t="shared" ref="E489:L489" si="242">SUMIF(Y_VRPC_PR, E$10&amp;"_"&amp;$D457&amp;"_"&amp;$D489, VRPanelRev)</f>
        <v>0</v>
      </c>
      <c r="F489" s="135">
        <f t="shared" si="242"/>
        <v>0</v>
      </c>
      <c r="G489" s="135">
        <f t="shared" si="242"/>
        <v>0</v>
      </c>
      <c r="H489" s="135">
        <f t="shared" si="242"/>
        <v>0</v>
      </c>
      <c r="I489" s="135">
        <f t="shared" si="242"/>
        <v>0</v>
      </c>
      <c r="J489" s="135">
        <f t="shared" si="242"/>
        <v>0</v>
      </c>
      <c r="K489" s="135">
        <f t="shared" si="242"/>
        <v>0</v>
      </c>
      <c r="L489" s="136">
        <f t="shared" si="242"/>
        <v>0</v>
      </c>
    </row>
    <row r="490" spans="3:12" ht="15.6" hidden="1">
      <c r="C490" s="39" t="str">
        <f t="shared" si="212"/>
        <v>H</v>
      </c>
      <c r="D490" s="45" t="str">
        <f>Parameter!C$39</f>
        <v>XR-4</v>
      </c>
      <c r="E490" s="134">
        <f t="shared" ref="E490:L490" si="243">SUMIF(Y_VRPC_PR, E$10&amp;"_"&amp;$D457&amp;"_"&amp;$D490, VRPanelRev)</f>
        <v>0</v>
      </c>
      <c r="F490" s="135">
        <f t="shared" si="243"/>
        <v>0</v>
      </c>
      <c r="G490" s="135">
        <f t="shared" si="243"/>
        <v>0</v>
      </c>
      <c r="H490" s="135">
        <f t="shared" si="243"/>
        <v>0</v>
      </c>
      <c r="I490" s="135">
        <f t="shared" si="243"/>
        <v>0</v>
      </c>
      <c r="J490" s="135">
        <f t="shared" si="243"/>
        <v>0</v>
      </c>
      <c r="K490" s="135">
        <f t="shared" si="243"/>
        <v>0</v>
      </c>
      <c r="L490" s="136">
        <f t="shared" si="243"/>
        <v>0</v>
      </c>
    </row>
    <row r="491" spans="3:12" ht="15.6" hidden="1">
      <c r="C491" s="39" t="str">
        <f t="shared" si="212"/>
        <v>H</v>
      </c>
      <c r="D491" s="45">
        <f>Parameter!C$40</f>
        <v>0</v>
      </c>
      <c r="E491" s="134">
        <f t="shared" ref="E491:L491" si="244">SUMIF(Y_VRPC_PR, E$10&amp;"_"&amp;$D457&amp;"_"&amp;$D491, VRPanelRev)</f>
        <v>0</v>
      </c>
      <c r="F491" s="135">
        <f t="shared" si="244"/>
        <v>0</v>
      </c>
      <c r="G491" s="135">
        <f t="shared" si="244"/>
        <v>0</v>
      </c>
      <c r="H491" s="135">
        <f t="shared" si="244"/>
        <v>0</v>
      </c>
      <c r="I491" s="135">
        <f t="shared" si="244"/>
        <v>0</v>
      </c>
      <c r="J491" s="135">
        <f t="shared" si="244"/>
        <v>0</v>
      </c>
      <c r="K491" s="135">
        <f t="shared" si="244"/>
        <v>0</v>
      </c>
      <c r="L491" s="136">
        <f t="shared" si="244"/>
        <v>0</v>
      </c>
    </row>
    <row r="492" spans="3:12" ht="15.6" hidden="1">
      <c r="C492" s="39" t="str">
        <f t="shared" si="212"/>
        <v>H</v>
      </c>
      <c r="D492" s="45">
        <f>Parameter!C$41</f>
        <v>0</v>
      </c>
      <c r="E492" s="134">
        <f t="shared" ref="E492:L492" si="245">SUMIF(Y_VRPC_PR, E$10&amp;"_"&amp;$D457&amp;"_"&amp;$D492, VRPanelRev)</f>
        <v>0</v>
      </c>
      <c r="F492" s="135">
        <f t="shared" si="245"/>
        <v>0</v>
      </c>
      <c r="G492" s="135">
        <f t="shared" si="245"/>
        <v>0</v>
      </c>
      <c r="H492" s="135">
        <f t="shared" si="245"/>
        <v>0</v>
      </c>
      <c r="I492" s="135">
        <f t="shared" si="245"/>
        <v>0</v>
      </c>
      <c r="J492" s="135">
        <f t="shared" si="245"/>
        <v>0</v>
      </c>
      <c r="K492" s="135">
        <f t="shared" si="245"/>
        <v>0</v>
      </c>
      <c r="L492" s="136">
        <f t="shared" si="245"/>
        <v>0</v>
      </c>
    </row>
    <row r="493" spans="3:12" ht="15.6" hidden="1">
      <c r="C493" s="39" t="str">
        <f t="shared" si="212"/>
        <v>H</v>
      </c>
      <c r="D493" s="45">
        <f>Parameter!C$42</f>
        <v>0</v>
      </c>
      <c r="E493" s="134">
        <f t="shared" ref="E493:L493" si="246">SUMIF(Y_VRPC_PR, E$10&amp;"_"&amp;$D457&amp;"_"&amp;$D493, VRPanelRev)</f>
        <v>0</v>
      </c>
      <c r="F493" s="135">
        <f t="shared" si="246"/>
        <v>0</v>
      </c>
      <c r="G493" s="135">
        <f t="shared" si="246"/>
        <v>0</v>
      </c>
      <c r="H493" s="135">
        <f t="shared" si="246"/>
        <v>0</v>
      </c>
      <c r="I493" s="135">
        <f t="shared" si="246"/>
        <v>0</v>
      </c>
      <c r="J493" s="135">
        <f t="shared" si="246"/>
        <v>0</v>
      </c>
      <c r="K493" s="135">
        <f t="shared" si="246"/>
        <v>0</v>
      </c>
      <c r="L493" s="136">
        <f t="shared" si="246"/>
        <v>0</v>
      </c>
    </row>
    <row r="494" spans="3:12" ht="15.6" hidden="1">
      <c r="C494" s="39" t="str">
        <f t="shared" si="212"/>
        <v>H</v>
      </c>
      <c r="D494" s="45">
        <f>Parameter!C$43</f>
        <v>0</v>
      </c>
      <c r="E494" s="134">
        <f t="shared" ref="E494:L494" si="247">SUMIF(Y_VRPC_PR, E$10&amp;"_"&amp;$D457&amp;"_"&amp;$D494, VRPanelRev)</f>
        <v>0</v>
      </c>
      <c r="F494" s="135">
        <f t="shared" si="247"/>
        <v>0</v>
      </c>
      <c r="G494" s="135">
        <f t="shared" si="247"/>
        <v>0</v>
      </c>
      <c r="H494" s="135">
        <f t="shared" si="247"/>
        <v>0</v>
      </c>
      <c r="I494" s="135">
        <f t="shared" si="247"/>
        <v>0</v>
      </c>
      <c r="J494" s="135">
        <f t="shared" si="247"/>
        <v>0</v>
      </c>
      <c r="K494" s="135">
        <f t="shared" si="247"/>
        <v>0</v>
      </c>
      <c r="L494" s="136">
        <f t="shared" si="247"/>
        <v>0</v>
      </c>
    </row>
    <row r="495" spans="3:12" ht="15.6" hidden="1">
      <c r="C495" s="39" t="str">
        <f t="shared" si="212"/>
        <v>H</v>
      </c>
      <c r="D495" s="45">
        <f>Parameter!C$44</f>
        <v>0</v>
      </c>
      <c r="E495" s="134">
        <f t="shared" ref="E495:L495" si="248">SUMIF(Y_VRPC_PR, E$10&amp;"_"&amp;$D457&amp;"_"&amp;$D495, VRPanelRev)</f>
        <v>0</v>
      </c>
      <c r="F495" s="135">
        <f t="shared" si="248"/>
        <v>0</v>
      </c>
      <c r="G495" s="135">
        <f t="shared" si="248"/>
        <v>0</v>
      </c>
      <c r="H495" s="135">
        <f t="shared" si="248"/>
        <v>0</v>
      </c>
      <c r="I495" s="135">
        <f t="shared" si="248"/>
        <v>0</v>
      </c>
      <c r="J495" s="135">
        <f t="shared" si="248"/>
        <v>0</v>
      </c>
      <c r="K495" s="135">
        <f t="shared" si="248"/>
        <v>0</v>
      </c>
      <c r="L495" s="136">
        <f t="shared" si="248"/>
        <v>0</v>
      </c>
    </row>
    <row r="496" spans="3:12" ht="15.6" hidden="1">
      <c r="C496" s="39" t="str">
        <f t="shared" si="212"/>
        <v>H</v>
      </c>
      <c r="D496" s="45">
        <f>Parameter!C$45</f>
        <v>0</v>
      </c>
      <c r="E496" s="134">
        <f t="shared" ref="E496:L496" si="249">SUMIF(Y_VRPC_PR, E$10&amp;"_"&amp;$D457&amp;"_"&amp;$D496, VRPanelRev)</f>
        <v>0</v>
      </c>
      <c r="F496" s="135">
        <f t="shared" si="249"/>
        <v>0</v>
      </c>
      <c r="G496" s="135">
        <f t="shared" si="249"/>
        <v>0</v>
      </c>
      <c r="H496" s="135">
        <f t="shared" si="249"/>
        <v>0</v>
      </c>
      <c r="I496" s="135">
        <f t="shared" si="249"/>
        <v>0</v>
      </c>
      <c r="J496" s="135">
        <f t="shared" si="249"/>
        <v>0</v>
      </c>
      <c r="K496" s="135">
        <f t="shared" si="249"/>
        <v>0</v>
      </c>
      <c r="L496" s="136">
        <f t="shared" si="249"/>
        <v>0</v>
      </c>
    </row>
    <row r="497" spans="3:12" ht="15.6" hidden="1">
      <c r="C497" s="39" t="str">
        <f t="shared" si="212"/>
        <v>H</v>
      </c>
      <c r="D497" s="45">
        <f>Parameter!C$46</f>
        <v>0</v>
      </c>
      <c r="E497" s="134">
        <f t="shared" ref="E497:L497" si="250">SUMIF(Y_VRPC_PR, E$10&amp;"_"&amp;$D457&amp;"_"&amp;$D497, VRPanelRev)</f>
        <v>0</v>
      </c>
      <c r="F497" s="135">
        <f t="shared" si="250"/>
        <v>0</v>
      </c>
      <c r="G497" s="135">
        <f t="shared" si="250"/>
        <v>0</v>
      </c>
      <c r="H497" s="135">
        <f t="shared" si="250"/>
        <v>0</v>
      </c>
      <c r="I497" s="135">
        <f t="shared" si="250"/>
        <v>0</v>
      </c>
      <c r="J497" s="135">
        <f t="shared" si="250"/>
        <v>0</v>
      </c>
      <c r="K497" s="135">
        <f t="shared" si="250"/>
        <v>0</v>
      </c>
      <c r="L497" s="136">
        <f t="shared" si="250"/>
        <v>0</v>
      </c>
    </row>
    <row r="498" spans="3:12" ht="15.6" hidden="1">
      <c r="C498" s="39" t="str">
        <f t="shared" si="212"/>
        <v>H</v>
      </c>
      <c r="D498" s="45">
        <f>Parameter!C$47</f>
        <v>0</v>
      </c>
      <c r="E498" s="134">
        <f t="shared" ref="E498:L498" si="251">SUMIF(Y_VRPC_PR, E$10&amp;"_"&amp;$D457&amp;"_"&amp;$D498, VRPanelRev)</f>
        <v>0</v>
      </c>
      <c r="F498" s="135">
        <f t="shared" si="251"/>
        <v>0</v>
      </c>
      <c r="G498" s="135">
        <f t="shared" si="251"/>
        <v>0</v>
      </c>
      <c r="H498" s="135">
        <f t="shared" si="251"/>
        <v>0</v>
      </c>
      <c r="I498" s="135">
        <f t="shared" si="251"/>
        <v>0</v>
      </c>
      <c r="J498" s="135">
        <f t="shared" si="251"/>
        <v>0</v>
      </c>
      <c r="K498" s="135">
        <f t="shared" si="251"/>
        <v>0</v>
      </c>
      <c r="L498" s="136">
        <f t="shared" si="251"/>
        <v>0</v>
      </c>
    </row>
    <row r="499" spans="3:12" ht="15.6" hidden="1">
      <c r="C499" s="39" t="str">
        <f t="shared" si="212"/>
        <v>H</v>
      </c>
      <c r="D499" s="45">
        <f>Parameter!C$48</f>
        <v>0</v>
      </c>
      <c r="E499" s="134">
        <f t="shared" ref="E499:L499" si="252">SUMIF(Y_VRPC_PR, E$10&amp;"_"&amp;$D457&amp;"_"&amp;$D499, VRPanelRev)</f>
        <v>0</v>
      </c>
      <c r="F499" s="135">
        <f t="shared" si="252"/>
        <v>0</v>
      </c>
      <c r="G499" s="135">
        <f t="shared" si="252"/>
        <v>0</v>
      </c>
      <c r="H499" s="135">
        <f t="shared" si="252"/>
        <v>0</v>
      </c>
      <c r="I499" s="135">
        <f t="shared" si="252"/>
        <v>0</v>
      </c>
      <c r="J499" s="135">
        <f t="shared" si="252"/>
        <v>0</v>
      </c>
      <c r="K499" s="135">
        <f t="shared" si="252"/>
        <v>0</v>
      </c>
      <c r="L499" s="136">
        <f t="shared" si="252"/>
        <v>0</v>
      </c>
    </row>
    <row r="500" spans="3:12" ht="15.6" hidden="1">
      <c r="C500" s="39" t="str">
        <f t="shared" si="212"/>
        <v>H</v>
      </c>
      <c r="D500" s="45">
        <f>Parameter!C$49</f>
        <v>0</v>
      </c>
      <c r="E500" s="134">
        <f t="shared" ref="E500:L500" si="253">SUMIF(Y_VRPC_PR, E$10&amp;"_"&amp;$D457&amp;"_"&amp;$D500, VRPanelRev)</f>
        <v>0</v>
      </c>
      <c r="F500" s="135">
        <f t="shared" si="253"/>
        <v>0</v>
      </c>
      <c r="G500" s="135">
        <f t="shared" si="253"/>
        <v>0</v>
      </c>
      <c r="H500" s="135">
        <f t="shared" si="253"/>
        <v>0</v>
      </c>
      <c r="I500" s="135">
        <f t="shared" si="253"/>
        <v>0</v>
      </c>
      <c r="J500" s="135">
        <f t="shared" si="253"/>
        <v>0</v>
      </c>
      <c r="K500" s="135">
        <f t="shared" si="253"/>
        <v>0</v>
      </c>
      <c r="L500" s="136">
        <f t="shared" si="253"/>
        <v>0</v>
      </c>
    </row>
    <row r="501" spans="3:12" ht="15.6" hidden="1">
      <c r="C501" s="39" t="str">
        <f t="shared" si="212"/>
        <v>H</v>
      </c>
      <c r="D501" s="45">
        <f>Parameter!C$50</f>
        <v>0</v>
      </c>
      <c r="E501" s="134">
        <f t="shared" ref="E501:L501" si="254">SUMIF(Y_VRPC_PR, E$10&amp;"_"&amp;$D457&amp;"_"&amp;$D501, VRPanelRev)</f>
        <v>0</v>
      </c>
      <c r="F501" s="135">
        <f t="shared" si="254"/>
        <v>0</v>
      </c>
      <c r="G501" s="135">
        <f t="shared" si="254"/>
        <v>0</v>
      </c>
      <c r="H501" s="135">
        <f t="shared" si="254"/>
        <v>0</v>
      </c>
      <c r="I501" s="135">
        <f t="shared" si="254"/>
        <v>0</v>
      </c>
      <c r="J501" s="135">
        <f t="shared" si="254"/>
        <v>0</v>
      </c>
      <c r="K501" s="135">
        <f t="shared" si="254"/>
        <v>0</v>
      </c>
      <c r="L501" s="136">
        <f t="shared" si="254"/>
        <v>0</v>
      </c>
    </row>
    <row r="502" spans="3:12" ht="15.6" hidden="1">
      <c r="C502" s="39" t="str">
        <f t="shared" si="212"/>
        <v>H</v>
      </c>
      <c r="D502" s="45">
        <f>Parameter!C$51</f>
        <v>0</v>
      </c>
      <c r="E502" s="134">
        <f t="shared" ref="E502:L502" si="255">SUMIF(Y_VRPC_PR, E$10&amp;"_"&amp;$D457&amp;"_"&amp;$D502, VRPanelRev)</f>
        <v>0</v>
      </c>
      <c r="F502" s="135">
        <f t="shared" si="255"/>
        <v>0</v>
      </c>
      <c r="G502" s="135">
        <f t="shared" si="255"/>
        <v>0</v>
      </c>
      <c r="H502" s="135">
        <f t="shared" si="255"/>
        <v>0</v>
      </c>
      <c r="I502" s="135">
        <f t="shared" si="255"/>
        <v>0</v>
      </c>
      <c r="J502" s="135">
        <f t="shared" si="255"/>
        <v>0</v>
      </c>
      <c r="K502" s="135">
        <f t="shared" si="255"/>
        <v>0</v>
      </c>
      <c r="L502" s="136">
        <f t="shared" si="255"/>
        <v>0</v>
      </c>
    </row>
    <row r="503" spans="3:12" ht="15.6" hidden="1">
      <c r="C503" s="39" t="str">
        <f t="shared" si="212"/>
        <v>H</v>
      </c>
      <c r="D503" s="45">
        <f>Parameter!C$52</f>
        <v>0</v>
      </c>
      <c r="E503" s="134">
        <f t="shared" ref="E503:L503" si="256">SUMIF(Y_VRPC_PR, E$10&amp;"_"&amp;$D457&amp;"_"&amp;$D503, VRPanelRev)</f>
        <v>0</v>
      </c>
      <c r="F503" s="135">
        <f t="shared" si="256"/>
        <v>0</v>
      </c>
      <c r="G503" s="135">
        <f t="shared" si="256"/>
        <v>0</v>
      </c>
      <c r="H503" s="135">
        <f t="shared" si="256"/>
        <v>0</v>
      </c>
      <c r="I503" s="135">
        <f t="shared" si="256"/>
        <v>0</v>
      </c>
      <c r="J503" s="135">
        <f t="shared" si="256"/>
        <v>0</v>
      </c>
      <c r="K503" s="135">
        <f t="shared" si="256"/>
        <v>0</v>
      </c>
      <c r="L503" s="136">
        <f t="shared" si="256"/>
        <v>0</v>
      </c>
    </row>
    <row r="504" spans="3:12" ht="15.6" hidden="1">
      <c r="C504" s="39" t="str">
        <f t="shared" si="212"/>
        <v>H</v>
      </c>
      <c r="D504" s="45">
        <f>Parameter!C$53</f>
        <v>0</v>
      </c>
      <c r="E504" s="134">
        <f t="shared" ref="E504:L504" si="257">SUMIF(Y_VRPC_PR, E$10&amp;"_"&amp;$D457&amp;"_"&amp;$D504, VRPanelRev)</f>
        <v>0</v>
      </c>
      <c r="F504" s="135">
        <f t="shared" si="257"/>
        <v>0</v>
      </c>
      <c r="G504" s="135">
        <f t="shared" si="257"/>
        <v>0</v>
      </c>
      <c r="H504" s="135">
        <f t="shared" si="257"/>
        <v>0</v>
      </c>
      <c r="I504" s="135">
        <f t="shared" si="257"/>
        <v>0</v>
      </c>
      <c r="J504" s="135">
        <f t="shared" si="257"/>
        <v>0</v>
      </c>
      <c r="K504" s="135">
        <f t="shared" si="257"/>
        <v>0</v>
      </c>
      <c r="L504" s="136">
        <f t="shared" si="257"/>
        <v>0</v>
      </c>
    </row>
    <row r="505" spans="3:12" ht="15.6" hidden="1">
      <c r="C505" s="39" t="str">
        <f t="shared" si="212"/>
        <v>H</v>
      </c>
      <c r="D505" s="45">
        <f>Parameter!C$54</f>
        <v>0</v>
      </c>
      <c r="E505" s="134">
        <f t="shared" ref="E505:L505" si="258">SUMIF(Y_VRPC_PR, E$10&amp;"_"&amp;$D457&amp;"_"&amp;$D505, VRPanelRev)</f>
        <v>0</v>
      </c>
      <c r="F505" s="135">
        <f t="shared" si="258"/>
        <v>0</v>
      </c>
      <c r="G505" s="135">
        <f t="shared" si="258"/>
        <v>0</v>
      </c>
      <c r="H505" s="135">
        <f t="shared" si="258"/>
        <v>0</v>
      </c>
      <c r="I505" s="135">
        <f t="shared" si="258"/>
        <v>0</v>
      </c>
      <c r="J505" s="135">
        <f t="shared" si="258"/>
        <v>0</v>
      </c>
      <c r="K505" s="135">
        <f t="shared" si="258"/>
        <v>0</v>
      </c>
      <c r="L505" s="136">
        <f t="shared" si="258"/>
        <v>0</v>
      </c>
    </row>
    <row r="506" spans="3:12" ht="15.6" hidden="1">
      <c r="C506" s="39" t="str">
        <f t="shared" si="212"/>
        <v>H</v>
      </c>
      <c r="D506" s="45">
        <f>Parameter!C$55</f>
        <v>0</v>
      </c>
      <c r="E506" s="134">
        <f t="shared" ref="E506:L506" si="259">SUMIF(Y_VRPC_PR, E$10&amp;"_"&amp;$D457&amp;"_"&amp;$D506, VRPanelRev)</f>
        <v>0</v>
      </c>
      <c r="F506" s="135">
        <f t="shared" si="259"/>
        <v>0</v>
      </c>
      <c r="G506" s="135">
        <f t="shared" si="259"/>
        <v>0</v>
      </c>
      <c r="H506" s="135">
        <f t="shared" si="259"/>
        <v>0</v>
      </c>
      <c r="I506" s="135">
        <f t="shared" si="259"/>
        <v>0</v>
      </c>
      <c r="J506" s="135">
        <f t="shared" si="259"/>
        <v>0</v>
      </c>
      <c r="K506" s="135">
        <f t="shared" si="259"/>
        <v>0</v>
      </c>
      <c r="L506" s="136">
        <f t="shared" si="259"/>
        <v>0</v>
      </c>
    </row>
    <row r="507" spans="3:12" ht="15.6" hidden="1">
      <c r="C507" s="39" t="str">
        <f t="shared" si="212"/>
        <v>H</v>
      </c>
      <c r="D507" s="45">
        <f>Parameter!C$56</f>
        <v>0</v>
      </c>
      <c r="E507" s="134">
        <f t="shared" ref="E507:L507" si="260">SUMIF(Y_VRPC_PR, E$10&amp;"_"&amp;$D457&amp;"_"&amp;$D507, VRPanelRev)</f>
        <v>0</v>
      </c>
      <c r="F507" s="135">
        <f t="shared" si="260"/>
        <v>0</v>
      </c>
      <c r="G507" s="135">
        <f t="shared" si="260"/>
        <v>0</v>
      </c>
      <c r="H507" s="135">
        <f t="shared" si="260"/>
        <v>0</v>
      </c>
      <c r="I507" s="135">
        <f t="shared" si="260"/>
        <v>0</v>
      </c>
      <c r="J507" s="135">
        <f t="shared" si="260"/>
        <v>0</v>
      </c>
      <c r="K507" s="135">
        <f t="shared" si="260"/>
        <v>0</v>
      </c>
      <c r="L507" s="136">
        <f t="shared" si="260"/>
        <v>0</v>
      </c>
    </row>
    <row r="508" spans="3:12" ht="16.2" hidden="1" thickBot="1">
      <c r="C508" s="39" t="str">
        <f t="shared" si="212"/>
        <v>H</v>
      </c>
      <c r="D508" s="53" t="str">
        <f>Parameter!C$57</f>
        <v>ALL</v>
      </c>
      <c r="E508" s="137">
        <f t="shared" ref="E508:L508" si="261">SUMIF(Y_VRPC_PR, E$10&amp;"_"&amp;$D457&amp;"_"&amp;$D508, VRPanelRev)</f>
        <v>0</v>
      </c>
      <c r="F508" s="138">
        <f t="shared" si="261"/>
        <v>0</v>
      </c>
      <c r="G508" s="138">
        <f t="shared" si="261"/>
        <v>0</v>
      </c>
      <c r="H508" s="138">
        <f t="shared" si="261"/>
        <v>0</v>
      </c>
      <c r="I508" s="138">
        <f t="shared" si="261"/>
        <v>0</v>
      </c>
      <c r="J508" s="138">
        <f t="shared" si="261"/>
        <v>0</v>
      </c>
      <c r="K508" s="138">
        <f t="shared" si="261"/>
        <v>0</v>
      </c>
      <c r="L508" s="139">
        <f t="shared" si="261"/>
        <v>0</v>
      </c>
    </row>
    <row r="509" spans="3:12" ht="15.6" hidden="1">
      <c r="C509" s="39" t="str">
        <f t="shared" si="212"/>
        <v>H</v>
      </c>
      <c r="D509" s="54" t="s">
        <v>87</v>
      </c>
      <c r="E509" s="140">
        <f>SUM(E459:E508)</f>
        <v>0</v>
      </c>
      <c r="F509" s="141">
        <f t="shared" ref="F509:L509" si="262">SUM(F459:F508)</f>
        <v>0</v>
      </c>
      <c r="G509" s="141">
        <f t="shared" si="262"/>
        <v>0</v>
      </c>
      <c r="H509" s="141">
        <f t="shared" si="262"/>
        <v>0</v>
      </c>
      <c r="I509" s="141">
        <f t="shared" si="262"/>
        <v>0</v>
      </c>
      <c r="J509" s="141">
        <f t="shared" si="262"/>
        <v>0</v>
      </c>
      <c r="K509" s="141">
        <f t="shared" si="262"/>
        <v>0</v>
      </c>
      <c r="L509" s="142">
        <f t="shared" si="262"/>
        <v>0</v>
      </c>
    </row>
    <row r="510" spans="3:12" ht="16.2" hidden="1" thickBot="1">
      <c r="C510" s="39" t="str">
        <f t="shared" si="212"/>
        <v>H</v>
      </c>
      <c r="D510" s="46" t="s">
        <v>88</v>
      </c>
      <c r="E510" s="47"/>
      <c r="F510" s="50" t="str">
        <f t="shared" ref="F510:G510" si="263">IF(E509*F509=0, "", F509/E509-1)</f>
        <v/>
      </c>
      <c r="G510" s="50" t="str">
        <f t="shared" si="263"/>
        <v/>
      </c>
      <c r="H510" s="50" t="str">
        <f>IF(G509*H509=0, "", H509/G509-1)</f>
        <v/>
      </c>
      <c r="I510" s="50" t="str">
        <f t="shared" ref="I510:L510" si="264">IF(H509*I509=0, "", I509/H509-1)</f>
        <v/>
      </c>
      <c r="J510" s="50" t="str">
        <f t="shared" si="264"/>
        <v/>
      </c>
      <c r="K510" s="50" t="str">
        <f t="shared" si="264"/>
        <v/>
      </c>
      <c r="L510" s="51" t="str">
        <f t="shared" si="264"/>
        <v/>
      </c>
    </row>
    <row r="511" spans="3:12" ht="15" hidden="1">
      <c r="C511" s="39" t="str">
        <f t="shared" si="212"/>
        <v>H</v>
      </c>
    </row>
    <row r="512" spans="3:12" ht="15.6" hidden="1" thickBot="1">
      <c r="C512" s="39" t="str">
        <f t="shared" si="212"/>
        <v>H</v>
      </c>
    </row>
    <row r="513" spans="3:12" ht="15" hidden="1" thickBot="1">
      <c r="C513" s="57" t="str">
        <f>IF(SUM(E565:L565)=0, "H", "")</f>
        <v>H</v>
      </c>
      <c r="D513" s="52">
        <f>Parameter!G17</f>
        <v>0</v>
      </c>
    </row>
    <row r="514" spans="3:12" ht="16.2" hidden="1" thickBot="1">
      <c r="C514" s="57" t="str">
        <f>IF(SUM(E565:L565)=0, "H", "")</f>
        <v>H</v>
      </c>
      <c r="D514" s="40" t="s">
        <v>85</v>
      </c>
      <c r="E514" s="41" t="s">
        <v>8</v>
      </c>
      <c r="F514" s="42" t="s">
        <v>9</v>
      </c>
      <c r="G514" s="42" t="s">
        <v>10</v>
      </c>
      <c r="H514" s="42" t="s">
        <v>11</v>
      </c>
      <c r="I514" s="42" t="s">
        <v>12</v>
      </c>
      <c r="J514" s="42" t="s">
        <v>13</v>
      </c>
      <c r="K514" s="42" t="s">
        <v>14</v>
      </c>
      <c r="L514" s="43" t="s">
        <v>86</v>
      </c>
    </row>
    <row r="515" spans="3:12" ht="15.6" hidden="1">
      <c r="C515" s="39" t="str">
        <f>IF(SUM(E515:L515)=0, "H", "")</f>
        <v>H</v>
      </c>
      <c r="D515" s="44" t="str">
        <f>Parameter!C$8</f>
        <v>5K VR</v>
      </c>
      <c r="E515" s="134">
        <f t="shared" ref="E515:L515" si="265">SUMIF(Y_VRPC_PR, E$10&amp;"_"&amp;$D513&amp;"_"&amp;$D515, VRPanelRev)</f>
        <v>0</v>
      </c>
      <c r="F515" s="135">
        <f t="shared" si="265"/>
        <v>0</v>
      </c>
      <c r="G515" s="135">
        <f t="shared" si="265"/>
        <v>0</v>
      </c>
      <c r="H515" s="135">
        <f t="shared" si="265"/>
        <v>0</v>
      </c>
      <c r="I515" s="135">
        <f t="shared" si="265"/>
        <v>0</v>
      </c>
      <c r="J515" s="135">
        <f t="shared" si="265"/>
        <v>0</v>
      </c>
      <c r="K515" s="135">
        <f t="shared" si="265"/>
        <v>0</v>
      </c>
      <c r="L515" s="136">
        <f t="shared" si="265"/>
        <v>0</v>
      </c>
    </row>
    <row r="516" spans="3:12" ht="15.6" hidden="1">
      <c r="C516" s="39" t="str">
        <f t="shared" ref="C516:C566" si="266">IF(SUM(E516:L516)=0, "H", "")</f>
        <v>H</v>
      </c>
      <c r="D516" s="44" t="str">
        <f>Parameter!C$9</f>
        <v>Aero</v>
      </c>
      <c r="E516" s="134">
        <f t="shared" ref="E516:L516" si="267">SUMIF(Y_VRPC_PR, E$10&amp;"_"&amp;$D513&amp;"_"&amp;$D516, VRPanelRev)</f>
        <v>0</v>
      </c>
      <c r="F516" s="135">
        <f t="shared" si="267"/>
        <v>0</v>
      </c>
      <c r="G516" s="135">
        <f t="shared" si="267"/>
        <v>0</v>
      </c>
      <c r="H516" s="135">
        <f t="shared" si="267"/>
        <v>0</v>
      </c>
      <c r="I516" s="135">
        <f t="shared" si="267"/>
        <v>0</v>
      </c>
      <c r="J516" s="135">
        <f t="shared" si="267"/>
        <v>0</v>
      </c>
      <c r="K516" s="135">
        <f t="shared" si="267"/>
        <v>0</v>
      </c>
      <c r="L516" s="136">
        <f t="shared" si="267"/>
        <v>0</v>
      </c>
    </row>
    <row r="517" spans="3:12" ht="15.6" hidden="1">
      <c r="C517" s="39" t="str">
        <f t="shared" si="266"/>
        <v>H</v>
      </c>
      <c r="D517" s="45" t="str">
        <f>Parameter!C$10</f>
        <v>Beyond</v>
      </c>
      <c r="E517" s="134">
        <f t="shared" ref="E517:L517" si="268">SUMIF(Y_VRPC_PR, E$10&amp;"_"&amp;$D513&amp;"_"&amp;$D517, VRPanelRev)</f>
        <v>0</v>
      </c>
      <c r="F517" s="135">
        <f t="shared" si="268"/>
        <v>0</v>
      </c>
      <c r="G517" s="135">
        <f t="shared" si="268"/>
        <v>0</v>
      </c>
      <c r="H517" s="135">
        <f t="shared" si="268"/>
        <v>0</v>
      </c>
      <c r="I517" s="135">
        <f t="shared" si="268"/>
        <v>0</v>
      </c>
      <c r="J517" s="135">
        <f t="shared" si="268"/>
        <v>0</v>
      </c>
      <c r="K517" s="135">
        <f t="shared" si="268"/>
        <v>0</v>
      </c>
      <c r="L517" s="136">
        <f t="shared" si="268"/>
        <v>0</v>
      </c>
    </row>
    <row r="518" spans="3:12" ht="15.6" hidden="1">
      <c r="C518" s="39" t="str">
        <f t="shared" si="266"/>
        <v>H</v>
      </c>
      <c r="D518" s="45" t="str">
        <f>Parameter!C$11</f>
        <v>Bionic models</v>
      </c>
      <c r="E518" s="134">
        <f t="shared" ref="E518:L518" si="269">SUMIF(Y_VRPC_PR, E$10&amp;"_"&amp;$D513&amp;"_"&amp;$D518, VRPanelRev)</f>
        <v>0</v>
      </c>
      <c r="F518" s="135">
        <f t="shared" si="269"/>
        <v>0</v>
      </c>
      <c r="G518" s="135">
        <f t="shared" si="269"/>
        <v>0</v>
      </c>
      <c r="H518" s="135">
        <f t="shared" si="269"/>
        <v>0</v>
      </c>
      <c r="I518" s="135">
        <f t="shared" si="269"/>
        <v>0</v>
      </c>
      <c r="J518" s="135">
        <f t="shared" si="269"/>
        <v>0</v>
      </c>
      <c r="K518" s="135">
        <f t="shared" si="269"/>
        <v>0</v>
      </c>
      <c r="L518" s="136">
        <f t="shared" si="269"/>
        <v>0</v>
      </c>
    </row>
    <row r="519" spans="3:12" ht="15.6" hidden="1">
      <c r="C519" s="39" t="str">
        <f t="shared" si="266"/>
        <v>H</v>
      </c>
      <c r="D519" s="45" t="str">
        <f>Parameter!C$12</f>
        <v>Dual LCD VR headset</v>
      </c>
      <c r="E519" s="134">
        <f t="shared" ref="E519:L519" si="270">SUMIF(Y_VRPC_PR, E$10&amp;"_"&amp;$D513&amp;"_"&amp;$D519, VRPanelRev)</f>
        <v>0</v>
      </c>
      <c r="F519" s="135">
        <f t="shared" si="270"/>
        <v>0</v>
      </c>
      <c r="G519" s="135">
        <f t="shared" si="270"/>
        <v>0</v>
      </c>
      <c r="H519" s="135">
        <f t="shared" si="270"/>
        <v>0</v>
      </c>
      <c r="I519" s="135">
        <f t="shared" si="270"/>
        <v>0</v>
      </c>
      <c r="J519" s="135">
        <f t="shared" si="270"/>
        <v>0</v>
      </c>
      <c r="K519" s="135">
        <f t="shared" si="270"/>
        <v>0</v>
      </c>
      <c r="L519" s="136">
        <f t="shared" si="270"/>
        <v>0</v>
      </c>
    </row>
    <row r="520" spans="3:12" ht="15.6" hidden="1">
      <c r="C520" s="39" t="str">
        <f t="shared" si="266"/>
        <v>H</v>
      </c>
      <c r="D520" s="45" t="str">
        <f>Parameter!C$13</f>
        <v>Dual SiOLED headset</v>
      </c>
      <c r="E520" s="134">
        <f t="shared" ref="E520:L520" si="271">SUMIF(Y_VRPC_PR, E$10&amp;"_"&amp;$D513&amp;"_"&amp;$D520, VRPanelRev)</f>
        <v>0</v>
      </c>
      <c r="F520" s="135">
        <f t="shared" si="271"/>
        <v>0</v>
      </c>
      <c r="G520" s="135">
        <f t="shared" si="271"/>
        <v>0</v>
      </c>
      <c r="H520" s="135">
        <f t="shared" si="271"/>
        <v>0</v>
      </c>
      <c r="I520" s="135">
        <f t="shared" si="271"/>
        <v>0</v>
      </c>
      <c r="J520" s="135">
        <f t="shared" si="271"/>
        <v>0</v>
      </c>
      <c r="K520" s="135">
        <f t="shared" si="271"/>
        <v>0</v>
      </c>
      <c r="L520" s="136">
        <f t="shared" si="271"/>
        <v>0</v>
      </c>
    </row>
    <row r="521" spans="3:12" ht="15.6" hidden="1">
      <c r="C521" s="39" t="str">
        <f t="shared" si="266"/>
        <v>H</v>
      </c>
      <c r="D521" s="45" t="str">
        <f>Parameter!C$14</f>
        <v>Index</v>
      </c>
      <c r="E521" s="134">
        <f t="shared" ref="E521:L521" si="272">SUMIF(Y_VRPC_PR, E$10&amp;"_"&amp;$D513&amp;"_"&amp;$D521, VRPanelRev)</f>
        <v>0</v>
      </c>
      <c r="F521" s="135">
        <f t="shared" si="272"/>
        <v>0</v>
      </c>
      <c r="G521" s="135">
        <f t="shared" si="272"/>
        <v>0</v>
      </c>
      <c r="H521" s="135">
        <f t="shared" si="272"/>
        <v>0</v>
      </c>
      <c r="I521" s="135">
        <f t="shared" si="272"/>
        <v>0</v>
      </c>
      <c r="J521" s="135">
        <f t="shared" si="272"/>
        <v>0</v>
      </c>
      <c r="K521" s="135">
        <f t="shared" si="272"/>
        <v>0</v>
      </c>
      <c r="L521" s="136">
        <f t="shared" si="272"/>
        <v>0</v>
      </c>
    </row>
    <row r="522" spans="3:12" ht="15.6" hidden="1">
      <c r="C522" s="39" t="str">
        <f t="shared" si="266"/>
        <v>H</v>
      </c>
      <c r="D522" s="45" t="str">
        <f>Parameter!C$15</f>
        <v>MeganeX</v>
      </c>
      <c r="E522" s="134">
        <f t="shared" ref="E522:L522" si="273">SUMIF(Y_VRPC_PR, E$10&amp;"_"&amp;$D513&amp;"_"&amp;$D522, VRPanelRev)</f>
        <v>0</v>
      </c>
      <c r="F522" s="135">
        <f t="shared" si="273"/>
        <v>0</v>
      </c>
      <c r="G522" s="135">
        <f t="shared" si="273"/>
        <v>0</v>
      </c>
      <c r="H522" s="135">
        <f t="shared" si="273"/>
        <v>0</v>
      </c>
      <c r="I522" s="135">
        <f t="shared" si="273"/>
        <v>0</v>
      </c>
      <c r="J522" s="135">
        <f t="shared" si="273"/>
        <v>0</v>
      </c>
      <c r="K522" s="135">
        <f t="shared" si="273"/>
        <v>0</v>
      </c>
      <c r="L522" s="136">
        <f t="shared" si="273"/>
        <v>0</v>
      </c>
    </row>
    <row r="523" spans="3:12" ht="15.6" hidden="1">
      <c r="C523" s="39" t="str">
        <f t="shared" si="266"/>
        <v>H</v>
      </c>
      <c r="D523" s="45" t="str">
        <f>Parameter!C$16</f>
        <v>MeganeX Superlight 8K</v>
      </c>
      <c r="E523" s="134">
        <f t="shared" ref="E523:L523" si="274">SUMIF(Y_VRPC_PR, E$10&amp;"_"&amp;$D513&amp;"_"&amp;$D523, VRPanelRev)</f>
        <v>0</v>
      </c>
      <c r="F523" s="135">
        <f t="shared" si="274"/>
        <v>0</v>
      </c>
      <c r="G523" s="135">
        <f t="shared" si="274"/>
        <v>0</v>
      </c>
      <c r="H523" s="135">
        <f t="shared" si="274"/>
        <v>0</v>
      </c>
      <c r="I523" s="135">
        <f t="shared" si="274"/>
        <v>0</v>
      </c>
      <c r="J523" s="135">
        <f t="shared" si="274"/>
        <v>0</v>
      </c>
      <c r="K523" s="135">
        <f t="shared" si="274"/>
        <v>0</v>
      </c>
      <c r="L523" s="136">
        <f t="shared" si="274"/>
        <v>0</v>
      </c>
    </row>
    <row r="524" spans="3:12" ht="15.6" hidden="1">
      <c r="C524" s="39" t="str">
        <f t="shared" si="266"/>
        <v>H</v>
      </c>
      <c r="D524" s="45" t="str">
        <f>Parameter!C$17</f>
        <v>Neo 3 / G3</v>
      </c>
      <c r="E524" s="134">
        <f t="shared" ref="E524:L524" si="275">SUMIF(Y_VRPC_PR, E$10&amp;"_"&amp;$D513&amp;"_"&amp;$D524, VRPanelRev)</f>
        <v>0</v>
      </c>
      <c r="F524" s="135">
        <f t="shared" si="275"/>
        <v>0</v>
      </c>
      <c r="G524" s="135">
        <f t="shared" si="275"/>
        <v>0</v>
      </c>
      <c r="H524" s="135">
        <f t="shared" si="275"/>
        <v>0</v>
      </c>
      <c r="I524" s="135">
        <f t="shared" si="275"/>
        <v>0</v>
      </c>
      <c r="J524" s="135">
        <f t="shared" si="275"/>
        <v>0</v>
      </c>
      <c r="K524" s="135">
        <f t="shared" si="275"/>
        <v>0</v>
      </c>
      <c r="L524" s="136">
        <f t="shared" si="275"/>
        <v>0</v>
      </c>
    </row>
    <row r="525" spans="3:12" ht="15.6" hidden="1">
      <c r="C525" s="39" t="str">
        <f t="shared" si="266"/>
        <v>H</v>
      </c>
      <c r="D525" s="45" t="str">
        <f>Parameter!C$18</f>
        <v>OLED VR headset</v>
      </c>
      <c r="E525" s="134">
        <f t="shared" ref="E525:L525" si="276">SUMIF(Y_VRPC_PR, E$10&amp;"_"&amp;$D513&amp;"_"&amp;$D525, VRPanelRev)</f>
        <v>0</v>
      </c>
      <c r="F525" s="135">
        <f t="shared" si="276"/>
        <v>0</v>
      </c>
      <c r="G525" s="135">
        <f t="shared" si="276"/>
        <v>0</v>
      </c>
      <c r="H525" s="135">
        <f t="shared" si="276"/>
        <v>0</v>
      </c>
      <c r="I525" s="135">
        <f t="shared" si="276"/>
        <v>0</v>
      </c>
      <c r="J525" s="135">
        <f t="shared" si="276"/>
        <v>0</v>
      </c>
      <c r="K525" s="135">
        <f t="shared" si="276"/>
        <v>0</v>
      </c>
      <c r="L525" s="136">
        <f t="shared" si="276"/>
        <v>0</v>
      </c>
    </row>
    <row r="526" spans="3:12" ht="15.6" hidden="1">
      <c r="C526" s="39" t="str">
        <f t="shared" si="266"/>
        <v>H</v>
      </c>
      <c r="D526" s="45" t="str">
        <f>Parameter!C$19</f>
        <v>P1 family</v>
      </c>
      <c r="E526" s="134">
        <f t="shared" ref="E526:L526" si="277">SUMIF(Y_VRPC_PR, E$10&amp;"_"&amp;$D513&amp;"_"&amp;$D526, VRPanelRev)</f>
        <v>0</v>
      </c>
      <c r="F526" s="135">
        <f t="shared" si="277"/>
        <v>0</v>
      </c>
      <c r="G526" s="135">
        <f t="shared" si="277"/>
        <v>0</v>
      </c>
      <c r="H526" s="135">
        <f t="shared" si="277"/>
        <v>0</v>
      </c>
      <c r="I526" s="135">
        <f t="shared" si="277"/>
        <v>0</v>
      </c>
      <c r="J526" s="135">
        <f t="shared" si="277"/>
        <v>0</v>
      </c>
      <c r="K526" s="135">
        <f t="shared" si="277"/>
        <v>0</v>
      </c>
      <c r="L526" s="136">
        <f t="shared" si="277"/>
        <v>0</v>
      </c>
    </row>
    <row r="527" spans="3:12" ht="15.6" hidden="1">
      <c r="C527" s="39" t="str">
        <f t="shared" si="266"/>
        <v>H</v>
      </c>
      <c r="D527" s="45" t="str">
        <f>Parameter!C$20</f>
        <v>Pico 4</v>
      </c>
      <c r="E527" s="134">
        <f t="shared" ref="E527:L527" si="278">SUMIF(Y_VRPC_PR, E$10&amp;"_"&amp;$D513&amp;"_"&amp;$D527, VRPanelRev)</f>
        <v>0</v>
      </c>
      <c r="F527" s="135">
        <f t="shared" si="278"/>
        <v>0</v>
      </c>
      <c r="G527" s="135">
        <f t="shared" si="278"/>
        <v>0</v>
      </c>
      <c r="H527" s="135">
        <f t="shared" si="278"/>
        <v>0</v>
      </c>
      <c r="I527" s="135">
        <f t="shared" si="278"/>
        <v>0</v>
      </c>
      <c r="J527" s="135">
        <f t="shared" si="278"/>
        <v>0</v>
      </c>
      <c r="K527" s="135">
        <f t="shared" si="278"/>
        <v>0</v>
      </c>
      <c r="L527" s="136">
        <f t="shared" si="278"/>
        <v>0</v>
      </c>
    </row>
    <row r="528" spans="3:12" ht="15.6" hidden="1">
      <c r="C528" s="39" t="str">
        <f t="shared" si="266"/>
        <v>H</v>
      </c>
      <c r="D528" s="45" t="str">
        <f>Parameter!C$21</f>
        <v>Pimax VR</v>
      </c>
      <c r="E528" s="134">
        <f t="shared" ref="E528:L528" si="279">SUMIF(Y_VRPC_PR, E$10&amp;"_"&amp;$D513&amp;"_"&amp;$D528, VRPanelRev)</f>
        <v>0</v>
      </c>
      <c r="F528" s="135">
        <f t="shared" si="279"/>
        <v>0</v>
      </c>
      <c r="G528" s="135">
        <f t="shared" si="279"/>
        <v>0</v>
      </c>
      <c r="H528" s="135">
        <f t="shared" si="279"/>
        <v>0</v>
      </c>
      <c r="I528" s="135">
        <f t="shared" si="279"/>
        <v>0</v>
      </c>
      <c r="J528" s="135">
        <f t="shared" si="279"/>
        <v>0</v>
      </c>
      <c r="K528" s="135">
        <f t="shared" si="279"/>
        <v>0</v>
      </c>
      <c r="L528" s="136">
        <f t="shared" si="279"/>
        <v>0</v>
      </c>
    </row>
    <row r="529" spans="3:12" ht="15.6" hidden="1">
      <c r="C529" s="39" t="str">
        <f t="shared" si="266"/>
        <v>H</v>
      </c>
      <c r="D529" s="45" t="str">
        <f>Parameter!C$22</f>
        <v>PlayStation VR</v>
      </c>
      <c r="E529" s="134">
        <f t="shared" ref="E529:L529" si="280">SUMIF(Y_VRPC_PR, E$10&amp;"_"&amp;$D513&amp;"_"&amp;$D529, VRPanelRev)</f>
        <v>0</v>
      </c>
      <c r="F529" s="135">
        <f t="shared" si="280"/>
        <v>0</v>
      </c>
      <c r="G529" s="135">
        <f t="shared" si="280"/>
        <v>0</v>
      </c>
      <c r="H529" s="135">
        <f t="shared" si="280"/>
        <v>0</v>
      </c>
      <c r="I529" s="135">
        <f t="shared" si="280"/>
        <v>0</v>
      </c>
      <c r="J529" s="135">
        <f t="shared" si="280"/>
        <v>0</v>
      </c>
      <c r="K529" s="135">
        <f t="shared" si="280"/>
        <v>0</v>
      </c>
      <c r="L529" s="136">
        <f t="shared" si="280"/>
        <v>0</v>
      </c>
    </row>
    <row r="530" spans="3:12" ht="15.6" hidden="1">
      <c r="C530" s="39" t="str">
        <f t="shared" si="266"/>
        <v>H</v>
      </c>
      <c r="D530" s="45" t="str">
        <f>Parameter!C$23</f>
        <v>PlayStation VR2</v>
      </c>
      <c r="E530" s="134">
        <f t="shared" ref="E530:L530" si="281">SUMIF(Y_VRPC_PR, E$10&amp;"_"&amp;$D513&amp;"_"&amp;$D530, VRPanelRev)</f>
        <v>0</v>
      </c>
      <c r="F530" s="135">
        <f t="shared" si="281"/>
        <v>0</v>
      </c>
      <c r="G530" s="135">
        <f t="shared" si="281"/>
        <v>0</v>
      </c>
      <c r="H530" s="135">
        <f t="shared" si="281"/>
        <v>0</v>
      </c>
      <c r="I530" s="135">
        <f t="shared" si="281"/>
        <v>0</v>
      </c>
      <c r="J530" s="135">
        <f t="shared" si="281"/>
        <v>0</v>
      </c>
      <c r="K530" s="135">
        <f t="shared" si="281"/>
        <v>0</v>
      </c>
      <c r="L530" s="136">
        <f t="shared" si="281"/>
        <v>0</v>
      </c>
    </row>
    <row r="531" spans="3:12" ht="15.6" hidden="1">
      <c r="C531" s="39" t="str">
        <f t="shared" si="266"/>
        <v>H</v>
      </c>
      <c r="D531" s="45" t="str">
        <f>Parameter!C$24</f>
        <v>Project Moohan</v>
      </c>
      <c r="E531" s="134">
        <f t="shared" ref="E531:L531" si="282">SUMIF(Y_VRPC_PR, E$10&amp;"_"&amp;$D513&amp;"_"&amp;$D531, VRPanelRev)</f>
        <v>0</v>
      </c>
      <c r="F531" s="135">
        <f t="shared" si="282"/>
        <v>0</v>
      </c>
      <c r="G531" s="135">
        <f t="shared" si="282"/>
        <v>0</v>
      </c>
      <c r="H531" s="135">
        <f t="shared" si="282"/>
        <v>0</v>
      </c>
      <c r="I531" s="135">
        <f t="shared" si="282"/>
        <v>0</v>
      </c>
      <c r="J531" s="135">
        <f t="shared" si="282"/>
        <v>0</v>
      </c>
      <c r="K531" s="135">
        <f t="shared" si="282"/>
        <v>0</v>
      </c>
      <c r="L531" s="136">
        <f t="shared" si="282"/>
        <v>0</v>
      </c>
    </row>
    <row r="532" spans="3:12" ht="15.6" hidden="1">
      <c r="C532" s="39" t="str">
        <f t="shared" si="266"/>
        <v>H</v>
      </c>
      <c r="D532" s="45" t="str">
        <f>Parameter!C$25</f>
        <v>Quest</v>
      </c>
      <c r="E532" s="134">
        <f t="shared" ref="E532:L532" si="283">SUMIF(Y_VRPC_PR, E$10&amp;"_"&amp;$D513&amp;"_"&amp;$D532, VRPanelRev)</f>
        <v>0</v>
      </c>
      <c r="F532" s="135">
        <f t="shared" si="283"/>
        <v>0</v>
      </c>
      <c r="G532" s="135">
        <f t="shared" si="283"/>
        <v>0</v>
      </c>
      <c r="H532" s="135">
        <f t="shared" si="283"/>
        <v>0</v>
      </c>
      <c r="I532" s="135">
        <f t="shared" si="283"/>
        <v>0</v>
      </c>
      <c r="J532" s="135">
        <f t="shared" si="283"/>
        <v>0</v>
      </c>
      <c r="K532" s="135">
        <f t="shared" si="283"/>
        <v>0</v>
      </c>
      <c r="L532" s="136">
        <f t="shared" si="283"/>
        <v>0</v>
      </c>
    </row>
    <row r="533" spans="3:12" ht="15.6" hidden="1">
      <c r="C533" s="39" t="str">
        <f t="shared" si="266"/>
        <v>H</v>
      </c>
      <c r="D533" s="45" t="str">
        <f>Parameter!C$26</f>
        <v>Quest 2</v>
      </c>
      <c r="E533" s="134">
        <f t="shared" ref="E533:L533" si="284">SUMIF(Y_VRPC_PR, E$10&amp;"_"&amp;$D513&amp;"_"&amp;$D533, VRPanelRev)</f>
        <v>0</v>
      </c>
      <c r="F533" s="135">
        <f t="shared" si="284"/>
        <v>0</v>
      </c>
      <c r="G533" s="135">
        <f t="shared" si="284"/>
        <v>0</v>
      </c>
      <c r="H533" s="135">
        <f t="shared" si="284"/>
        <v>0</v>
      </c>
      <c r="I533" s="135">
        <f t="shared" si="284"/>
        <v>0</v>
      </c>
      <c r="J533" s="135">
        <f t="shared" si="284"/>
        <v>0</v>
      </c>
      <c r="K533" s="135">
        <f t="shared" si="284"/>
        <v>0</v>
      </c>
      <c r="L533" s="136">
        <f t="shared" si="284"/>
        <v>0</v>
      </c>
    </row>
    <row r="534" spans="3:12" ht="15.6" hidden="1">
      <c r="C534" s="39" t="str">
        <f t="shared" si="266"/>
        <v>H</v>
      </c>
      <c r="D534" s="45" t="str">
        <f>Parameter!C$27</f>
        <v>Quest 3</v>
      </c>
      <c r="E534" s="134">
        <f t="shared" ref="E534:L534" si="285">SUMIF(Y_VRPC_PR, E$10&amp;"_"&amp;$D513&amp;"_"&amp;$D534, VRPanelRev)</f>
        <v>0</v>
      </c>
      <c r="F534" s="135">
        <f t="shared" si="285"/>
        <v>0</v>
      </c>
      <c r="G534" s="135">
        <f t="shared" si="285"/>
        <v>0</v>
      </c>
      <c r="H534" s="135">
        <f t="shared" si="285"/>
        <v>0</v>
      </c>
      <c r="I534" s="135">
        <f t="shared" si="285"/>
        <v>0</v>
      </c>
      <c r="J534" s="135">
        <f t="shared" si="285"/>
        <v>0</v>
      </c>
      <c r="K534" s="135">
        <f t="shared" si="285"/>
        <v>0</v>
      </c>
      <c r="L534" s="136">
        <f t="shared" si="285"/>
        <v>0</v>
      </c>
    </row>
    <row r="535" spans="3:12" ht="15.6" hidden="1">
      <c r="C535" s="39" t="str">
        <f t="shared" si="266"/>
        <v>H</v>
      </c>
      <c r="D535" s="45" t="str">
        <f>Parameter!C$28</f>
        <v>Quest 3S</v>
      </c>
      <c r="E535" s="134">
        <f t="shared" ref="E535:L535" si="286">SUMIF(Y_VRPC_PR, E$10&amp;"_"&amp;$D513&amp;"_"&amp;$D535, VRPanelRev)</f>
        <v>0</v>
      </c>
      <c r="F535" s="135">
        <f t="shared" si="286"/>
        <v>0</v>
      </c>
      <c r="G535" s="135">
        <f t="shared" si="286"/>
        <v>0</v>
      </c>
      <c r="H535" s="135">
        <f t="shared" si="286"/>
        <v>0</v>
      </c>
      <c r="I535" s="135">
        <f t="shared" si="286"/>
        <v>0</v>
      </c>
      <c r="J535" s="135">
        <f t="shared" si="286"/>
        <v>0</v>
      </c>
      <c r="K535" s="135">
        <f t="shared" si="286"/>
        <v>0</v>
      </c>
      <c r="L535" s="136">
        <f t="shared" si="286"/>
        <v>0</v>
      </c>
    </row>
    <row r="536" spans="3:12" ht="15.6" hidden="1">
      <c r="C536" s="39" t="str">
        <f t="shared" si="266"/>
        <v>H</v>
      </c>
      <c r="D536" s="45" t="str">
        <f>Parameter!C$29</f>
        <v>Quest Pro</v>
      </c>
      <c r="E536" s="134">
        <f t="shared" ref="E536:L536" si="287">SUMIF(Y_VRPC_PR, E$10&amp;"_"&amp;$D513&amp;"_"&amp;$D536, VRPanelRev)</f>
        <v>0</v>
      </c>
      <c r="F536" s="135">
        <f t="shared" si="287"/>
        <v>0</v>
      </c>
      <c r="G536" s="135">
        <f t="shared" si="287"/>
        <v>0</v>
      </c>
      <c r="H536" s="135">
        <f t="shared" si="287"/>
        <v>0</v>
      </c>
      <c r="I536" s="135">
        <f t="shared" si="287"/>
        <v>0</v>
      </c>
      <c r="J536" s="135">
        <f t="shared" si="287"/>
        <v>0</v>
      </c>
      <c r="K536" s="135">
        <f t="shared" si="287"/>
        <v>0</v>
      </c>
      <c r="L536" s="136">
        <f t="shared" si="287"/>
        <v>0</v>
      </c>
    </row>
    <row r="537" spans="3:12" ht="15.6" hidden="1">
      <c r="C537" s="39" t="str">
        <f t="shared" si="266"/>
        <v>H</v>
      </c>
      <c r="D537" s="45" t="str">
        <f>Parameter!C$30</f>
        <v>R1</v>
      </c>
      <c r="E537" s="134">
        <f t="shared" ref="E537:L537" si="288">SUMIF(Y_VRPC_PR, E$10&amp;"_"&amp;$D513&amp;"_"&amp;$D537, VRPanelRev)</f>
        <v>0</v>
      </c>
      <c r="F537" s="135">
        <f t="shared" si="288"/>
        <v>0</v>
      </c>
      <c r="G537" s="135">
        <f t="shared" si="288"/>
        <v>0</v>
      </c>
      <c r="H537" s="135">
        <f t="shared" si="288"/>
        <v>0</v>
      </c>
      <c r="I537" s="135">
        <f t="shared" si="288"/>
        <v>0</v>
      </c>
      <c r="J537" s="135">
        <f t="shared" si="288"/>
        <v>0</v>
      </c>
      <c r="K537" s="135">
        <f t="shared" si="288"/>
        <v>0</v>
      </c>
      <c r="L537" s="136">
        <f t="shared" si="288"/>
        <v>0</v>
      </c>
    </row>
    <row r="538" spans="3:12" ht="15.6" hidden="1">
      <c r="C538" s="39" t="str">
        <f t="shared" si="266"/>
        <v>H</v>
      </c>
      <c r="D538" s="45" t="str">
        <f>Parameter!C$31</f>
        <v>Reverb</v>
      </c>
      <c r="E538" s="134">
        <f t="shared" ref="E538:L538" si="289">SUMIF(Y_VRPC_PR, E$10&amp;"_"&amp;$D513&amp;"_"&amp;$D538, VRPanelRev)</f>
        <v>0</v>
      </c>
      <c r="F538" s="135">
        <f t="shared" si="289"/>
        <v>0</v>
      </c>
      <c r="G538" s="135">
        <f t="shared" si="289"/>
        <v>0</v>
      </c>
      <c r="H538" s="135">
        <f t="shared" si="289"/>
        <v>0</v>
      </c>
      <c r="I538" s="135">
        <f t="shared" si="289"/>
        <v>0</v>
      </c>
      <c r="J538" s="135">
        <f t="shared" si="289"/>
        <v>0</v>
      </c>
      <c r="K538" s="135">
        <f t="shared" si="289"/>
        <v>0</v>
      </c>
      <c r="L538" s="136">
        <f t="shared" si="289"/>
        <v>0</v>
      </c>
    </row>
    <row r="539" spans="3:12" ht="15.6" hidden="1">
      <c r="C539" s="39" t="str">
        <f t="shared" si="266"/>
        <v>H</v>
      </c>
      <c r="D539" s="45" t="str">
        <f>Parameter!C$32</f>
        <v>Reverb G2</v>
      </c>
      <c r="E539" s="134">
        <f t="shared" ref="E539:L539" si="290">SUMIF(Y_VRPC_PR, E$10&amp;"_"&amp;$D513&amp;"_"&amp;$D539, VRPanelRev)</f>
        <v>0</v>
      </c>
      <c r="F539" s="135">
        <f t="shared" si="290"/>
        <v>0</v>
      </c>
      <c r="G539" s="135">
        <f t="shared" si="290"/>
        <v>0</v>
      </c>
      <c r="H539" s="135">
        <f t="shared" si="290"/>
        <v>0</v>
      </c>
      <c r="I539" s="135">
        <f t="shared" si="290"/>
        <v>0</v>
      </c>
      <c r="J539" s="135">
        <f t="shared" si="290"/>
        <v>0</v>
      </c>
      <c r="K539" s="135">
        <f t="shared" si="290"/>
        <v>0</v>
      </c>
      <c r="L539" s="136">
        <f t="shared" si="290"/>
        <v>0</v>
      </c>
    </row>
    <row r="540" spans="3:12" ht="15.6" hidden="1">
      <c r="C540" s="39" t="str">
        <f t="shared" si="266"/>
        <v>H</v>
      </c>
      <c r="D540" s="45" t="str">
        <f>Parameter!C$33</f>
        <v>Rift S</v>
      </c>
      <c r="E540" s="134">
        <f t="shared" ref="E540:L540" si="291">SUMIF(Y_VRPC_PR, E$10&amp;"_"&amp;$D513&amp;"_"&amp;$D540, VRPanelRev)</f>
        <v>0</v>
      </c>
      <c r="F540" s="135">
        <f t="shared" si="291"/>
        <v>0</v>
      </c>
      <c r="G540" s="135">
        <f t="shared" si="291"/>
        <v>0</v>
      </c>
      <c r="H540" s="135">
        <f t="shared" si="291"/>
        <v>0</v>
      </c>
      <c r="I540" s="135">
        <f t="shared" si="291"/>
        <v>0</v>
      </c>
      <c r="J540" s="135">
        <f t="shared" si="291"/>
        <v>0</v>
      </c>
      <c r="K540" s="135">
        <f t="shared" si="291"/>
        <v>0</v>
      </c>
      <c r="L540" s="136">
        <f t="shared" si="291"/>
        <v>0</v>
      </c>
    </row>
    <row r="541" spans="3:12" ht="15.6" hidden="1">
      <c r="C541" s="39" t="str">
        <f t="shared" si="266"/>
        <v>H</v>
      </c>
      <c r="D541" s="45" t="str">
        <f>Parameter!C$34</f>
        <v>Single LCD VR headset</v>
      </c>
      <c r="E541" s="134">
        <f t="shared" ref="E541:L541" si="292">SUMIF(Y_VRPC_PR, E$10&amp;"_"&amp;$D513&amp;"_"&amp;$D541, VRPanelRev)</f>
        <v>0</v>
      </c>
      <c r="F541" s="135">
        <f t="shared" si="292"/>
        <v>0</v>
      </c>
      <c r="G541" s="135">
        <f t="shared" si="292"/>
        <v>0</v>
      </c>
      <c r="H541" s="135">
        <f t="shared" si="292"/>
        <v>0</v>
      </c>
      <c r="I541" s="135">
        <f t="shared" si="292"/>
        <v>0</v>
      </c>
      <c r="J541" s="135">
        <f t="shared" si="292"/>
        <v>0</v>
      </c>
      <c r="K541" s="135">
        <f t="shared" si="292"/>
        <v>0</v>
      </c>
      <c r="L541" s="136">
        <f t="shared" si="292"/>
        <v>0</v>
      </c>
    </row>
    <row r="542" spans="3:12" ht="15.6" hidden="1">
      <c r="C542" s="39" t="str">
        <f t="shared" si="266"/>
        <v>H</v>
      </c>
      <c r="D542" s="45" t="str">
        <f>Parameter!C$35</f>
        <v>ThinkReality VRX</v>
      </c>
      <c r="E542" s="134">
        <f t="shared" ref="E542:L542" si="293">SUMIF(Y_VRPC_PR, E$10&amp;"_"&amp;$D513&amp;"_"&amp;$D542, VRPanelRev)</f>
        <v>0</v>
      </c>
      <c r="F542" s="135">
        <f t="shared" si="293"/>
        <v>0</v>
      </c>
      <c r="G542" s="135">
        <f t="shared" si="293"/>
        <v>0</v>
      </c>
      <c r="H542" s="135">
        <f t="shared" si="293"/>
        <v>0</v>
      </c>
      <c r="I542" s="135">
        <f t="shared" si="293"/>
        <v>0</v>
      </c>
      <c r="J542" s="135">
        <f t="shared" si="293"/>
        <v>0</v>
      </c>
      <c r="K542" s="135">
        <f t="shared" si="293"/>
        <v>0</v>
      </c>
      <c r="L542" s="136">
        <f t="shared" si="293"/>
        <v>0</v>
      </c>
    </row>
    <row r="543" spans="3:12" ht="15.6" hidden="1">
      <c r="C543" s="39" t="str">
        <f t="shared" si="266"/>
        <v>H</v>
      </c>
      <c r="D543" s="45" t="str">
        <f>Parameter!C$36</f>
        <v>Vision Pro</v>
      </c>
      <c r="E543" s="134">
        <f t="shared" ref="E543:L543" si="294">SUMIF(Y_VRPC_PR, E$10&amp;"_"&amp;$D513&amp;"_"&amp;$D543, VRPanelRev)</f>
        <v>0</v>
      </c>
      <c r="F543" s="135">
        <f t="shared" si="294"/>
        <v>0</v>
      </c>
      <c r="G543" s="135">
        <f t="shared" si="294"/>
        <v>0</v>
      </c>
      <c r="H543" s="135">
        <f t="shared" si="294"/>
        <v>0</v>
      </c>
      <c r="I543" s="135">
        <f t="shared" si="294"/>
        <v>0</v>
      </c>
      <c r="J543" s="135">
        <f t="shared" si="294"/>
        <v>0</v>
      </c>
      <c r="K543" s="135">
        <f t="shared" si="294"/>
        <v>0</v>
      </c>
      <c r="L543" s="136">
        <f t="shared" si="294"/>
        <v>0</v>
      </c>
    </row>
    <row r="544" spans="3:12" ht="15.6" hidden="1">
      <c r="C544" s="39" t="str">
        <f t="shared" si="266"/>
        <v>H</v>
      </c>
      <c r="D544" s="45" t="str">
        <f>Parameter!C$37</f>
        <v>Vive LCD headsets</v>
      </c>
      <c r="E544" s="134">
        <f t="shared" ref="E544:L544" si="295">SUMIF(Y_VRPC_PR, E$10&amp;"_"&amp;$D513&amp;"_"&amp;$D544, VRPanelRev)</f>
        <v>0</v>
      </c>
      <c r="F544" s="135">
        <f t="shared" si="295"/>
        <v>0</v>
      </c>
      <c r="G544" s="135">
        <f t="shared" si="295"/>
        <v>0</v>
      </c>
      <c r="H544" s="135">
        <f t="shared" si="295"/>
        <v>0</v>
      </c>
      <c r="I544" s="135">
        <f t="shared" si="295"/>
        <v>0</v>
      </c>
      <c r="J544" s="135">
        <f t="shared" si="295"/>
        <v>0</v>
      </c>
      <c r="K544" s="135">
        <f t="shared" si="295"/>
        <v>0</v>
      </c>
      <c r="L544" s="136">
        <f t="shared" si="295"/>
        <v>0</v>
      </c>
    </row>
    <row r="545" spans="3:12" ht="15.6" hidden="1">
      <c r="C545" s="39" t="str">
        <f t="shared" si="266"/>
        <v>H</v>
      </c>
      <c r="D545" s="45" t="str">
        <f>Parameter!C$38</f>
        <v>VR1</v>
      </c>
      <c r="E545" s="134">
        <f t="shared" ref="E545:L545" si="296">SUMIF(Y_VRPC_PR, E$10&amp;"_"&amp;$D513&amp;"_"&amp;$D545, VRPanelRev)</f>
        <v>0</v>
      </c>
      <c r="F545" s="135">
        <f t="shared" si="296"/>
        <v>0</v>
      </c>
      <c r="G545" s="135">
        <f t="shared" si="296"/>
        <v>0</v>
      </c>
      <c r="H545" s="135">
        <f t="shared" si="296"/>
        <v>0</v>
      </c>
      <c r="I545" s="135">
        <f t="shared" si="296"/>
        <v>0</v>
      </c>
      <c r="J545" s="135">
        <f t="shared" si="296"/>
        <v>0</v>
      </c>
      <c r="K545" s="135">
        <f t="shared" si="296"/>
        <v>0</v>
      </c>
      <c r="L545" s="136">
        <f t="shared" si="296"/>
        <v>0</v>
      </c>
    </row>
    <row r="546" spans="3:12" ht="15.6" hidden="1">
      <c r="C546" s="39" t="str">
        <f t="shared" si="266"/>
        <v>H</v>
      </c>
      <c r="D546" s="45" t="str">
        <f>Parameter!C$39</f>
        <v>XR-4</v>
      </c>
      <c r="E546" s="134">
        <f t="shared" ref="E546:L546" si="297">SUMIF(Y_VRPC_PR, E$10&amp;"_"&amp;$D513&amp;"_"&amp;$D546, VRPanelRev)</f>
        <v>0</v>
      </c>
      <c r="F546" s="135">
        <f t="shared" si="297"/>
        <v>0</v>
      </c>
      <c r="G546" s="135">
        <f t="shared" si="297"/>
        <v>0</v>
      </c>
      <c r="H546" s="135">
        <f t="shared" si="297"/>
        <v>0</v>
      </c>
      <c r="I546" s="135">
        <f t="shared" si="297"/>
        <v>0</v>
      </c>
      <c r="J546" s="135">
        <f t="shared" si="297"/>
        <v>0</v>
      </c>
      <c r="K546" s="135">
        <f t="shared" si="297"/>
        <v>0</v>
      </c>
      <c r="L546" s="136">
        <f t="shared" si="297"/>
        <v>0</v>
      </c>
    </row>
    <row r="547" spans="3:12" ht="15.6" hidden="1">
      <c r="C547" s="39" t="str">
        <f t="shared" si="266"/>
        <v>H</v>
      </c>
      <c r="D547" s="45">
        <f>Parameter!C$40</f>
        <v>0</v>
      </c>
      <c r="E547" s="134">
        <f t="shared" ref="E547:L547" si="298">SUMIF(Y_VRPC_PR, E$10&amp;"_"&amp;$D513&amp;"_"&amp;$D547, VRPanelRev)</f>
        <v>0</v>
      </c>
      <c r="F547" s="135">
        <f t="shared" si="298"/>
        <v>0</v>
      </c>
      <c r="G547" s="135">
        <f t="shared" si="298"/>
        <v>0</v>
      </c>
      <c r="H547" s="135">
        <f t="shared" si="298"/>
        <v>0</v>
      </c>
      <c r="I547" s="135">
        <f t="shared" si="298"/>
        <v>0</v>
      </c>
      <c r="J547" s="135">
        <f t="shared" si="298"/>
        <v>0</v>
      </c>
      <c r="K547" s="135">
        <f t="shared" si="298"/>
        <v>0</v>
      </c>
      <c r="L547" s="136">
        <f t="shared" si="298"/>
        <v>0</v>
      </c>
    </row>
    <row r="548" spans="3:12" ht="15.6" hidden="1">
      <c r="C548" s="39" t="str">
        <f t="shared" si="266"/>
        <v>H</v>
      </c>
      <c r="D548" s="45">
        <f>Parameter!C$41</f>
        <v>0</v>
      </c>
      <c r="E548" s="134">
        <f t="shared" ref="E548:L548" si="299">SUMIF(Y_VRPC_PR, E$10&amp;"_"&amp;$D513&amp;"_"&amp;$D548, VRPanelRev)</f>
        <v>0</v>
      </c>
      <c r="F548" s="135">
        <f t="shared" si="299"/>
        <v>0</v>
      </c>
      <c r="G548" s="135">
        <f t="shared" si="299"/>
        <v>0</v>
      </c>
      <c r="H548" s="135">
        <f t="shared" si="299"/>
        <v>0</v>
      </c>
      <c r="I548" s="135">
        <f t="shared" si="299"/>
        <v>0</v>
      </c>
      <c r="J548" s="135">
        <f t="shared" si="299"/>
        <v>0</v>
      </c>
      <c r="K548" s="135">
        <f t="shared" si="299"/>
        <v>0</v>
      </c>
      <c r="L548" s="136">
        <f t="shared" si="299"/>
        <v>0</v>
      </c>
    </row>
    <row r="549" spans="3:12" ht="15.6" hidden="1">
      <c r="C549" s="39" t="str">
        <f t="shared" si="266"/>
        <v>H</v>
      </c>
      <c r="D549" s="45">
        <f>Parameter!C$42</f>
        <v>0</v>
      </c>
      <c r="E549" s="134">
        <f t="shared" ref="E549:L549" si="300">SUMIF(Y_VRPC_PR, E$10&amp;"_"&amp;$D513&amp;"_"&amp;$D549, VRPanelRev)</f>
        <v>0</v>
      </c>
      <c r="F549" s="135">
        <f t="shared" si="300"/>
        <v>0</v>
      </c>
      <c r="G549" s="135">
        <f t="shared" si="300"/>
        <v>0</v>
      </c>
      <c r="H549" s="135">
        <f t="shared" si="300"/>
        <v>0</v>
      </c>
      <c r="I549" s="135">
        <f t="shared" si="300"/>
        <v>0</v>
      </c>
      <c r="J549" s="135">
        <f t="shared" si="300"/>
        <v>0</v>
      </c>
      <c r="K549" s="135">
        <f t="shared" si="300"/>
        <v>0</v>
      </c>
      <c r="L549" s="136">
        <f t="shared" si="300"/>
        <v>0</v>
      </c>
    </row>
    <row r="550" spans="3:12" ht="15.6" hidden="1">
      <c r="C550" s="39" t="str">
        <f t="shared" si="266"/>
        <v>H</v>
      </c>
      <c r="D550" s="45">
        <f>Parameter!C$43</f>
        <v>0</v>
      </c>
      <c r="E550" s="134">
        <f t="shared" ref="E550:L550" si="301">SUMIF(Y_VRPC_PR, E$10&amp;"_"&amp;$D513&amp;"_"&amp;$D550, VRPanelRev)</f>
        <v>0</v>
      </c>
      <c r="F550" s="135">
        <f t="shared" si="301"/>
        <v>0</v>
      </c>
      <c r="G550" s="135">
        <f t="shared" si="301"/>
        <v>0</v>
      </c>
      <c r="H550" s="135">
        <f t="shared" si="301"/>
        <v>0</v>
      </c>
      <c r="I550" s="135">
        <f t="shared" si="301"/>
        <v>0</v>
      </c>
      <c r="J550" s="135">
        <f t="shared" si="301"/>
        <v>0</v>
      </c>
      <c r="K550" s="135">
        <f t="shared" si="301"/>
        <v>0</v>
      </c>
      <c r="L550" s="136">
        <f t="shared" si="301"/>
        <v>0</v>
      </c>
    </row>
    <row r="551" spans="3:12" ht="15.6" hidden="1">
      <c r="C551" s="39" t="str">
        <f t="shared" si="266"/>
        <v>H</v>
      </c>
      <c r="D551" s="45">
        <f>Parameter!C$44</f>
        <v>0</v>
      </c>
      <c r="E551" s="134">
        <f t="shared" ref="E551:L551" si="302">SUMIF(Y_VRPC_PR, E$10&amp;"_"&amp;$D513&amp;"_"&amp;$D551, VRPanelRev)</f>
        <v>0</v>
      </c>
      <c r="F551" s="135">
        <f t="shared" si="302"/>
        <v>0</v>
      </c>
      <c r="G551" s="135">
        <f t="shared" si="302"/>
        <v>0</v>
      </c>
      <c r="H551" s="135">
        <f t="shared" si="302"/>
        <v>0</v>
      </c>
      <c r="I551" s="135">
        <f t="shared" si="302"/>
        <v>0</v>
      </c>
      <c r="J551" s="135">
        <f t="shared" si="302"/>
        <v>0</v>
      </c>
      <c r="K551" s="135">
        <f t="shared" si="302"/>
        <v>0</v>
      </c>
      <c r="L551" s="136">
        <f t="shared" si="302"/>
        <v>0</v>
      </c>
    </row>
    <row r="552" spans="3:12" ht="15.6" hidden="1">
      <c r="C552" s="39" t="str">
        <f t="shared" si="266"/>
        <v>H</v>
      </c>
      <c r="D552" s="45">
        <f>Parameter!C$45</f>
        <v>0</v>
      </c>
      <c r="E552" s="134">
        <f t="shared" ref="E552:L552" si="303">SUMIF(Y_VRPC_PR, E$10&amp;"_"&amp;$D513&amp;"_"&amp;$D552, VRPanelRev)</f>
        <v>0</v>
      </c>
      <c r="F552" s="135">
        <f t="shared" si="303"/>
        <v>0</v>
      </c>
      <c r="G552" s="135">
        <f t="shared" si="303"/>
        <v>0</v>
      </c>
      <c r="H552" s="135">
        <f t="shared" si="303"/>
        <v>0</v>
      </c>
      <c r="I552" s="135">
        <f t="shared" si="303"/>
        <v>0</v>
      </c>
      <c r="J552" s="135">
        <f t="shared" si="303"/>
        <v>0</v>
      </c>
      <c r="K552" s="135">
        <f t="shared" si="303"/>
        <v>0</v>
      </c>
      <c r="L552" s="136">
        <f t="shared" si="303"/>
        <v>0</v>
      </c>
    </row>
    <row r="553" spans="3:12" ht="15.6" hidden="1">
      <c r="C553" s="39" t="str">
        <f t="shared" si="266"/>
        <v>H</v>
      </c>
      <c r="D553" s="45">
        <f>Parameter!C$46</f>
        <v>0</v>
      </c>
      <c r="E553" s="134">
        <f t="shared" ref="E553:L553" si="304">SUMIF(Y_VRPC_PR, E$10&amp;"_"&amp;$D513&amp;"_"&amp;$D553, VRPanelRev)</f>
        <v>0</v>
      </c>
      <c r="F553" s="135">
        <f t="shared" si="304"/>
        <v>0</v>
      </c>
      <c r="G553" s="135">
        <f t="shared" si="304"/>
        <v>0</v>
      </c>
      <c r="H553" s="135">
        <f t="shared" si="304"/>
        <v>0</v>
      </c>
      <c r="I553" s="135">
        <f t="shared" si="304"/>
        <v>0</v>
      </c>
      <c r="J553" s="135">
        <f t="shared" si="304"/>
        <v>0</v>
      </c>
      <c r="K553" s="135">
        <f t="shared" si="304"/>
        <v>0</v>
      </c>
      <c r="L553" s="136">
        <f t="shared" si="304"/>
        <v>0</v>
      </c>
    </row>
    <row r="554" spans="3:12" ht="15.6" hidden="1">
      <c r="C554" s="39" t="str">
        <f t="shared" si="266"/>
        <v>H</v>
      </c>
      <c r="D554" s="45">
        <f>Parameter!C$47</f>
        <v>0</v>
      </c>
      <c r="E554" s="134">
        <f t="shared" ref="E554:L554" si="305">SUMIF(Y_VRPC_PR, E$10&amp;"_"&amp;$D513&amp;"_"&amp;$D554, VRPanelRev)</f>
        <v>0</v>
      </c>
      <c r="F554" s="135">
        <f t="shared" si="305"/>
        <v>0</v>
      </c>
      <c r="G554" s="135">
        <f t="shared" si="305"/>
        <v>0</v>
      </c>
      <c r="H554" s="135">
        <f t="shared" si="305"/>
        <v>0</v>
      </c>
      <c r="I554" s="135">
        <f t="shared" si="305"/>
        <v>0</v>
      </c>
      <c r="J554" s="135">
        <f t="shared" si="305"/>
        <v>0</v>
      </c>
      <c r="K554" s="135">
        <f t="shared" si="305"/>
        <v>0</v>
      </c>
      <c r="L554" s="136">
        <f t="shared" si="305"/>
        <v>0</v>
      </c>
    </row>
    <row r="555" spans="3:12" ht="15.6" hidden="1">
      <c r="C555" s="39" t="str">
        <f t="shared" si="266"/>
        <v>H</v>
      </c>
      <c r="D555" s="45">
        <f>Parameter!C$48</f>
        <v>0</v>
      </c>
      <c r="E555" s="134">
        <f t="shared" ref="E555:L555" si="306">SUMIF(Y_VRPC_PR, E$10&amp;"_"&amp;$D513&amp;"_"&amp;$D555, VRPanelRev)</f>
        <v>0</v>
      </c>
      <c r="F555" s="135">
        <f t="shared" si="306"/>
        <v>0</v>
      </c>
      <c r="G555" s="135">
        <f t="shared" si="306"/>
        <v>0</v>
      </c>
      <c r="H555" s="135">
        <f t="shared" si="306"/>
        <v>0</v>
      </c>
      <c r="I555" s="135">
        <f t="shared" si="306"/>
        <v>0</v>
      </c>
      <c r="J555" s="135">
        <f t="shared" si="306"/>
        <v>0</v>
      </c>
      <c r="K555" s="135">
        <f t="shared" si="306"/>
        <v>0</v>
      </c>
      <c r="L555" s="136">
        <f t="shared" si="306"/>
        <v>0</v>
      </c>
    </row>
    <row r="556" spans="3:12" ht="15.6" hidden="1">
      <c r="C556" s="39" t="str">
        <f t="shared" si="266"/>
        <v>H</v>
      </c>
      <c r="D556" s="45">
        <f>Parameter!C$49</f>
        <v>0</v>
      </c>
      <c r="E556" s="134">
        <f t="shared" ref="E556:L556" si="307">SUMIF(Y_VRPC_PR, E$10&amp;"_"&amp;$D513&amp;"_"&amp;$D556, VRPanelRev)</f>
        <v>0</v>
      </c>
      <c r="F556" s="135">
        <f t="shared" si="307"/>
        <v>0</v>
      </c>
      <c r="G556" s="135">
        <f t="shared" si="307"/>
        <v>0</v>
      </c>
      <c r="H556" s="135">
        <f t="shared" si="307"/>
        <v>0</v>
      </c>
      <c r="I556" s="135">
        <f t="shared" si="307"/>
        <v>0</v>
      </c>
      <c r="J556" s="135">
        <f t="shared" si="307"/>
        <v>0</v>
      </c>
      <c r="K556" s="135">
        <f t="shared" si="307"/>
        <v>0</v>
      </c>
      <c r="L556" s="136">
        <f t="shared" si="307"/>
        <v>0</v>
      </c>
    </row>
    <row r="557" spans="3:12" ht="15.6" hidden="1">
      <c r="C557" s="39" t="str">
        <f t="shared" si="266"/>
        <v>H</v>
      </c>
      <c r="D557" s="45">
        <f>Parameter!C$50</f>
        <v>0</v>
      </c>
      <c r="E557" s="134">
        <f t="shared" ref="E557:L557" si="308">SUMIF(Y_VRPC_PR, E$10&amp;"_"&amp;$D513&amp;"_"&amp;$D557, VRPanelRev)</f>
        <v>0</v>
      </c>
      <c r="F557" s="135">
        <f t="shared" si="308"/>
        <v>0</v>
      </c>
      <c r="G557" s="135">
        <f t="shared" si="308"/>
        <v>0</v>
      </c>
      <c r="H557" s="135">
        <f t="shared" si="308"/>
        <v>0</v>
      </c>
      <c r="I557" s="135">
        <f t="shared" si="308"/>
        <v>0</v>
      </c>
      <c r="J557" s="135">
        <f t="shared" si="308"/>
        <v>0</v>
      </c>
      <c r="K557" s="135">
        <f t="shared" si="308"/>
        <v>0</v>
      </c>
      <c r="L557" s="136">
        <f t="shared" si="308"/>
        <v>0</v>
      </c>
    </row>
    <row r="558" spans="3:12" ht="15.6" hidden="1">
      <c r="C558" s="39" t="str">
        <f t="shared" si="266"/>
        <v>H</v>
      </c>
      <c r="D558" s="45">
        <f>Parameter!C$51</f>
        <v>0</v>
      </c>
      <c r="E558" s="134">
        <f t="shared" ref="E558:L558" si="309">SUMIF(Y_VRPC_PR, E$10&amp;"_"&amp;$D513&amp;"_"&amp;$D558, VRPanelRev)</f>
        <v>0</v>
      </c>
      <c r="F558" s="135">
        <f t="shared" si="309"/>
        <v>0</v>
      </c>
      <c r="G558" s="135">
        <f t="shared" si="309"/>
        <v>0</v>
      </c>
      <c r="H558" s="135">
        <f t="shared" si="309"/>
        <v>0</v>
      </c>
      <c r="I558" s="135">
        <f t="shared" si="309"/>
        <v>0</v>
      </c>
      <c r="J558" s="135">
        <f t="shared" si="309"/>
        <v>0</v>
      </c>
      <c r="K558" s="135">
        <f t="shared" si="309"/>
        <v>0</v>
      </c>
      <c r="L558" s="136">
        <f t="shared" si="309"/>
        <v>0</v>
      </c>
    </row>
    <row r="559" spans="3:12" ht="15.6" hidden="1">
      <c r="C559" s="39" t="str">
        <f t="shared" si="266"/>
        <v>H</v>
      </c>
      <c r="D559" s="45">
        <f>Parameter!C$52</f>
        <v>0</v>
      </c>
      <c r="E559" s="134">
        <f t="shared" ref="E559:L559" si="310">SUMIF(Y_VRPC_PR, E$10&amp;"_"&amp;$D513&amp;"_"&amp;$D559, VRPanelRev)</f>
        <v>0</v>
      </c>
      <c r="F559" s="135">
        <f t="shared" si="310"/>
        <v>0</v>
      </c>
      <c r="G559" s="135">
        <f t="shared" si="310"/>
        <v>0</v>
      </c>
      <c r="H559" s="135">
        <f t="shared" si="310"/>
        <v>0</v>
      </c>
      <c r="I559" s="135">
        <f t="shared" si="310"/>
        <v>0</v>
      </c>
      <c r="J559" s="135">
        <f t="shared" si="310"/>
        <v>0</v>
      </c>
      <c r="K559" s="135">
        <f t="shared" si="310"/>
        <v>0</v>
      </c>
      <c r="L559" s="136">
        <f t="shared" si="310"/>
        <v>0</v>
      </c>
    </row>
    <row r="560" spans="3:12" ht="15.6" hidden="1">
      <c r="C560" s="39" t="str">
        <f t="shared" si="266"/>
        <v>H</v>
      </c>
      <c r="D560" s="45">
        <f>Parameter!C$53</f>
        <v>0</v>
      </c>
      <c r="E560" s="134">
        <f t="shared" ref="E560:L560" si="311">SUMIF(Y_VRPC_PR, E$10&amp;"_"&amp;$D513&amp;"_"&amp;$D560, VRPanelRev)</f>
        <v>0</v>
      </c>
      <c r="F560" s="135">
        <f t="shared" si="311"/>
        <v>0</v>
      </c>
      <c r="G560" s="135">
        <f t="shared" si="311"/>
        <v>0</v>
      </c>
      <c r="H560" s="135">
        <f t="shared" si="311"/>
        <v>0</v>
      </c>
      <c r="I560" s="135">
        <f t="shared" si="311"/>
        <v>0</v>
      </c>
      <c r="J560" s="135">
        <f t="shared" si="311"/>
        <v>0</v>
      </c>
      <c r="K560" s="135">
        <f t="shared" si="311"/>
        <v>0</v>
      </c>
      <c r="L560" s="136">
        <f t="shared" si="311"/>
        <v>0</v>
      </c>
    </row>
    <row r="561" spans="3:12" ht="15.6" hidden="1">
      <c r="C561" s="39" t="str">
        <f t="shared" si="266"/>
        <v>H</v>
      </c>
      <c r="D561" s="45">
        <f>Parameter!C$54</f>
        <v>0</v>
      </c>
      <c r="E561" s="134">
        <f t="shared" ref="E561:L561" si="312">SUMIF(Y_VRPC_PR, E$10&amp;"_"&amp;$D513&amp;"_"&amp;$D561, VRPanelRev)</f>
        <v>0</v>
      </c>
      <c r="F561" s="135">
        <f t="shared" si="312"/>
        <v>0</v>
      </c>
      <c r="G561" s="135">
        <f t="shared" si="312"/>
        <v>0</v>
      </c>
      <c r="H561" s="135">
        <f t="shared" si="312"/>
        <v>0</v>
      </c>
      <c r="I561" s="135">
        <f t="shared" si="312"/>
        <v>0</v>
      </c>
      <c r="J561" s="135">
        <f t="shared" si="312"/>
        <v>0</v>
      </c>
      <c r="K561" s="135">
        <f t="shared" si="312"/>
        <v>0</v>
      </c>
      <c r="L561" s="136">
        <f t="shared" si="312"/>
        <v>0</v>
      </c>
    </row>
    <row r="562" spans="3:12" ht="15.6" hidden="1">
      <c r="C562" s="39" t="str">
        <f t="shared" si="266"/>
        <v>H</v>
      </c>
      <c r="D562" s="45">
        <f>Parameter!C$55</f>
        <v>0</v>
      </c>
      <c r="E562" s="134">
        <f t="shared" ref="E562:L562" si="313">SUMIF(Y_VRPC_PR, E$10&amp;"_"&amp;$D513&amp;"_"&amp;$D562, VRPanelRev)</f>
        <v>0</v>
      </c>
      <c r="F562" s="135">
        <f t="shared" si="313"/>
        <v>0</v>
      </c>
      <c r="G562" s="135">
        <f t="shared" si="313"/>
        <v>0</v>
      </c>
      <c r="H562" s="135">
        <f t="shared" si="313"/>
        <v>0</v>
      </c>
      <c r="I562" s="135">
        <f t="shared" si="313"/>
        <v>0</v>
      </c>
      <c r="J562" s="135">
        <f t="shared" si="313"/>
        <v>0</v>
      </c>
      <c r="K562" s="135">
        <f t="shared" si="313"/>
        <v>0</v>
      </c>
      <c r="L562" s="136">
        <f t="shared" si="313"/>
        <v>0</v>
      </c>
    </row>
    <row r="563" spans="3:12" ht="15.6" hidden="1">
      <c r="C563" s="39" t="str">
        <f t="shared" si="266"/>
        <v>H</v>
      </c>
      <c r="D563" s="45">
        <f>Parameter!C$56</f>
        <v>0</v>
      </c>
      <c r="E563" s="134">
        <f t="shared" ref="E563:L563" si="314">SUMIF(Y_VRPC_PR, E$10&amp;"_"&amp;$D513&amp;"_"&amp;$D563, VRPanelRev)</f>
        <v>0</v>
      </c>
      <c r="F563" s="135">
        <f t="shared" si="314"/>
        <v>0</v>
      </c>
      <c r="G563" s="135">
        <f t="shared" si="314"/>
        <v>0</v>
      </c>
      <c r="H563" s="135">
        <f t="shared" si="314"/>
        <v>0</v>
      </c>
      <c r="I563" s="135">
        <f t="shared" si="314"/>
        <v>0</v>
      </c>
      <c r="J563" s="135">
        <f t="shared" si="314"/>
        <v>0</v>
      </c>
      <c r="K563" s="135">
        <f t="shared" si="314"/>
        <v>0</v>
      </c>
      <c r="L563" s="136">
        <f t="shared" si="314"/>
        <v>0</v>
      </c>
    </row>
    <row r="564" spans="3:12" ht="16.2" hidden="1" thickBot="1">
      <c r="C564" s="39" t="str">
        <f t="shared" si="266"/>
        <v>H</v>
      </c>
      <c r="D564" s="53" t="str">
        <f>Parameter!C$57</f>
        <v>ALL</v>
      </c>
      <c r="E564" s="137">
        <f t="shared" ref="E564:L564" si="315">SUMIF(Y_VRPC_PR, E$10&amp;"_"&amp;$D513&amp;"_"&amp;$D564, VRPanelRev)</f>
        <v>0</v>
      </c>
      <c r="F564" s="138">
        <f t="shared" si="315"/>
        <v>0</v>
      </c>
      <c r="G564" s="138">
        <f t="shared" si="315"/>
        <v>0</v>
      </c>
      <c r="H564" s="138">
        <f t="shared" si="315"/>
        <v>0</v>
      </c>
      <c r="I564" s="138">
        <f t="shared" si="315"/>
        <v>0</v>
      </c>
      <c r="J564" s="138">
        <f t="shared" si="315"/>
        <v>0</v>
      </c>
      <c r="K564" s="138">
        <f t="shared" si="315"/>
        <v>0</v>
      </c>
      <c r="L564" s="139">
        <f t="shared" si="315"/>
        <v>0</v>
      </c>
    </row>
    <row r="565" spans="3:12" ht="15.6" hidden="1">
      <c r="C565" s="39" t="str">
        <f t="shared" si="266"/>
        <v>H</v>
      </c>
      <c r="D565" s="54" t="s">
        <v>87</v>
      </c>
      <c r="E565" s="140">
        <f>SUM(E515:E564)</f>
        <v>0</v>
      </c>
      <c r="F565" s="141">
        <f t="shared" ref="F565:L565" si="316">SUM(F515:F564)</f>
        <v>0</v>
      </c>
      <c r="G565" s="141">
        <f t="shared" si="316"/>
        <v>0</v>
      </c>
      <c r="H565" s="141">
        <f t="shared" si="316"/>
        <v>0</v>
      </c>
      <c r="I565" s="141">
        <f t="shared" si="316"/>
        <v>0</v>
      </c>
      <c r="J565" s="141">
        <f t="shared" si="316"/>
        <v>0</v>
      </c>
      <c r="K565" s="141">
        <f t="shared" si="316"/>
        <v>0</v>
      </c>
      <c r="L565" s="142">
        <f t="shared" si="316"/>
        <v>0</v>
      </c>
    </row>
    <row r="566" spans="3:12" ht="16.2" hidden="1" thickBot="1">
      <c r="C566" s="39" t="str">
        <f t="shared" si="266"/>
        <v>H</v>
      </c>
      <c r="D566" s="46" t="s">
        <v>88</v>
      </c>
      <c r="E566" s="47"/>
      <c r="F566" s="50" t="str">
        <f t="shared" ref="F566:G566" si="317">IF(E565*F565=0, "", F565/E565-1)</f>
        <v/>
      </c>
      <c r="G566" s="50" t="str">
        <f t="shared" si="317"/>
        <v/>
      </c>
      <c r="H566" s="50" t="str">
        <f>IF(G565*H565=0, "", H565/G565-1)</f>
        <v/>
      </c>
      <c r="I566" s="50" t="str">
        <f t="shared" ref="I566:L566" si="318">IF(H565*I565=0, "", I565/H565-1)</f>
        <v/>
      </c>
      <c r="J566" s="50" t="str">
        <f t="shared" si="318"/>
        <v/>
      </c>
      <c r="K566" s="50" t="str">
        <f t="shared" si="318"/>
        <v/>
      </c>
      <c r="L566" s="51" t="str">
        <f t="shared" si="318"/>
        <v/>
      </c>
    </row>
    <row r="567" spans="3:12">
      <c r="C567"/>
    </row>
    <row r="568" spans="3:12" ht="14.4" thickBot="1">
      <c r="C568"/>
    </row>
    <row r="569" spans="3:12" ht="15" thickBot="1">
      <c r="C569"/>
      <c r="D569" s="52" t="s">
        <v>87</v>
      </c>
    </row>
    <row r="570" spans="3:12" ht="16.2" thickBot="1">
      <c r="C570"/>
      <c r="D570" s="40" t="s">
        <v>98</v>
      </c>
      <c r="E570" s="41" t="str">
        <f t="shared" ref="E570:L570" si="319">E10</f>
        <v>2022</v>
      </c>
      <c r="F570" s="42" t="str">
        <f t="shared" si="319"/>
        <v>2023</v>
      </c>
      <c r="G570" s="42" t="str">
        <f t="shared" si="319"/>
        <v>2024</v>
      </c>
      <c r="H570" s="42">
        <f t="shared" si="319"/>
        <v>2025</v>
      </c>
      <c r="I570" s="42" t="str">
        <f t="shared" si="319"/>
        <v>2026</v>
      </c>
      <c r="J570" s="42" t="str">
        <f t="shared" si="319"/>
        <v>2027</v>
      </c>
      <c r="K570" s="42" t="str">
        <f t="shared" si="319"/>
        <v>2028</v>
      </c>
      <c r="L570" s="43" t="str">
        <f t="shared" si="319"/>
        <v>2029</v>
      </c>
    </row>
    <row r="571" spans="3:12" ht="15.6" hidden="1">
      <c r="C571" s="39" t="str">
        <f>IF(SUM(E571:L571)=0, "H", "")</f>
        <v>H</v>
      </c>
      <c r="D571" s="44" t="str">
        <f>Parameter!G8</f>
        <v>1x AMOLED</v>
      </c>
      <c r="E571" s="134">
        <f t="shared" ref="E571:L580" si="320">SUMIF(ARVR_Y_PC, "VR_"&amp;E$10&amp;"_"&amp;$D571, PanelRev)</f>
        <v>0</v>
      </c>
      <c r="F571" s="135">
        <f t="shared" si="320"/>
        <v>0</v>
      </c>
      <c r="G571" s="135">
        <f t="shared" si="320"/>
        <v>0</v>
      </c>
      <c r="H571" s="135">
        <f t="shared" si="320"/>
        <v>0</v>
      </c>
      <c r="I571" s="135">
        <f t="shared" si="320"/>
        <v>0</v>
      </c>
      <c r="J571" s="135">
        <f t="shared" si="320"/>
        <v>0</v>
      </c>
      <c r="K571" s="135">
        <f t="shared" si="320"/>
        <v>0</v>
      </c>
      <c r="L571" s="136">
        <f t="shared" si="320"/>
        <v>0</v>
      </c>
    </row>
    <row r="572" spans="3:12" ht="15.6">
      <c r="C572" s="39" t="str">
        <f t="shared" ref="C572:C580" si="321">IF(SUM(E572:L572)=0, "H", "")</f>
        <v/>
      </c>
      <c r="D572" s="44" t="str">
        <f>Parameter!G9</f>
        <v>1x LCD</v>
      </c>
      <c r="E572" s="134">
        <f t="shared" si="320"/>
        <v>376.43915231999989</v>
      </c>
      <c r="F572" s="135">
        <f t="shared" si="320"/>
        <v>103.04713686146877</v>
      </c>
      <c r="G572" s="135">
        <f t="shared" si="320"/>
        <v>153.09167159559647</v>
      </c>
      <c r="H572" s="135">
        <f t="shared" si="320"/>
        <v>144.48500000000001</v>
      </c>
      <c r="I572" s="135">
        <f t="shared" si="320"/>
        <v>85.944427791425255</v>
      </c>
      <c r="J572" s="135">
        <f t="shared" si="320"/>
        <v>58.957877464917729</v>
      </c>
      <c r="K572" s="135">
        <f t="shared" si="320"/>
        <v>49.524617070530894</v>
      </c>
      <c r="L572" s="136">
        <f t="shared" si="320"/>
        <v>43.12</v>
      </c>
    </row>
    <row r="573" spans="3:12" ht="15.6">
      <c r="C573" s="39" t="str">
        <f t="shared" si="321"/>
        <v/>
      </c>
      <c r="D573" s="45" t="str">
        <f>Parameter!G10</f>
        <v>2x AMOLED</v>
      </c>
      <c r="E573" s="134">
        <f t="shared" si="320"/>
        <v>156.024</v>
      </c>
      <c r="F573" s="135">
        <f t="shared" si="320"/>
        <v>80.001319999999993</v>
      </c>
      <c r="G573" s="135">
        <f t="shared" si="320"/>
        <v>0</v>
      </c>
      <c r="H573" s="135">
        <f t="shared" si="320"/>
        <v>0</v>
      </c>
      <c r="I573" s="135">
        <f t="shared" si="320"/>
        <v>3.4628422212676191</v>
      </c>
      <c r="J573" s="135">
        <f t="shared" si="320"/>
        <v>44.820874338991757</v>
      </c>
      <c r="K573" s="135">
        <f t="shared" si="320"/>
        <v>92.054241264574003</v>
      </c>
      <c r="L573" s="136">
        <f t="shared" si="320"/>
        <v>93.875190437595279</v>
      </c>
    </row>
    <row r="574" spans="3:12" ht="15.6">
      <c r="C574" s="39" t="str">
        <f t="shared" si="321"/>
        <v/>
      </c>
      <c r="D574" s="45" t="str">
        <f>Parameter!G11</f>
        <v>2x LCD</v>
      </c>
      <c r="E574" s="134">
        <f t="shared" si="320"/>
        <v>26.752441407999999</v>
      </c>
      <c r="F574" s="135">
        <f t="shared" si="320"/>
        <v>257.65754145964797</v>
      </c>
      <c r="G574" s="135">
        <f t="shared" si="320"/>
        <v>137.66597936182657</v>
      </c>
      <c r="H574" s="135">
        <f t="shared" si="320"/>
        <v>110.76149652229634</v>
      </c>
      <c r="I574" s="135">
        <f t="shared" si="320"/>
        <v>220.01773514604872</v>
      </c>
      <c r="J574" s="135">
        <f t="shared" si="320"/>
        <v>336.90215694238708</v>
      </c>
      <c r="K574" s="135">
        <f t="shared" si="320"/>
        <v>293.47921226981276</v>
      </c>
      <c r="L574" s="136">
        <f t="shared" si="320"/>
        <v>309.76</v>
      </c>
    </row>
    <row r="575" spans="3:12" ht="16.2" thickBot="1">
      <c r="C575" s="39" t="str">
        <f t="shared" si="321"/>
        <v/>
      </c>
      <c r="D575" s="45" t="str">
        <f>Parameter!G12</f>
        <v>2x SiOLED</v>
      </c>
      <c r="E575" s="134">
        <f t="shared" si="320"/>
        <v>0.88208999999999993</v>
      </c>
      <c r="F575" s="135">
        <f t="shared" si="320"/>
        <v>107.58332453999999</v>
      </c>
      <c r="G575" s="135">
        <f t="shared" si="320"/>
        <v>176.78113192959995</v>
      </c>
      <c r="H575" s="135">
        <f t="shared" si="320"/>
        <v>38.370000000000005</v>
      </c>
      <c r="I575" s="135">
        <f t="shared" si="320"/>
        <v>140.14000000000001</v>
      </c>
      <c r="J575" s="135">
        <f t="shared" si="320"/>
        <v>625.31673684480018</v>
      </c>
      <c r="K575" s="135">
        <f t="shared" si="320"/>
        <v>634.93699433472011</v>
      </c>
      <c r="L575" s="136">
        <f t="shared" si="320"/>
        <v>910.07635854643195</v>
      </c>
    </row>
    <row r="576" spans="3:12" ht="15.6" hidden="1">
      <c r="C576" s="39" t="str">
        <f t="shared" si="321"/>
        <v>H</v>
      </c>
      <c r="D576" s="45">
        <f>Parameter!G13</f>
        <v>0</v>
      </c>
      <c r="E576" s="134">
        <f t="shared" si="320"/>
        <v>0</v>
      </c>
      <c r="F576" s="135">
        <f t="shared" si="320"/>
        <v>0</v>
      </c>
      <c r="G576" s="135">
        <f t="shared" si="320"/>
        <v>0</v>
      </c>
      <c r="H576" s="135">
        <f t="shared" si="320"/>
        <v>0</v>
      </c>
      <c r="I576" s="135">
        <f t="shared" si="320"/>
        <v>0</v>
      </c>
      <c r="J576" s="135">
        <f t="shared" si="320"/>
        <v>0</v>
      </c>
      <c r="K576" s="135">
        <f t="shared" si="320"/>
        <v>0</v>
      </c>
      <c r="L576" s="136">
        <f t="shared" si="320"/>
        <v>0</v>
      </c>
    </row>
    <row r="577" spans="3:12" ht="15.6" hidden="1">
      <c r="C577" s="39" t="str">
        <f t="shared" si="321"/>
        <v>H</v>
      </c>
      <c r="D577" s="45">
        <f>Parameter!G14</f>
        <v>0</v>
      </c>
      <c r="E577" s="134">
        <f t="shared" si="320"/>
        <v>0</v>
      </c>
      <c r="F577" s="135">
        <f t="shared" si="320"/>
        <v>0</v>
      </c>
      <c r="G577" s="135">
        <f t="shared" si="320"/>
        <v>0</v>
      </c>
      <c r="H577" s="135">
        <f t="shared" si="320"/>
        <v>0</v>
      </c>
      <c r="I577" s="135">
        <f t="shared" si="320"/>
        <v>0</v>
      </c>
      <c r="J577" s="135">
        <f t="shared" si="320"/>
        <v>0</v>
      </c>
      <c r="K577" s="135">
        <f t="shared" si="320"/>
        <v>0</v>
      </c>
      <c r="L577" s="136">
        <f t="shared" si="320"/>
        <v>0</v>
      </c>
    </row>
    <row r="578" spans="3:12" ht="15.6" hidden="1">
      <c r="C578" s="39" t="str">
        <f t="shared" si="321"/>
        <v>H</v>
      </c>
      <c r="D578" s="45">
        <f>Parameter!G15</f>
        <v>0</v>
      </c>
      <c r="E578" s="134">
        <f t="shared" si="320"/>
        <v>0</v>
      </c>
      <c r="F578" s="135">
        <f t="shared" si="320"/>
        <v>0</v>
      </c>
      <c r="G578" s="135">
        <f t="shared" si="320"/>
        <v>0</v>
      </c>
      <c r="H578" s="135">
        <f t="shared" si="320"/>
        <v>0</v>
      </c>
      <c r="I578" s="135">
        <f t="shared" si="320"/>
        <v>0</v>
      </c>
      <c r="J578" s="135">
        <f t="shared" si="320"/>
        <v>0</v>
      </c>
      <c r="K578" s="135">
        <f t="shared" si="320"/>
        <v>0</v>
      </c>
      <c r="L578" s="136">
        <f t="shared" si="320"/>
        <v>0</v>
      </c>
    </row>
    <row r="579" spans="3:12" ht="15.6" hidden="1">
      <c r="C579" s="39" t="str">
        <f t="shared" si="321"/>
        <v>H</v>
      </c>
      <c r="D579" s="45">
        <f>Parameter!G16</f>
        <v>0</v>
      </c>
      <c r="E579" s="134">
        <f t="shared" si="320"/>
        <v>0</v>
      </c>
      <c r="F579" s="135">
        <f t="shared" si="320"/>
        <v>0</v>
      </c>
      <c r="G579" s="135">
        <f t="shared" si="320"/>
        <v>0</v>
      </c>
      <c r="H579" s="135">
        <f t="shared" si="320"/>
        <v>0</v>
      </c>
      <c r="I579" s="135">
        <f t="shared" si="320"/>
        <v>0</v>
      </c>
      <c r="J579" s="135">
        <f t="shared" si="320"/>
        <v>0</v>
      </c>
      <c r="K579" s="135">
        <f t="shared" si="320"/>
        <v>0</v>
      </c>
      <c r="L579" s="136">
        <f t="shared" si="320"/>
        <v>0</v>
      </c>
    </row>
    <row r="580" spans="3:12" ht="16.2" hidden="1" thickBot="1">
      <c r="C580" s="39" t="str">
        <f t="shared" si="321"/>
        <v>H</v>
      </c>
      <c r="D580" s="45">
        <f>Parameter!G17</f>
        <v>0</v>
      </c>
      <c r="E580" s="134">
        <f t="shared" si="320"/>
        <v>0</v>
      </c>
      <c r="F580" s="135">
        <f t="shared" si="320"/>
        <v>0</v>
      </c>
      <c r="G580" s="135">
        <f t="shared" si="320"/>
        <v>0</v>
      </c>
      <c r="H580" s="135">
        <f t="shared" si="320"/>
        <v>0</v>
      </c>
      <c r="I580" s="135">
        <f t="shared" si="320"/>
        <v>0</v>
      </c>
      <c r="J580" s="135">
        <f t="shared" si="320"/>
        <v>0</v>
      </c>
      <c r="K580" s="135">
        <f t="shared" si="320"/>
        <v>0</v>
      </c>
      <c r="L580" s="136">
        <f t="shared" si="320"/>
        <v>0</v>
      </c>
    </row>
    <row r="581" spans="3:12" ht="15.6">
      <c r="C581"/>
      <c r="D581" s="54" t="s">
        <v>87</v>
      </c>
      <c r="E581" s="140">
        <f t="shared" ref="E581:L581" si="322">SUM(E571:E580)</f>
        <v>560.09768372799977</v>
      </c>
      <c r="F581" s="141">
        <f t="shared" si="322"/>
        <v>548.28932286111672</v>
      </c>
      <c r="G581" s="141">
        <f t="shared" si="322"/>
        <v>467.53878288702299</v>
      </c>
      <c r="H581" s="141">
        <f t="shared" si="322"/>
        <v>293.61649652229636</v>
      </c>
      <c r="I581" s="141">
        <f t="shared" si="322"/>
        <v>449.56500515874166</v>
      </c>
      <c r="J581" s="141">
        <f t="shared" si="322"/>
        <v>1065.9976455910967</v>
      </c>
      <c r="K581" s="141">
        <f t="shared" si="322"/>
        <v>1069.9950649396378</v>
      </c>
      <c r="L581" s="142">
        <f t="shared" si="322"/>
        <v>1356.8315489840272</v>
      </c>
    </row>
    <row r="582" spans="3:12" ht="16.2" thickBot="1">
      <c r="C582"/>
      <c r="D582" s="46" t="s">
        <v>88</v>
      </c>
      <c r="E582" s="47"/>
      <c r="F582" s="50">
        <f t="shared" ref="F582:G582" si="323">IF(E581*F581=0, "", F581/E581-1)</f>
        <v>-2.1082681128561043E-2</v>
      </c>
      <c r="G582" s="50">
        <f t="shared" si="323"/>
        <v>-0.14727724324945146</v>
      </c>
      <c r="H582" s="50">
        <f>IF(G581*H581=0, "", H581/G581-1)</f>
        <v>-0.37199542098041005</v>
      </c>
      <c r="I582" s="50">
        <f t="shared" ref="I582:L582" si="324">IF(H581*I581=0, "", I581/H581-1)</f>
        <v>0.5311299279282935</v>
      </c>
      <c r="J582" s="50">
        <f t="shared" si="324"/>
        <v>1.3711757662603037</v>
      </c>
      <c r="K582" s="50">
        <f t="shared" si="324"/>
        <v>3.7499326242176334E-3</v>
      </c>
      <c r="L582" s="51">
        <f t="shared" si="324"/>
        <v>0.26807271682189571</v>
      </c>
    </row>
    <row r="583" spans="3:12">
      <c r="C583"/>
    </row>
    <row r="584" spans="3:12">
      <c r="C584"/>
    </row>
    <row r="585" spans="3:12">
      <c r="C585"/>
    </row>
    <row r="586" spans="3:12">
      <c r="C586"/>
    </row>
    <row r="587" spans="3:12">
      <c r="C587"/>
    </row>
    <row r="588" spans="3:12">
      <c r="C588"/>
    </row>
    <row r="589" spans="3:12">
      <c r="C589"/>
    </row>
    <row r="590" spans="3:12">
      <c r="C590"/>
    </row>
    <row r="591" spans="3:12">
      <c r="C591"/>
    </row>
    <row r="592" spans="3:12">
      <c r="C592"/>
    </row>
    <row r="593" spans="3:3">
      <c r="C593"/>
    </row>
    <row r="594" spans="3:3">
      <c r="C594"/>
    </row>
    <row r="595" spans="3:3">
      <c r="C595"/>
    </row>
    <row r="596" spans="3:3">
      <c r="C596"/>
    </row>
    <row r="597" spans="3:3">
      <c r="C597"/>
    </row>
    <row r="598" spans="3:3">
      <c r="C598"/>
    </row>
    <row r="599" spans="3:3">
      <c r="C599"/>
    </row>
    <row r="600" spans="3:3">
      <c r="C600"/>
    </row>
    <row r="601" spans="3:3">
      <c r="C601"/>
    </row>
    <row r="602" spans="3:3">
      <c r="C602"/>
    </row>
    <row r="603" spans="3:3">
      <c r="C603"/>
    </row>
    <row r="604" spans="3:3">
      <c r="C604"/>
    </row>
    <row r="605" spans="3:3">
      <c r="C605"/>
    </row>
    <row r="606" spans="3:3">
      <c r="C606"/>
    </row>
    <row r="607" spans="3:3">
      <c r="C607"/>
    </row>
    <row r="608" spans="3:3">
      <c r="C608"/>
    </row>
    <row r="609" spans="3:3">
      <c r="C609"/>
    </row>
    <row r="610" spans="3:3">
      <c r="C610"/>
    </row>
    <row r="611" spans="3:3">
      <c r="C611"/>
    </row>
    <row r="612" spans="3:3">
      <c r="C612"/>
    </row>
    <row r="613" spans="3:3">
      <c r="C613"/>
    </row>
    <row r="614" spans="3:3">
      <c r="C614"/>
    </row>
    <row r="615" spans="3:3">
      <c r="C615"/>
    </row>
    <row r="616" spans="3:3">
      <c r="C616"/>
    </row>
    <row r="617" spans="3:3">
      <c r="C617"/>
    </row>
    <row r="618" spans="3:3">
      <c r="C618"/>
    </row>
    <row r="619" spans="3:3">
      <c r="C619"/>
    </row>
    <row r="620" spans="3:3">
      <c r="C620"/>
    </row>
    <row r="621" spans="3:3">
      <c r="C621"/>
    </row>
    <row r="622" spans="3:3">
      <c r="C622"/>
    </row>
    <row r="623" spans="3:3">
      <c r="C623"/>
    </row>
    <row r="624" spans="3:3">
      <c r="C624"/>
    </row>
    <row r="625" spans="3:3">
      <c r="C625"/>
    </row>
    <row r="626" spans="3:3">
      <c r="C626"/>
    </row>
    <row r="627" spans="3:3">
      <c r="C627"/>
    </row>
  </sheetData>
  <sheetProtection algorithmName="SHA-512" hashValue="vASbBrlIDjAMA0z02hcGKsKqoS0tlGqYUVHuMXG+YsrSLhWfpb2YhQXncueaWNdUf+sf+EeF1IegyY4cpzk6pA==" saltValue="wzRSnc7JjelkUn+iQlrjMg==" spinCount="100000" sheet="1" objects="1" scenarios="1"/>
  <phoneticPr fontId="4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7AF3C-D641-40B6-98A3-3735C6EA574E}">
  <sheetPr codeName="Sheet32">
    <tabColor rgb="FFFFFF00"/>
  </sheetPr>
  <dimension ref="A1"/>
  <sheetViews>
    <sheetView showGridLines="0" showRowColHeaders="0" zoomScale="80" zoomScaleNormal="80" workbookViewId="0">
      <selection activeCell="C79" sqref="C79"/>
    </sheetView>
  </sheetViews>
  <sheetFormatPr defaultColWidth="9" defaultRowHeight="14.4"/>
  <cols>
    <col min="1" max="16384" width="9" style="32"/>
  </cols>
  <sheetData/>
  <sheetProtection algorithmName="SHA-512" hashValue="QExDNNELVr92d+cy1QCRYIQ42Iyj4TNzZWN2r2uIN5YFAO8Gic4j4r6o1PuMz4wxzyqMTGlJljAD7MLClQCR2w==" saltValue="EnSGMBjSxVF2Bh8IpQwSug==" spinCount="100000" sheet="1" objects="1" scenarios="1" selectLockedCells="1" selectUnlockedCells="1"/>
  <phoneticPr fontId="4"/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D7F5-2029-4F60-8561-0EF6688483E2}">
  <sheetPr codeName="Sheet12">
    <tabColor rgb="FF92D050"/>
  </sheetPr>
  <dimension ref="A1:L11"/>
  <sheetViews>
    <sheetView showGridLines="0" showZeros="0" zoomScale="90" zoomScaleNormal="90" workbookViewId="0">
      <selection activeCell="A3" sqref="A3"/>
    </sheetView>
  </sheetViews>
  <sheetFormatPr defaultRowHeight="13.8"/>
  <cols>
    <col min="1" max="1" width="27.59765625" customWidth="1"/>
    <col min="2" max="12" width="9.59765625" customWidth="1"/>
  </cols>
  <sheetData>
    <row r="1" spans="1:12">
      <c r="A1" s="31" t="s">
        <v>127</v>
      </c>
      <c r="B1" t="s">
        <v>129</v>
      </c>
    </row>
    <row r="3" spans="1:12">
      <c r="A3" s="150" t="s">
        <v>59</v>
      </c>
      <c r="B3" s="31" t="s">
        <v>21</v>
      </c>
    </row>
    <row r="4" spans="1:12">
      <c r="A4" s="31" t="s">
        <v>22</v>
      </c>
      <c r="B4" s="13" t="s">
        <v>8</v>
      </c>
      <c r="C4" s="13" t="s">
        <v>9</v>
      </c>
      <c r="D4" s="13" t="s">
        <v>10</v>
      </c>
      <c r="E4" s="13" t="s">
        <v>11</v>
      </c>
      <c r="F4" s="13" t="s">
        <v>12</v>
      </c>
      <c r="G4" s="13" t="s">
        <v>13</v>
      </c>
      <c r="H4" s="13" t="s">
        <v>14</v>
      </c>
      <c r="I4" s="13" t="s">
        <v>86</v>
      </c>
      <c r="J4" s="13" t="s">
        <v>125</v>
      </c>
      <c r="K4" s="13" t="s">
        <v>142</v>
      </c>
      <c r="L4" s="13" t="s">
        <v>185</v>
      </c>
    </row>
    <row r="5" spans="1:12">
      <c r="A5" t="s">
        <v>70</v>
      </c>
      <c r="B5" s="124">
        <v>3.852E-3</v>
      </c>
      <c r="C5" s="124">
        <v>4.4039999999999999E-3</v>
      </c>
      <c r="D5" s="124">
        <v>3.8519999999999995E-3</v>
      </c>
      <c r="E5" s="124">
        <v>2.7520000000000001E-3</v>
      </c>
      <c r="F5" s="124">
        <v>7.0399999999999998E-4</v>
      </c>
      <c r="G5" s="124">
        <v>4.3999999999999996E-4</v>
      </c>
      <c r="H5" s="124">
        <v>4.4000000000000002E-4</v>
      </c>
      <c r="I5" s="124">
        <v>4.4000000000000002E-4</v>
      </c>
      <c r="J5" s="124">
        <v>4.4000000000000002E-4</v>
      </c>
      <c r="K5" s="124">
        <v>4.4000000000000002E-4</v>
      </c>
      <c r="L5" s="124">
        <v>4.4000000000000002E-4</v>
      </c>
    </row>
    <row r="6" spans="1:12">
      <c r="A6" t="s">
        <v>64</v>
      </c>
      <c r="B6" s="124">
        <v>0.17599999999999999</v>
      </c>
      <c r="C6" s="124">
        <v>0.27500000000000002</v>
      </c>
      <c r="D6" s="124">
        <v>0.1331</v>
      </c>
      <c r="E6" s="124">
        <v>3.0799999999999998E-2</v>
      </c>
      <c r="F6" s="124"/>
      <c r="G6" s="124"/>
      <c r="H6" s="124"/>
      <c r="I6" s="124"/>
      <c r="J6" s="124"/>
      <c r="K6" s="124"/>
      <c r="L6" s="124"/>
    </row>
    <row r="7" spans="1:12">
      <c r="A7" t="s">
        <v>67</v>
      </c>
      <c r="B7" s="124">
        <v>2.0900000000000002E-2</v>
      </c>
      <c r="C7" s="124">
        <v>1.4299999999999997E-2</v>
      </c>
      <c r="D7" s="124">
        <v>2.1999999999999995E-2</v>
      </c>
      <c r="E7" s="124">
        <v>3.8500000000000006E-2</v>
      </c>
      <c r="F7" s="124">
        <v>2.1164000000000002E-2</v>
      </c>
      <c r="G7" s="124">
        <v>4.8400000000000006E-3</v>
      </c>
      <c r="H7" s="124">
        <v>0.19019999999999998</v>
      </c>
      <c r="I7" s="124">
        <v>0.42899999999999999</v>
      </c>
      <c r="J7" s="124">
        <v>0.55549999999999999</v>
      </c>
      <c r="K7" s="124">
        <v>1.5510000000000002</v>
      </c>
      <c r="L7" s="124">
        <v>2.1120000000000001</v>
      </c>
    </row>
    <row r="8" spans="1:12">
      <c r="A8" t="s">
        <v>168</v>
      </c>
      <c r="B8" s="124">
        <v>4.3999999999999997E-2</v>
      </c>
      <c r="C8" s="124">
        <v>3.3000000000000002E-2</v>
      </c>
      <c r="D8" s="124">
        <v>2.75E-2</v>
      </c>
      <c r="E8" s="124">
        <v>1.2652E-2</v>
      </c>
      <c r="F8" s="124"/>
      <c r="G8" s="124"/>
      <c r="H8" s="124"/>
      <c r="I8" s="124"/>
      <c r="J8" s="124"/>
      <c r="K8" s="124"/>
      <c r="L8" s="124"/>
    </row>
    <row r="9" spans="1:12">
      <c r="A9" t="s">
        <v>120</v>
      </c>
      <c r="B9" s="124"/>
      <c r="C9" s="124"/>
      <c r="D9" s="124">
        <v>2.7519999999999997E-3</v>
      </c>
      <c r="E9" s="124">
        <v>6.6040000000000014E-3</v>
      </c>
      <c r="F9" s="124">
        <v>6.1059999999999989E-2</v>
      </c>
      <c r="G9" s="124">
        <v>8.8913999999999979E-2</v>
      </c>
      <c r="H9" s="124">
        <v>0.36530000000000001</v>
      </c>
      <c r="I9" s="124">
        <v>0.39709999999999995</v>
      </c>
      <c r="J9" s="124">
        <v>1.0054000000000001</v>
      </c>
      <c r="K9" s="124">
        <v>1.7269999999999999</v>
      </c>
      <c r="L9" s="124">
        <v>2.585</v>
      </c>
    </row>
    <row r="10" spans="1:12">
      <c r="A10" t="s">
        <v>51</v>
      </c>
      <c r="B10" s="124">
        <v>0.1474</v>
      </c>
      <c r="C10" s="124">
        <v>0.24860000000000007</v>
      </c>
      <c r="D10" s="124">
        <v>0.38829999999999992</v>
      </c>
      <c r="E10" s="124">
        <v>0.57310000000000005</v>
      </c>
      <c r="F10" s="124">
        <v>0.91990799999999995</v>
      </c>
      <c r="G10" s="124">
        <v>0.74805200000000016</v>
      </c>
      <c r="H10" s="124">
        <v>1.3280000000000003</v>
      </c>
      <c r="I10" s="124">
        <v>1.6500000000000001</v>
      </c>
      <c r="J10" s="124">
        <v>2.1669999999999998</v>
      </c>
      <c r="K10" s="124">
        <v>3.1240000000000006</v>
      </c>
      <c r="L10" s="124">
        <v>4.4220000000000006</v>
      </c>
    </row>
    <row r="11" spans="1:12">
      <c r="A11" t="s">
        <v>60</v>
      </c>
      <c r="B11" s="124">
        <v>0.39215199999999995</v>
      </c>
      <c r="C11" s="124">
        <v>0.57530400000000004</v>
      </c>
      <c r="D11" s="124">
        <v>0.57750399999999991</v>
      </c>
      <c r="E11" s="124">
        <v>0.66440800000000011</v>
      </c>
      <c r="F11" s="124">
        <v>1.0028359999999998</v>
      </c>
      <c r="G11" s="124">
        <v>0.84224600000000016</v>
      </c>
      <c r="H11" s="124">
        <v>1.8839400000000004</v>
      </c>
      <c r="I11" s="124">
        <v>2.47654</v>
      </c>
      <c r="J11" s="124">
        <v>3.7283399999999998</v>
      </c>
      <c r="K11" s="124">
        <v>6.4024400000000004</v>
      </c>
      <c r="L11" s="124">
        <v>9.1194400000000009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A874B-E1A0-4F20-9F4C-0DE60134BEF6}">
  <sheetPr codeName="Sheet13">
    <tabColor rgb="FF92D050"/>
  </sheetPr>
  <dimension ref="A1:L13"/>
  <sheetViews>
    <sheetView showGridLines="0" showZeros="0" zoomScale="90" zoomScaleNormal="90" workbookViewId="0"/>
  </sheetViews>
  <sheetFormatPr defaultRowHeight="13.8"/>
  <cols>
    <col min="1" max="1" width="27.59765625" customWidth="1"/>
    <col min="2" max="12" width="9.59765625" customWidth="1"/>
  </cols>
  <sheetData>
    <row r="1" spans="1:12">
      <c r="A1" s="31" t="s">
        <v>127</v>
      </c>
      <c r="B1" t="s">
        <v>129</v>
      </c>
    </row>
    <row r="3" spans="1:12">
      <c r="A3" s="150" t="s">
        <v>91</v>
      </c>
      <c r="B3" s="31" t="s">
        <v>21</v>
      </c>
    </row>
    <row r="4" spans="1:12">
      <c r="A4" s="31" t="s">
        <v>98</v>
      </c>
      <c r="B4" s="13" t="s">
        <v>8</v>
      </c>
      <c r="C4" s="13" t="s">
        <v>9</v>
      </c>
      <c r="D4" s="13" t="s">
        <v>10</v>
      </c>
      <c r="E4" s="13" t="s">
        <v>11</v>
      </c>
      <c r="F4" s="13" t="s">
        <v>12</v>
      </c>
      <c r="G4" s="13" t="s">
        <v>13</v>
      </c>
      <c r="H4" s="13" t="s">
        <v>14</v>
      </c>
      <c r="I4" s="13" t="s">
        <v>86</v>
      </c>
      <c r="J4" s="13" t="s">
        <v>125</v>
      </c>
      <c r="K4" s="13" t="s">
        <v>142</v>
      </c>
      <c r="L4" s="13" t="s">
        <v>185</v>
      </c>
    </row>
    <row r="5" spans="1:12">
      <c r="A5" t="s">
        <v>81</v>
      </c>
      <c r="B5" s="83">
        <v>0.319716</v>
      </c>
      <c r="C5" s="83">
        <v>0.36187668000000006</v>
      </c>
      <c r="D5" s="83">
        <v>0.31335365159999995</v>
      </c>
      <c r="E5" s="83">
        <v>0.22163181638399992</v>
      </c>
      <c r="F5" s="83">
        <v>5.6129546056319993E-2</v>
      </c>
      <c r="G5" s="83">
        <v>3.4730156622347998E-2</v>
      </c>
      <c r="H5" s="83">
        <v>3.4382855056124519E-2</v>
      </c>
      <c r="I5" s="83">
        <v>3.4039026505563272E-2</v>
      </c>
      <c r="J5" s="83">
        <v>3.3698636240507639E-2</v>
      </c>
      <c r="K5" s="83">
        <v>3.3361649878102556E-2</v>
      </c>
      <c r="L5" s="83">
        <v>3.3000000000000002E-2</v>
      </c>
    </row>
    <row r="6" spans="1:12">
      <c r="A6" t="s">
        <v>170</v>
      </c>
      <c r="B6" s="83">
        <v>1.8479999999999999</v>
      </c>
      <c r="C6" s="83">
        <v>1.3721399999999999</v>
      </c>
      <c r="D6" s="83">
        <v>1.1320155000000001</v>
      </c>
      <c r="E6" s="83">
        <v>0.51560136381599997</v>
      </c>
      <c r="F6" s="83"/>
      <c r="G6" s="83"/>
      <c r="H6" s="83"/>
      <c r="I6" s="83"/>
      <c r="J6" s="83"/>
      <c r="K6" s="83"/>
      <c r="L6" s="83"/>
    </row>
    <row r="7" spans="1:12">
      <c r="A7" t="s">
        <v>124</v>
      </c>
      <c r="B7" s="83"/>
      <c r="C7" s="83"/>
      <c r="D7" s="83">
        <v>0.23100838399999996</v>
      </c>
      <c r="E7" s="83">
        <v>0.26070370591999992</v>
      </c>
      <c r="F7" s="83">
        <v>2.2599949770639998</v>
      </c>
      <c r="G7" s="83">
        <v>2.7567636793411188</v>
      </c>
      <c r="H7" s="83">
        <v>13.848101050027614</v>
      </c>
      <c r="I7" s="83">
        <v>12.536693089729209</v>
      </c>
      <c r="J7" s="83">
        <v>40.767970609627525</v>
      </c>
      <c r="K7" s="83">
        <v>55.686499854588092</v>
      </c>
      <c r="L7" s="83">
        <v>70.355999999999995</v>
      </c>
    </row>
    <row r="8" spans="1:12">
      <c r="A8" t="s">
        <v>82</v>
      </c>
      <c r="B8" s="83">
        <v>19.712</v>
      </c>
      <c r="C8" s="83">
        <v>29.876000000000001</v>
      </c>
      <c r="D8" s="83">
        <v>14.026184480000001</v>
      </c>
      <c r="E8" s="83">
        <v>3.1483567807999995</v>
      </c>
      <c r="F8" s="83"/>
      <c r="G8" s="83"/>
      <c r="H8" s="83"/>
      <c r="I8" s="83"/>
      <c r="J8" s="83"/>
      <c r="K8" s="83"/>
      <c r="L8" s="83"/>
    </row>
    <row r="9" spans="1:12">
      <c r="A9" t="s">
        <v>83</v>
      </c>
      <c r="B9" s="83">
        <v>0.96140000000000003</v>
      </c>
      <c r="C9" s="83">
        <v>0.65122199999999997</v>
      </c>
      <c r="D9" s="83">
        <v>0.99186119999999989</v>
      </c>
      <c r="E9" s="83">
        <v>1.718399529</v>
      </c>
      <c r="F9" s="83">
        <v>0.93518248195944009</v>
      </c>
      <c r="G9" s="83">
        <v>0.21172842470973602</v>
      </c>
      <c r="H9" s="83">
        <v>1.524444657910099</v>
      </c>
      <c r="I9" s="83">
        <v>8.017626122695928</v>
      </c>
      <c r="J9" s="83">
        <v>7.9374498614689672</v>
      </c>
      <c r="K9" s="83">
        <v>44.375013813765342</v>
      </c>
      <c r="L9" s="83">
        <v>50.512</v>
      </c>
    </row>
    <row r="10" spans="1:12">
      <c r="A10" t="s">
        <v>84</v>
      </c>
      <c r="B10" s="83"/>
      <c r="C10" s="83"/>
      <c r="D10" s="83"/>
      <c r="E10" s="83">
        <v>0.26038808399999996</v>
      </c>
      <c r="F10" s="83">
        <v>2.2688955152079995</v>
      </c>
      <c r="G10" s="83">
        <v>3.4423988341878715</v>
      </c>
      <c r="H10" s="83">
        <v>10.321289728836476</v>
      </c>
      <c r="I10" s="83">
        <v>11.926799912391031</v>
      </c>
      <c r="J10" s="83">
        <v>17.45378741724678</v>
      </c>
      <c r="K10" s="83">
        <v>38.32189237304987</v>
      </c>
      <c r="L10" s="83">
        <v>64.063999999999993</v>
      </c>
    </row>
    <row r="11" spans="1:12">
      <c r="A11" t="s">
        <v>50</v>
      </c>
      <c r="B11" s="83">
        <v>12.971199999999998</v>
      </c>
      <c r="C11" s="83">
        <v>21.001728000000004</v>
      </c>
      <c r="D11" s="83">
        <v>30.343005439999999</v>
      </c>
      <c r="E11" s="83">
        <v>41.404620364799996</v>
      </c>
      <c r="F11" s="83">
        <v>53.627095094143982</v>
      </c>
      <c r="G11" s="83">
        <v>43.096629209343995</v>
      </c>
      <c r="H11" s="83">
        <v>69.208000000000013</v>
      </c>
      <c r="I11" s="83">
        <v>85.8</v>
      </c>
      <c r="J11" s="83">
        <v>110.517</v>
      </c>
      <c r="K11" s="83">
        <v>156.20000000000002</v>
      </c>
      <c r="L11" s="83">
        <v>216.678</v>
      </c>
    </row>
    <row r="12" spans="1:12">
      <c r="A12" t="s">
        <v>280</v>
      </c>
      <c r="B12" s="83"/>
      <c r="C12" s="83"/>
      <c r="D12" s="83"/>
      <c r="E12" s="83"/>
      <c r="F12" s="83"/>
      <c r="G12" s="83"/>
      <c r="H12" s="83">
        <v>6.88194477798453</v>
      </c>
      <c r="I12" s="83">
        <v>10.375751452900612</v>
      </c>
      <c r="J12" s="83">
        <v>15.641445315247672</v>
      </c>
      <c r="K12" s="83">
        <v>20.800787725202504</v>
      </c>
      <c r="L12" s="83">
        <v>36.08</v>
      </c>
    </row>
    <row r="13" spans="1:12">
      <c r="A13" t="s">
        <v>60</v>
      </c>
      <c r="B13" s="83">
        <v>35.812315999999996</v>
      </c>
      <c r="C13" s="83">
        <v>53.262966680000005</v>
      </c>
      <c r="D13" s="83">
        <v>47.037428655599996</v>
      </c>
      <c r="E13" s="83">
        <v>47.529701644719992</v>
      </c>
      <c r="F13" s="83">
        <v>59.147297614431743</v>
      </c>
      <c r="G13" s="83">
        <v>49.542250304205069</v>
      </c>
      <c r="H13" s="83">
        <v>101.81816306981486</v>
      </c>
      <c r="I13" s="83">
        <v>128.69090960422233</v>
      </c>
      <c r="J13" s="83">
        <v>192.35135183983144</v>
      </c>
      <c r="K13" s="83">
        <v>315.41755541648394</v>
      </c>
      <c r="L13" s="83">
        <v>437.72299999999996</v>
      </c>
    </row>
  </sheetData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742D9-8D24-4E4A-AE45-D31F5EDF0805}">
  <sheetPr codeName="Sheet33">
    <tabColor theme="1" tint="0.34998626667073579"/>
  </sheetPr>
  <dimension ref="A1"/>
  <sheetViews>
    <sheetView showGridLines="0" showRowColHeaders="0" zoomScale="80" zoomScaleNormal="80" workbookViewId="0">
      <selection activeCell="C79" sqref="C79"/>
    </sheetView>
  </sheetViews>
  <sheetFormatPr defaultColWidth="9" defaultRowHeight="14.4"/>
  <cols>
    <col min="1" max="16384" width="9" style="32"/>
  </cols>
  <sheetData/>
  <sheetProtection algorithmName="SHA-512" hashValue="QExDNNELVr92d+cy1QCRYIQ42Iyj4TNzZWN2r2uIN5YFAO8Gic4j4r6o1PuMz4wxzyqMTGlJljAD7MLClQCR2w==" saltValue="EnSGMBjSxVF2Bh8IpQwSug==" spinCount="100000" sheet="1" objects="1" scenarios="1" selectLockedCells="1" selectUnlockedCells="1"/>
  <phoneticPr fontId="4"/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689F8-3EDF-46E1-B5E6-82515A9C0DD9}">
  <sheetPr codeName="Sheet16">
    <tabColor rgb="FFCCFFFF"/>
  </sheetPr>
  <dimension ref="C4:L1536"/>
  <sheetViews>
    <sheetView showGridLines="0" showZeros="0" zoomScale="80" zoomScaleNormal="80" workbookViewId="0">
      <selection activeCell="F17" sqref="F17"/>
    </sheetView>
  </sheetViews>
  <sheetFormatPr defaultRowHeight="13.8"/>
  <cols>
    <col min="1" max="2" width="4.59765625" customWidth="1"/>
    <col min="3" max="3" width="8.59765625" style="13" hidden="1" customWidth="1"/>
    <col min="4" max="4" width="22.19921875" customWidth="1"/>
    <col min="5" max="12" width="10.59765625" customWidth="1"/>
  </cols>
  <sheetData>
    <row r="4" spans="3:12">
      <c r="D4" s="58" t="s">
        <v>100</v>
      </c>
    </row>
    <row r="8" spans="3:12" ht="14.4" thickBot="1"/>
    <row r="9" spans="3:12" ht="15" thickBot="1">
      <c r="C9"/>
      <c r="D9" s="52" t="str">
        <f>Parameter!I8</f>
        <v>1x DLP</v>
      </c>
    </row>
    <row r="10" spans="3:12" ht="16.2" thickBot="1">
      <c r="C10"/>
      <c r="D10" s="40" t="s">
        <v>85</v>
      </c>
      <c r="E10" s="41" t="str">
        <f>VR_Panel_Shipments!E10</f>
        <v>2022</v>
      </c>
      <c r="F10" s="42" t="str">
        <f>VR_Panel_Shipments!F10</f>
        <v>2023</v>
      </c>
      <c r="G10" s="42" t="str">
        <f>VR_Panel_Shipments!G10</f>
        <v>2024</v>
      </c>
      <c r="H10" s="42">
        <f>VR_Panel_Shipments!H10</f>
        <v>2025</v>
      </c>
      <c r="I10" s="42" t="str">
        <f>VR_Panel_Shipments!I10</f>
        <v>2026</v>
      </c>
      <c r="J10" s="42" t="str">
        <f>VR_Panel_Shipments!J10</f>
        <v>2027</v>
      </c>
      <c r="K10" s="42" t="str">
        <f>VR_Panel_Shipments!K10</f>
        <v>2028</v>
      </c>
      <c r="L10" s="43" t="str">
        <f>VR_Panel_Shipments!L10</f>
        <v>2029</v>
      </c>
    </row>
    <row r="11" spans="3:12" ht="15.6" hidden="1">
      <c r="C11" s="39" t="str">
        <f>IF(SUM(E11:L11)=0, "H", "")</f>
        <v>H</v>
      </c>
      <c r="D11" s="44" t="str">
        <f>Parameter!E$8</f>
        <v>Air</v>
      </c>
      <c r="E11" s="125">
        <f t="shared" ref="E11:L20" si="0">SUMIF(ARVR_Y_PC_PR, "AR_"&amp;E$10&amp;"_"&amp;$D$9&amp;"_"&amp;$D11, PanelQ)</f>
        <v>0</v>
      </c>
      <c r="F11" s="126">
        <f t="shared" si="0"/>
        <v>0</v>
      </c>
      <c r="G11" s="126">
        <f t="shared" si="0"/>
        <v>0</v>
      </c>
      <c r="H11" s="126">
        <f t="shared" si="0"/>
        <v>0</v>
      </c>
      <c r="I11" s="126">
        <f t="shared" si="0"/>
        <v>0</v>
      </c>
      <c r="J11" s="126">
        <f t="shared" si="0"/>
        <v>0</v>
      </c>
      <c r="K11" s="126">
        <f t="shared" si="0"/>
        <v>0</v>
      </c>
      <c r="L11" s="127">
        <f t="shared" si="0"/>
        <v>0</v>
      </c>
    </row>
    <row r="12" spans="3:12" ht="15.6" hidden="1">
      <c r="C12" s="39" t="str">
        <f t="shared" ref="C12:C81" si="1">IF(SUM(E12:L12)=0, "H", "")</f>
        <v>H</v>
      </c>
      <c r="D12" s="44" t="str">
        <f>Parameter!E$9</f>
        <v>Air 2</v>
      </c>
      <c r="E12" s="125">
        <f t="shared" si="0"/>
        <v>0</v>
      </c>
      <c r="F12" s="126">
        <f t="shared" si="0"/>
        <v>0</v>
      </c>
      <c r="G12" s="126">
        <f t="shared" si="0"/>
        <v>0</v>
      </c>
      <c r="H12" s="126">
        <f t="shared" si="0"/>
        <v>0</v>
      </c>
      <c r="I12" s="126">
        <f t="shared" si="0"/>
        <v>0</v>
      </c>
      <c r="J12" s="126">
        <f t="shared" si="0"/>
        <v>0</v>
      </c>
      <c r="K12" s="126">
        <f t="shared" si="0"/>
        <v>0</v>
      </c>
      <c r="L12" s="127">
        <f t="shared" si="0"/>
        <v>0</v>
      </c>
    </row>
    <row r="13" spans="3:12" ht="15.6" hidden="1">
      <c r="C13" s="39" t="str">
        <f t="shared" si="1"/>
        <v>H</v>
      </c>
      <c r="D13" s="45" t="str">
        <f>Parameter!E$10</f>
        <v>Air 3</v>
      </c>
      <c r="E13" s="125">
        <f t="shared" si="0"/>
        <v>0</v>
      </c>
      <c r="F13" s="126">
        <f t="shared" si="0"/>
        <v>0</v>
      </c>
      <c r="G13" s="126">
        <f t="shared" si="0"/>
        <v>0</v>
      </c>
      <c r="H13" s="126">
        <f t="shared" si="0"/>
        <v>0</v>
      </c>
      <c r="I13" s="126">
        <f t="shared" si="0"/>
        <v>0</v>
      </c>
      <c r="J13" s="126">
        <f t="shared" si="0"/>
        <v>0</v>
      </c>
      <c r="K13" s="126">
        <f t="shared" si="0"/>
        <v>0</v>
      </c>
      <c r="L13" s="127">
        <f t="shared" si="0"/>
        <v>0</v>
      </c>
    </row>
    <row r="14" spans="3:12" ht="15.6" hidden="1">
      <c r="C14" s="39" t="str">
        <f t="shared" si="1"/>
        <v>H</v>
      </c>
      <c r="D14" s="45" t="str">
        <f>Parameter!E$11</f>
        <v>Air 3s Pro</v>
      </c>
      <c r="E14" s="125">
        <f t="shared" si="0"/>
        <v>0</v>
      </c>
      <c r="F14" s="126">
        <f t="shared" si="0"/>
        <v>0</v>
      </c>
      <c r="G14" s="126">
        <f t="shared" si="0"/>
        <v>0</v>
      </c>
      <c r="H14" s="126">
        <f t="shared" si="0"/>
        <v>0</v>
      </c>
      <c r="I14" s="126">
        <f t="shared" si="0"/>
        <v>0</v>
      </c>
      <c r="J14" s="126">
        <f t="shared" si="0"/>
        <v>0</v>
      </c>
      <c r="K14" s="126">
        <f t="shared" si="0"/>
        <v>0</v>
      </c>
      <c r="L14" s="127">
        <f t="shared" si="0"/>
        <v>0</v>
      </c>
    </row>
    <row r="15" spans="3:12" ht="15.6" hidden="1">
      <c r="C15" s="39" t="str">
        <f t="shared" si="1"/>
        <v>H</v>
      </c>
      <c r="D15" s="45" t="str">
        <f>Parameter!E$12</f>
        <v>Air Glass</v>
      </c>
      <c r="E15" s="125">
        <f t="shared" si="0"/>
        <v>0</v>
      </c>
      <c r="F15" s="126">
        <f t="shared" si="0"/>
        <v>0</v>
      </c>
      <c r="G15" s="126">
        <f t="shared" si="0"/>
        <v>0</v>
      </c>
      <c r="H15" s="126">
        <f t="shared" si="0"/>
        <v>0</v>
      </c>
      <c r="I15" s="126">
        <f t="shared" si="0"/>
        <v>0</v>
      </c>
      <c r="J15" s="126">
        <f t="shared" si="0"/>
        <v>0</v>
      </c>
      <c r="K15" s="126">
        <f t="shared" si="0"/>
        <v>0</v>
      </c>
      <c r="L15" s="127">
        <f t="shared" si="0"/>
        <v>0</v>
      </c>
    </row>
    <row r="16" spans="3:12" ht="15.6" hidden="1">
      <c r="C16" s="39" t="str">
        <f t="shared" si="1"/>
        <v>H</v>
      </c>
      <c r="D16" s="45" t="str">
        <f>Parameter!E$13</f>
        <v>Binocular MicroLED</v>
      </c>
      <c r="E16" s="125">
        <f t="shared" si="0"/>
        <v>0</v>
      </c>
      <c r="F16" s="126">
        <f t="shared" si="0"/>
        <v>0</v>
      </c>
      <c r="G16" s="126">
        <f t="shared" si="0"/>
        <v>0</v>
      </c>
      <c r="H16" s="126">
        <f t="shared" si="0"/>
        <v>0</v>
      </c>
      <c r="I16" s="126">
        <f t="shared" si="0"/>
        <v>0</v>
      </c>
      <c r="J16" s="126">
        <f t="shared" si="0"/>
        <v>0</v>
      </c>
      <c r="K16" s="126">
        <f t="shared" si="0"/>
        <v>0</v>
      </c>
      <c r="L16" s="127">
        <f t="shared" si="0"/>
        <v>0</v>
      </c>
    </row>
    <row r="17" spans="3:12" ht="15.6">
      <c r="C17" s="39" t="str">
        <f t="shared" si="1"/>
        <v/>
      </c>
      <c r="D17" s="45" t="str">
        <f>Parameter!E$14</f>
        <v>Blade</v>
      </c>
      <c r="E17" s="125">
        <f t="shared" si="0"/>
        <v>1.6519999999999998E-3</v>
      </c>
      <c r="F17" s="126">
        <f t="shared" si="0"/>
        <v>7.0399999999999998E-4</v>
      </c>
      <c r="G17" s="126">
        <f t="shared" si="0"/>
        <v>4.4000000000000002E-4</v>
      </c>
      <c r="H17" s="126">
        <f t="shared" si="0"/>
        <v>0</v>
      </c>
      <c r="I17" s="126">
        <f t="shared" si="0"/>
        <v>0</v>
      </c>
      <c r="J17" s="126">
        <f t="shared" si="0"/>
        <v>0</v>
      </c>
      <c r="K17" s="126">
        <f t="shared" si="0"/>
        <v>0</v>
      </c>
      <c r="L17" s="127">
        <f t="shared" si="0"/>
        <v>0</v>
      </c>
    </row>
    <row r="18" spans="3:12" ht="16.2" thickBot="1">
      <c r="C18" s="39" t="str">
        <f t="shared" si="1"/>
        <v/>
      </c>
      <c r="D18" s="45" t="str">
        <f>Parameter!E$15</f>
        <v>DLP glasses</v>
      </c>
      <c r="E18" s="125">
        <f t="shared" si="0"/>
        <v>1.1000000000000001E-3</v>
      </c>
      <c r="F18" s="126">
        <f t="shared" si="0"/>
        <v>0</v>
      </c>
      <c r="G18" s="126">
        <f t="shared" si="0"/>
        <v>0</v>
      </c>
      <c r="H18" s="126">
        <f t="shared" si="0"/>
        <v>4.4000000000000002E-4</v>
      </c>
      <c r="I18" s="126">
        <f t="shared" si="0"/>
        <v>4.4000000000000002E-4</v>
      </c>
      <c r="J18" s="126">
        <f t="shared" si="0"/>
        <v>4.4000000000000002E-4</v>
      </c>
      <c r="K18" s="126">
        <f t="shared" si="0"/>
        <v>4.4000000000000002E-4</v>
      </c>
      <c r="L18" s="127">
        <f t="shared" si="0"/>
        <v>4.4000000000000002E-4</v>
      </c>
    </row>
    <row r="19" spans="3:12" ht="15.6" hidden="1">
      <c r="C19" s="39" t="str">
        <f t="shared" si="1"/>
        <v>H</v>
      </c>
      <c r="D19" s="45" t="str">
        <f>Parameter!E$16</f>
        <v>G1</v>
      </c>
      <c r="E19" s="125">
        <f t="shared" si="0"/>
        <v>0</v>
      </c>
      <c r="F19" s="126">
        <f t="shared" si="0"/>
        <v>0</v>
      </c>
      <c r="G19" s="126">
        <f t="shared" si="0"/>
        <v>0</v>
      </c>
      <c r="H19" s="126">
        <f t="shared" si="0"/>
        <v>0</v>
      </c>
      <c r="I19" s="126">
        <f t="shared" si="0"/>
        <v>0</v>
      </c>
      <c r="J19" s="126">
        <f t="shared" si="0"/>
        <v>0</v>
      </c>
      <c r="K19" s="126">
        <f t="shared" si="0"/>
        <v>0</v>
      </c>
      <c r="L19" s="127">
        <f t="shared" si="0"/>
        <v>0</v>
      </c>
    </row>
    <row r="20" spans="3:12" ht="15.6" hidden="1">
      <c r="C20" s="39" t="str">
        <f t="shared" si="1"/>
        <v>H</v>
      </c>
      <c r="D20" s="45" t="str">
        <f>Parameter!E$17</f>
        <v>Glass</v>
      </c>
      <c r="E20" s="125">
        <f t="shared" si="0"/>
        <v>0</v>
      </c>
      <c r="F20" s="126">
        <f t="shared" si="0"/>
        <v>0</v>
      </c>
      <c r="G20" s="126">
        <f t="shared" si="0"/>
        <v>0</v>
      </c>
      <c r="H20" s="126">
        <f t="shared" si="0"/>
        <v>0</v>
      </c>
      <c r="I20" s="126">
        <f t="shared" si="0"/>
        <v>0</v>
      </c>
      <c r="J20" s="126">
        <f t="shared" si="0"/>
        <v>0</v>
      </c>
      <c r="K20" s="126">
        <f t="shared" si="0"/>
        <v>0</v>
      </c>
      <c r="L20" s="127">
        <f t="shared" si="0"/>
        <v>0</v>
      </c>
    </row>
    <row r="21" spans="3:12" ht="15.6" hidden="1">
      <c r="C21" s="39" t="str">
        <f t="shared" si="1"/>
        <v>H</v>
      </c>
      <c r="D21" s="45" t="str">
        <f>Parameter!E$18</f>
        <v>Glasses</v>
      </c>
      <c r="E21" s="125">
        <f t="shared" ref="E21:L30" si="2">SUMIF(ARVR_Y_PC_PR, "AR_"&amp;E$10&amp;"_"&amp;$D$9&amp;"_"&amp;$D21, PanelQ)</f>
        <v>0</v>
      </c>
      <c r="F21" s="126">
        <f t="shared" si="2"/>
        <v>0</v>
      </c>
      <c r="G21" s="126">
        <f t="shared" si="2"/>
        <v>0</v>
      </c>
      <c r="H21" s="126">
        <f t="shared" si="2"/>
        <v>0</v>
      </c>
      <c r="I21" s="126">
        <f t="shared" si="2"/>
        <v>0</v>
      </c>
      <c r="J21" s="126">
        <f t="shared" si="2"/>
        <v>0</v>
      </c>
      <c r="K21" s="126">
        <f t="shared" si="2"/>
        <v>0</v>
      </c>
      <c r="L21" s="127">
        <f t="shared" si="2"/>
        <v>0</v>
      </c>
    </row>
    <row r="22" spans="3:12" ht="15.6" hidden="1">
      <c r="C22" s="39" t="str">
        <f t="shared" si="1"/>
        <v>H</v>
      </c>
      <c r="D22" s="45" t="str">
        <f>Parameter!E$19</f>
        <v>Go</v>
      </c>
      <c r="E22" s="125">
        <f t="shared" si="2"/>
        <v>0</v>
      </c>
      <c r="F22" s="126">
        <f t="shared" si="2"/>
        <v>0</v>
      </c>
      <c r="G22" s="126">
        <f t="shared" si="2"/>
        <v>0</v>
      </c>
      <c r="H22" s="126">
        <f t="shared" si="2"/>
        <v>0</v>
      </c>
      <c r="I22" s="126">
        <f t="shared" si="2"/>
        <v>0</v>
      </c>
      <c r="J22" s="126">
        <f t="shared" si="2"/>
        <v>0</v>
      </c>
      <c r="K22" s="126">
        <f t="shared" si="2"/>
        <v>0</v>
      </c>
      <c r="L22" s="127">
        <f t="shared" si="2"/>
        <v>0</v>
      </c>
    </row>
    <row r="23" spans="3:12" ht="15.6" hidden="1">
      <c r="C23" s="39" t="str">
        <f t="shared" si="1"/>
        <v>H</v>
      </c>
      <c r="D23" s="45" t="str">
        <f>Parameter!E$20</f>
        <v>Go 2</v>
      </c>
      <c r="E23" s="125">
        <f t="shared" si="2"/>
        <v>0</v>
      </c>
      <c r="F23" s="126">
        <f t="shared" si="2"/>
        <v>0</v>
      </c>
      <c r="G23" s="126">
        <f t="shared" si="2"/>
        <v>0</v>
      </c>
      <c r="H23" s="126">
        <f t="shared" si="2"/>
        <v>0</v>
      </c>
      <c r="I23" s="126">
        <f t="shared" si="2"/>
        <v>0</v>
      </c>
      <c r="J23" s="126">
        <f t="shared" si="2"/>
        <v>0</v>
      </c>
      <c r="K23" s="126">
        <f t="shared" si="2"/>
        <v>0</v>
      </c>
      <c r="L23" s="127">
        <f t="shared" si="2"/>
        <v>0</v>
      </c>
    </row>
    <row r="24" spans="3:12" ht="15.6" hidden="1">
      <c r="C24" s="39" t="str">
        <f t="shared" si="1"/>
        <v>H</v>
      </c>
      <c r="D24" s="45" t="str">
        <f>Parameter!E$21</f>
        <v>HoloLens 2</v>
      </c>
      <c r="E24" s="125">
        <f t="shared" si="2"/>
        <v>0</v>
      </c>
      <c r="F24" s="126">
        <f t="shared" si="2"/>
        <v>0</v>
      </c>
      <c r="G24" s="126">
        <f t="shared" si="2"/>
        <v>0</v>
      </c>
      <c r="H24" s="126">
        <f t="shared" si="2"/>
        <v>0</v>
      </c>
      <c r="I24" s="126">
        <f t="shared" si="2"/>
        <v>0</v>
      </c>
      <c r="J24" s="126">
        <f t="shared" si="2"/>
        <v>0</v>
      </c>
      <c r="K24" s="126">
        <f t="shared" si="2"/>
        <v>0</v>
      </c>
      <c r="L24" s="127">
        <f t="shared" si="2"/>
        <v>0</v>
      </c>
    </row>
    <row r="25" spans="3:12" ht="15.6" hidden="1">
      <c r="C25" s="39" t="str">
        <f t="shared" si="1"/>
        <v>H</v>
      </c>
      <c r="D25" s="45" t="str">
        <f>Parameter!E$22</f>
        <v>INAIR 2</v>
      </c>
      <c r="E25" s="125">
        <f t="shared" si="2"/>
        <v>0</v>
      </c>
      <c r="F25" s="126">
        <f t="shared" si="2"/>
        <v>0</v>
      </c>
      <c r="G25" s="126">
        <f t="shared" si="2"/>
        <v>0</v>
      </c>
      <c r="H25" s="126">
        <f t="shared" si="2"/>
        <v>0</v>
      </c>
      <c r="I25" s="126">
        <f t="shared" si="2"/>
        <v>0</v>
      </c>
      <c r="J25" s="126">
        <f t="shared" si="2"/>
        <v>0</v>
      </c>
      <c r="K25" s="126">
        <f t="shared" si="2"/>
        <v>0</v>
      </c>
      <c r="L25" s="127">
        <f t="shared" si="2"/>
        <v>0</v>
      </c>
    </row>
    <row r="26" spans="3:12" ht="15.6" hidden="1">
      <c r="C26" s="39" t="str">
        <f t="shared" si="1"/>
        <v>H</v>
      </c>
      <c r="D26" s="45" t="str">
        <f>Parameter!E$23</f>
        <v>INAIR 2 Pro</v>
      </c>
      <c r="E26" s="125">
        <f t="shared" si="2"/>
        <v>0</v>
      </c>
      <c r="F26" s="126">
        <f t="shared" si="2"/>
        <v>0</v>
      </c>
      <c r="G26" s="126">
        <f t="shared" si="2"/>
        <v>0</v>
      </c>
      <c r="H26" s="126">
        <f t="shared" si="2"/>
        <v>0</v>
      </c>
      <c r="I26" s="126">
        <f t="shared" si="2"/>
        <v>0</v>
      </c>
      <c r="J26" s="126">
        <f t="shared" si="2"/>
        <v>0</v>
      </c>
      <c r="K26" s="126">
        <f t="shared" si="2"/>
        <v>0</v>
      </c>
      <c r="L26" s="127">
        <f t="shared" si="2"/>
        <v>0</v>
      </c>
    </row>
    <row r="27" spans="3:12" ht="15.6" hidden="1">
      <c r="C27" s="39" t="str">
        <f t="shared" si="1"/>
        <v>H</v>
      </c>
      <c r="D27" s="45" t="str">
        <f>Parameter!E$24</f>
        <v>LBS glasses</v>
      </c>
      <c r="E27" s="125">
        <f t="shared" si="2"/>
        <v>0</v>
      </c>
      <c r="F27" s="126">
        <f t="shared" si="2"/>
        <v>0</v>
      </c>
      <c r="G27" s="126">
        <f t="shared" si="2"/>
        <v>0</v>
      </c>
      <c r="H27" s="126">
        <f t="shared" si="2"/>
        <v>0</v>
      </c>
      <c r="I27" s="126">
        <f t="shared" si="2"/>
        <v>0</v>
      </c>
      <c r="J27" s="126">
        <f t="shared" si="2"/>
        <v>0</v>
      </c>
      <c r="K27" s="126">
        <f t="shared" si="2"/>
        <v>0</v>
      </c>
      <c r="L27" s="127">
        <f t="shared" si="2"/>
        <v>0</v>
      </c>
    </row>
    <row r="28" spans="3:12" ht="15.6" hidden="1">
      <c r="C28" s="39" t="str">
        <f t="shared" si="1"/>
        <v>H</v>
      </c>
      <c r="D28" s="45" t="str">
        <f>Parameter!E$25</f>
        <v>LCoS glasses</v>
      </c>
      <c r="E28" s="125">
        <f t="shared" si="2"/>
        <v>0</v>
      </c>
      <c r="F28" s="126">
        <f t="shared" si="2"/>
        <v>0</v>
      </c>
      <c r="G28" s="126">
        <f t="shared" si="2"/>
        <v>0</v>
      </c>
      <c r="H28" s="126">
        <f t="shared" si="2"/>
        <v>0</v>
      </c>
      <c r="I28" s="126">
        <f t="shared" si="2"/>
        <v>0</v>
      </c>
      <c r="J28" s="126">
        <f t="shared" si="2"/>
        <v>0</v>
      </c>
      <c r="K28" s="126">
        <f t="shared" si="2"/>
        <v>0</v>
      </c>
      <c r="L28" s="127">
        <f t="shared" si="2"/>
        <v>0</v>
      </c>
    </row>
    <row r="29" spans="3:12" ht="15.6" hidden="1">
      <c r="C29" s="39" t="str">
        <f t="shared" si="1"/>
        <v>H</v>
      </c>
      <c r="D29" s="45" t="str">
        <f>Parameter!E$26</f>
        <v>Lenovo Legion Glasses 2</v>
      </c>
      <c r="E29" s="125">
        <f t="shared" si="2"/>
        <v>0</v>
      </c>
      <c r="F29" s="126">
        <f t="shared" si="2"/>
        <v>0</v>
      </c>
      <c r="G29" s="126">
        <f t="shared" si="2"/>
        <v>0</v>
      </c>
      <c r="H29" s="126">
        <f t="shared" si="2"/>
        <v>0</v>
      </c>
      <c r="I29" s="126">
        <f t="shared" si="2"/>
        <v>0</v>
      </c>
      <c r="J29" s="126">
        <f t="shared" si="2"/>
        <v>0</v>
      </c>
      <c r="K29" s="126">
        <f t="shared" si="2"/>
        <v>0</v>
      </c>
      <c r="L29" s="127">
        <f t="shared" si="2"/>
        <v>0</v>
      </c>
    </row>
    <row r="30" spans="3:12" ht="15.6" hidden="1">
      <c r="C30" s="39" t="str">
        <f t="shared" si="1"/>
        <v>H</v>
      </c>
      <c r="D30" s="45" t="str">
        <f>Parameter!E$27</f>
        <v>Light</v>
      </c>
      <c r="E30" s="125">
        <f t="shared" si="2"/>
        <v>0</v>
      </c>
      <c r="F30" s="126">
        <f t="shared" si="2"/>
        <v>0</v>
      </c>
      <c r="G30" s="126">
        <f t="shared" si="2"/>
        <v>0</v>
      </c>
      <c r="H30" s="126">
        <f t="shared" si="2"/>
        <v>0</v>
      </c>
      <c r="I30" s="126">
        <f t="shared" si="2"/>
        <v>0</v>
      </c>
      <c r="J30" s="126">
        <f t="shared" si="2"/>
        <v>0</v>
      </c>
      <c r="K30" s="126">
        <f t="shared" si="2"/>
        <v>0</v>
      </c>
      <c r="L30" s="127">
        <f t="shared" si="2"/>
        <v>0</v>
      </c>
    </row>
    <row r="31" spans="3:12" ht="15.6" hidden="1">
      <c r="C31" s="39" t="str">
        <f t="shared" si="1"/>
        <v>H</v>
      </c>
      <c r="D31" s="45" t="str">
        <f>Parameter!E$28</f>
        <v>Max</v>
      </c>
      <c r="E31" s="125">
        <f t="shared" ref="E31:L40" si="3">SUMIF(ARVR_Y_PC_PR, "AR_"&amp;E$10&amp;"_"&amp;$D$9&amp;"_"&amp;$D31, PanelQ)</f>
        <v>0</v>
      </c>
      <c r="F31" s="126">
        <f t="shared" si="3"/>
        <v>0</v>
      </c>
      <c r="G31" s="126">
        <f t="shared" si="3"/>
        <v>0</v>
      </c>
      <c r="H31" s="126">
        <f t="shared" si="3"/>
        <v>0</v>
      </c>
      <c r="I31" s="126">
        <f t="shared" si="3"/>
        <v>0</v>
      </c>
      <c r="J31" s="126">
        <f t="shared" si="3"/>
        <v>0</v>
      </c>
      <c r="K31" s="126">
        <f t="shared" si="3"/>
        <v>0</v>
      </c>
      <c r="L31" s="127">
        <f t="shared" si="3"/>
        <v>0</v>
      </c>
    </row>
    <row r="32" spans="3:12" ht="15.6" hidden="1">
      <c r="C32" s="39" t="str">
        <f t="shared" si="1"/>
        <v>H</v>
      </c>
      <c r="D32" s="45" t="str">
        <f>Parameter!E$29</f>
        <v>Max 2</v>
      </c>
      <c r="E32" s="125">
        <f t="shared" si="3"/>
        <v>0</v>
      </c>
      <c r="F32" s="126">
        <f t="shared" si="3"/>
        <v>0</v>
      </c>
      <c r="G32" s="126">
        <f t="shared" si="3"/>
        <v>0</v>
      </c>
      <c r="H32" s="126">
        <f t="shared" si="3"/>
        <v>0</v>
      </c>
      <c r="I32" s="126">
        <f t="shared" si="3"/>
        <v>0</v>
      </c>
      <c r="J32" s="126">
        <f t="shared" si="3"/>
        <v>0</v>
      </c>
      <c r="K32" s="126">
        <f t="shared" si="3"/>
        <v>0</v>
      </c>
      <c r="L32" s="127">
        <f t="shared" si="3"/>
        <v>0</v>
      </c>
    </row>
    <row r="33" spans="3:12" ht="15.6" hidden="1">
      <c r="C33" s="39" t="str">
        <f t="shared" si="1"/>
        <v>H</v>
      </c>
      <c r="D33" s="45" t="str">
        <f>Parameter!E$30</f>
        <v>Meizu StarV Air 2</v>
      </c>
      <c r="E33" s="125">
        <f t="shared" si="3"/>
        <v>0</v>
      </c>
      <c r="F33" s="126">
        <f t="shared" si="3"/>
        <v>0</v>
      </c>
      <c r="G33" s="126">
        <f t="shared" si="3"/>
        <v>0</v>
      </c>
      <c r="H33" s="126">
        <f t="shared" si="3"/>
        <v>0</v>
      </c>
      <c r="I33" s="126">
        <f t="shared" si="3"/>
        <v>0</v>
      </c>
      <c r="J33" s="126">
        <f t="shared" si="3"/>
        <v>0</v>
      </c>
      <c r="K33" s="126">
        <f t="shared" si="3"/>
        <v>0</v>
      </c>
      <c r="L33" s="127">
        <f t="shared" si="3"/>
        <v>0</v>
      </c>
    </row>
    <row r="34" spans="3:12" ht="15.6" hidden="1">
      <c r="C34" s="39" t="str">
        <f t="shared" si="1"/>
        <v>H</v>
      </c>
      <c r="D34" s="45" t="str">
        <f>Parameter!E$31</f>
        <v>Meizu StarV View</v>
      </c>
      <c r="E34" s="125">
        <f t="shared" si="3"/>
        <v>0</v>
      </c>
      <c r="F34" s="126">
        <f t="shared" si="3"/>
        <v>0</v>
      </c>
      <c r="G34" s="126">
        <f t="shared" si="3"/>
        <v>0</v>
      </c>
      <c r="H34" s="126">
        <f t="shared" si="3"/>
        <v>0</v>
      </c>
      <c r="I34" s="126">
        <f t="shared" si="3"/>
        <v>0</v>
      </c>
      <c r="J34" s="126">
        <f t="shared" si="3"/>
        <v>0</v>
      </c>
      <c r="K34" s="126">
        <f t="shared" si="3"/>
        <v>0</v>
      </c>
      <c r="L34" s="127">
        <f t="shared" si="3"/>
        <v>0</v>
      </c>
    </row>
    <row r="35" spans="3:12" ht="15.6" hidden="1">
      <c r="C35" s="39" t="str">
        <f t="shared" si="1"/>
        <v>H</v>
      </c>
      <c r="D35" s="45" t="str">
        <f>Parameter!E$32</f>
        <v>MiRZA</v>
      </c>
      <c r="E35" s="125">
        <f t="shared" si="3"/>
        <v>0</v>
      </c>
      <c r="F35" s="126">
        <f t="shared" si="3"/>
        <v>0</v>
      </c>
      <c r="G35" s="126">
        <f t="shared" si="3"/>
        <v>0</v>
      </c>
      <c r="H35" s="126">
        <f t="shared" si="3"/>
        <v>0</v>
      </c>
      <c r="I35" s="126">
        <f t="shared" si="3"/>
        <v>0</v>
      </c>
      <c r="J35" s="126">
        <f t="shared" si="3"/>
        <v>0</v>
      </c>
      <c r="K35" s="126">
        <f t="shared" si="3"/>
        <v>0</v>
      </c>
      <c r="L35" s="127">
        <f t="shared" si="3"/>
        <v>0</v>
      </c>
    </row>
    <row r="36" spans="3:12" ht="15.6" hidden="1">
      <c r="C36" s="39" t="str">
        <f t="shared" si="1"/>
        <v>H</v>
      </c>
      <c r="D36" s="45" t="str">
        <f>Parameter!E$33</f>
        <v>ML 2</v>
      </c>
      <c r="E36" s="125">
        <f t="shared" si="3"/>
        <v>0</v>
      </c>
      <c r="F36" s="126">
        <f t="shared" si="3"/>
        <v>0</v>
      </c>
      <c r="G36" s="126">
        <f t="shared" si="3"/>
        <v>0</v>
      </c>
      <c r="H36" s="126">
        <f t="shared" si="3"/>
        <v>0</v>
      </c>
      <c r="I36" s="126">
        <f t="shared" si="3"/>
        <v>0</v>
      </c>
      <c r="J36" s="126">
        <f t="shared" si="3"/>
        <v>0</v>
      </c>
      <c r="K36" s="126">
        <f t="shared" si="3"/>
        <v>0</v>
      </c>
      <c r="L36" s="127">
        <f t="shared" si="3"/>
        <v>0</v>
      </c>
    </row>
    <row r="37" spans="3:12" ht="15.6" hidden="1">
      <c r="C37" s="39" t="str">
        <f t="shared" si="1"/>
        <v>H</v>
      </c>
      <c r="D37" s="45" t="str">
        <f>Parameter!E$34</f>
        <v>ML One</v>
      </c>
      <c r="E37" s="125">
        <f t="shared" si="3"/>
        <v>0</v>
      </c>
      <c r="F37" s="126">
        <f t="shared" si="3"/>
        <v>0</v>
      </c>
      <c r="G37" s="126">
        <f t="shared" si="3"/>
        <v>0</v>
      </c>
      <c r="H37" s="126">
        <f t="shared" si="3"/>
        <v>0</v>
      </c>
      <c r="I37" s="126">
        <f t="shared" si="3"/>
        <v>0</v>
      </c>
      <c r="J37" s="126">
        <f t="shared" si="3"/>
        <v>0</v>
      </c>
      <c r="K37" s="126">
        <f t="shared" si="3"/>
        <v>0</v>
      </c>
      <c r="L37" s="127">
        <f t="shared" si="3"/>
        <v>0</v>
      </c>
    </row>
    <row r="38" spans="3:12" ht="15.6" hidden="1">
      <c r="C38" s="39" t="str">
        <f t="shared" si="1"/>
        <v>H</v>
      </c>
      <c r="D38" s="45" t="str">
        <f>Parameter!E$35</f>
        <v>Monocular LCoS glasses</v>
      </c>
      <c r="E38" s="125">
        <f t="shared" si="3"/>
        <v>0</v>
      </c>
      <c r="F38" s="126">
        <f t="shared" si="3"/>
        <v>0</v>
      </c>
      <c r="G38" s="126">
        <f t="shared" si="3"/>
        <v>0</v>
      </c>
      <c r="H38" s="126">
        <f t="shared" si="3"/>
        <v>0</v>
      </c>
      <c r="I38" s="126">
        <f t="shared" si="3"/>
        <v>0</v>
      </c>
      <c r="J38" s="126">
        <f t="shared" si="3"/>
        <v>0</v>
      </c>
      <c r="K38" s="126">
        <f t="shared" si="3"/>
        <v>0</v>
      </c>
      <c r="L38" s="127">
        <f t="shared" si="3"/>
        <v>0</v>
      </c>
    </row>
    <row r="39" spans="3:12" ht="15.6" hidden="1">
      <c r="C39" s="39" t="str">
        <f t="shared" si="1"/>
        <v>H</v>
      </c>
      <c r="D39" s="45" t="str">
        <f>Parameter!E$36</f>
        <v>Monocular MicroLED</v>
      </c>
      <c r="E39" s="125">
        <f t="shared" si="3"/>
        <v>0</v>
      </c>
      <c r="F39" s="126">
        <f t="shared" si="3"/>
        <v>0</v>
      </c>
      <c r="G39" s="126">
        <f t="shared" si="3"/>
        <v>0</v>
      </c>
      <c r="H39" s="126">
        <f t="shared" si="3"/>
        <v>0</v>
      </c>
      <c r="I39" s="126">
        <f t="shared" si="3"/>
        <v>0</v>
      </c>
      <c r="J39" s="126">
        <f t="shared" si="3"/>
        <v>0</v>
      </c>
      <c r="K39" s="126">
        <f t="shared" si="3"/>
        <v>0</v>
      </c>
      <c r="L39" s="127">
        <f t="shared" si="3"/>
        <v>0</v>
      </c>
    </row>
    <row r="40" spans="3:12" ht="15.6" hidden="1">
      <c r="C40" s="39" t="str">
        <f t="shared" si="1"/>
        <v>H</v>
      </c>
      <c r="D40" s="45" t="str">
        <f>Parameter!E$37</f>
        <v>Moverio</v>
      </c>
      <c r="E40" s="125">
        <f t="shared" si="3"/>
        <v>0</v>
      </c>
      <c r="F40" s="126">
        <f t="shared" si="3"/>
        <v>0</v>
      </c>
      <c r="G40" s="126">
        <f t="shared" si="3"/>
        <v>0</v>
      </c>
      <c r="H40" s="126">
        <f t="shared" si="3"/>
        <v>0</v>
      </c>
      <c r="I40" s="126">
        <f t="shared" si="3"/>
        <v>0</v>
      </c>
      <c r="J40" s="126">
        <f t="shared" si="3"/>
        <v>0</v>
      </c>
      <c r="K40" s="126">
        <f t="shared" si="3"/>
        <v>0</v>
      </c>
      <c r="L40" s="127">
        <f t="shared" si="3"/>
        <v>0</v>
      </c>
    </row>
    <row r="41" spans="3:12" ht="15.6" hidden="1">
      <c r="C41" s="39" t="str">
        <f t="shared" si="1"/>
        <v>H</v>
      </c>
      <c r="D41" s="45" t="str">
        <f>Parameter!E$38</f>
        <v>MYVU</v>
      </c>
      <c r="E41" s="125">
        <f t="shared" ref="E41:L50" si="4">SUMIF(ARVR_Y_PC_PR, "AR_"&amp;E$10&amp;"_"&amp;$D$9&amp;"_"&amp;$D41, PanelQ)</f>
        <v>0</v>
      </c>
      <c r="F41" s="126">
        <f t="shared" si="4"/>
        <v>0</v>
      </c>
      <c r="G41" s="126">
        <f t="shared" si="4"/>
        <v>0</v>
      </c>
      <c r="H41" s="126">
        <f t="shared" si="4"/>
        <v>0</v>
      </c>
      <c r="I41" s="126">
        <f t="shared" si="4"/>
        <v>0</v>
      </c>
      <c r="J41" s="126">
        <f t="shared" si="4"/>
        <v>0</v>
      </c>
      <c r="K41" s="126">
        <f t="shared" si="4"/>
        <v>0</v>
      </c>
      <c r="L41" s="127">
        <f t="shared" si="4"/>
        <v>0</v>
      </c>
    </row>
    <row r="42" spans="3:12" ht="15.6" hidden="1">
      <c r="C42" s="39" t="str">
        <f t="shared" si="1"/>
        <v>H</v>
      </c>
      <c r="D42" s="45" t="str">
        <f>Parameter!E$39</f>
        <v>NXTWear</v>
      </c>
      <c r="E42" s="125">
        <f t="shared" si="4"/>
        <v>0</v>
      </c>
      <c r="F42" s="126">
        <f t="shared" si="4"/>
        <v>0</v>
      </c>
      <c r="G42" s="126">
        <f t="shared" si="4"/>
        <v>0</v>
      </c>
      <c r="H42" s="126">
        <f t="shared" si="4"/>
        <v>0</v>
      </c>
      <c r="I42" s="126">
        <f t="shared" si="4"/>
        <v>0</v>
      </c>
      <c r="J42" s="126">
        <f t="shared" si="4"/>
        <v>0</v>
      </c>
      <c r="K42" s="126">
        <f t="shared" si="4"/>
        <v>0</v>
      </c>
      <c r="L42" s="127">
        <f t="shared" si="4"/>
        <v>0</v>
      </c>
    </row>
    <row r="43" spans="3:12" ht="15.6" hidden="1">
      <c r="C43" s="39" t="str">
        <f t="shared" si="1"/>
        <v>H</v>
      </c>
      <c r="D43" s="45" t="str">
        <f>Parameter!E$40</f>
        <v>One</v>
      </c>
      <c r="E43" s="125">
        <f t="shared" si="4"/>
        <v>0</v>
      </c>
      <c r="F43" s="126">
        <f t="shared" si="4"/>
        <v>0</v>
      </c>
      <c r="G43" s="126">
        <f t="shared" si="4"/>
        <v>0</v>
      </c>
      <c r="H43" s="126">
        <f t="shared" si="4"/>
        <v>0</v>
      </c>
      <c r="I43" s="126">
        <f t="shared" si="4"/>
        <v>0</v>
      </c>
      <c r="J43" s="126">
        <f t="shared" si="4"/>
        <v>0</v>
      </c>
      <c r="K43" s="126">
        <f t="shared" si="4"/>
        <v>0</v>
      </c>
      <c r="L43" s="127">
        <f t="shared" si="4"/>
        <v>0</v>
      </c>
    </row>
    <row r="44" spans="3:12" ht="15.6" hidden="1">
      <c r="C44" s="39" t="str">
        <f t="shared" si="1"/>
        <v>H</v>
      </c>
      <c r="D44" s="45" t="str">
        <f>Parameter!E$41</f>
        <v>One Pro</v>
      </c>
      <c r="E44" s="125">
        <f t="shared" si="4"/>
        <v>0</v>
      </c>
      <c r="F44" s="126">
        <f t="shared" si="4"/>
        <v>0</v>
      </c>
      <c r="G44" s="126">
        <f t="shared" si="4"/>
        <v>0</v>
      </c>
      <c r="H44" s="126">
        <f t="shared" si="4"/>
        <v>0</v>
      </c>
      <c r="I44" s="126">
        <f t="shared" si="4"/>
        <v>0</v>
      </c>
      <c r="J44" s="126">
        <f t="shared" si="4"/>
        <v>0</v>
      </c>
      <c r="K44" s="126">
        <f t="shared" si="4"/>
        <v>0</v>
      </c>
      <c r="L44" s="127">
        <f t="shared" si="4"/>
        <v>0</v>
      </c>
    </row>
    <row r="45" spans="3:12" ht="15.6" hidden="1">
      <c r="C45" s="39" t="str">
        <f t="shared" si="1"/>
        <v>H</v>
      </c>
      <c r="D45" s="45" t="str">
        <f>Parameter!E$42</f>
        <v>Quark AI</v>
      </c>
      <c r="E45" s="125">
        <f t="shared" si="4"/>
        <v>0</v>
      </c>
      <c r="F45" s="126">
        <f t="shared" si="4"/>
        <v>0</v>
      </c>
      <c r="G45" s="126">
        <f t="shared" si="4"/>
        <v>0</v>
      </c>
      <c r="H45" s="126">
        <f t="shared" si="4"/>
        <v>0</v>
      </c>
      <c r="I45" s="126">
        <f t="shared" si="4"/>
        <v>0</v>
      </c>
      <c r="J45" s="126">
        <f t="shared" si="4"/>
        <v>0</v>
      </c>
      <c r="K45" s="126">
        <f t="shared" si="4"/>
        <v>0</v>
      </c>
      <c r="L45" s="127">
        <f t="shared" si="4"/>
        <v>0</v>
      </c>
    </row>
    <row r="46" spans="3:12" ht="15.6" hidden="1">
      <c r="C46" s="39" t="str">
        <f t="shared" si="1"/>
        <v>H</v>
      </c>
      <c r="D46" s="45" t="str">
        <f>Parameter!E$43</f>
        <v>Ray-Ban Meta Display</v>
      </c>
      <c r="E46" s="125">
        <f t="shared" si="4"/>
        <v>0</v>
      </c>
      <c r="F46" s="126">
        <f t="shared" si="4"/>
        <v>0</v>
      </c>
      <c r="G46" s="126">
        <f t="shared" si="4"/>
        <v>0</v>
      </c>
      <c r="H46" s="126">
        <f t="shared" si="4"/>
        <v>0</v>
      </c>
      <c r="I46" s="126">
        <f t="shared" si="4"/>
        <v>0</v>
      </c>
      <c r="J46" s="126">
        <f t="shared" si="4"/>
        <v>0</v>
      </c>
      <c r="K46" s="126">
        <f t="shared" si="4"/>
        <v>0</v>
      </c>
      <c r="L46" s="127">
        <f t="shared" si="4"/>
        <v>0</v>
      </c>
    </row>
    <row r="47" spans="3:12" ht="15.6" hidden="1">
      <c r="C47" s="39" t="str">
        <f t="shared" si="1"/>
        <v>H</v>
      </c>
      <c r="D47" s="45" t="str">
        <f>Parameter!E$44</f>
        <v>Shield</v>
      </c>
      <c r="E47" s="125">
        <f t="shared" si="4"/>
        <v>0</v>
      </c>
      <c r="F47" s="126">
        <f t="shared" si="4"/>
        <v>0</v>
      </c>
      <c r="G47" s="126">
        <f t="shared" si="4"/>
        <v>0</v>
      </c>
      <c r="H47" s="126">
        <f t="shared" si="4"/>
        <v>0</v>
      </c>
      <c r="I47" s="126">
        <f t="shared" si="4"/>
        <v>0</v>
      </c>
      <c r="J47" s="126">
        <f t="shared" si="4"/>
        <v>0</v>
      </c>
      <c r="K47" s="126">
        <f t="shared" si="4"/>
        <v>0</v>
      </c>
      <c r="L47" s="127">
        <f t="shared" si="4"/>
        <v>0</v>
      </c>
    </row>
    <row r="48" spans="3:12" ht="15.6" hidden="1">
      <c r="C48" s="39" t="str">
        <f t="shared" si="1"/>
        <v>H</v>
      </c>
      <c r="D48" s="45" t="str">
        <f>Parameter!E$45</f>
        <v>SiOLED glasses</v>
      </c>
      <c r="E48" s="125">
        <f t="shared" si="4"/>
        <v>0</v>
      </c>
      <c r="F48" s="126">
        <f t="shared" si="4"/>
        <v>0</v>
      </c>
      <c r="G48" s="126">
        <f t="shared" si="4"/>
        <v>0</v>
      </c>
      <c r="H48" s="126">
        <f t="shared" si="4"/>
        <v>0</v>
      </c>
      <c r="I48" s="126">
        <f t="shared" si="4"/>
        <v>0</v>
      </c>
      <c r="J48" s="126">
        <f t="shared" si="4"/>
        <v>0</v>
      </c>
      <c r="K48" s="126">
        <f t="shared" si="4"/>
        <v>0</v>
      </c>
      <c r="L48" s="127">
        <f t="shared" si="4"/>
        <v>0</v>
      </c>
    </row>
    <row r="49" spans="3:12" ht="15.6" hidden="1">
      <c r="C49" s="39" t="str">
        <f t="shared" si="1"/>
        <v>H</v>
      </c>
      <c r="D49" s="45" t="str">
        <f>Parameter!E$46</f>
        <v>T1</v>
      </c>
      <c r="E49" s="125">
        <f t="shared" si="4"/>
        <v>0</v>
      </c>
      <c r="F49" s="126">
        <f t="shared" si="4"/>
        <v>0</v>
      </c>
      <c r="G49" s="126">
        <f t="shared" si="4"/>
        <v>0</v>
      </c>
      <c r="H49" s="126">
        <f t="shared" si="4"/>
        <v>0</v>
      </c>
      <c r="I49" s="126">
        <f t="shared" si="4"/>
        <v>0</v>
      </c>
      <c r="J49" s="126">
        <f t="shared" si="4"/>
        <v>0</v>
      </c>
      <c r="K49" s="126">
        <f t="shared" si="4"/>
        <v>0</v>
      </c>
      <c r="L49" s="127">
        <f t="shared" si="4"/>
        <v>0</v>
      </c>
    </row>
    <row r="50" spans="3:12" ht="15.6" hidden="1">
      <c r="C50" s="39" t="str">
        <f t="shared" si="1"/>
        <v>H</v>
      </c>
      <c r="D50" s="45" t="str">
        <f>Parameter!E$47</f>
        <v>ThinkReality A3</v>
      </c>
      <c r="E50" s="125">
        <f t="shared" si="4"/>
        <v>0</v>
      </c>
      <c r="F50" s="126">
        <f t="shared" si="4"/>
        <v>0</v>
      </c>
      <c r="G50" s="126">
        <f t="shared" si="4"/>
        <v>0</v>
      </c>
      <c r="H50" s="126">
        <f t="shared" si="4"/>
        <v>0</v>
      </c>
      <c r="I50" s="126">
        <f t="shared" si="4"/>
        <v>0</v>
      </c>
      <c r="J50" s="126">
        <f t="shared" si="4"/>
        <v>0</v>
      </c>
      <c r="K50" s="126">
        <f t="shared" si="4"/>
        <v>0</v>
      </c>
      <c r="L50" s="127">
        <f t="shared" si="4"/>
        <v>0</v>
      </c>
    </row>
    <row r="51" spans="3:12" ht="15.6" hidden="1">
      <c r="C51" s="39" t="str">
        <f t="shared" si="1"/>
        <v>H</v>
      </c>
      <c r="D51" s="45" t="str">
        <f>Parameter!E$48</f>
        <v>Viture Pro</v>
      </c>
      <c r="E51" s="125">
        <f t="shared" ref="E51:L60" si="5">SUMIF(ARVR_Y_PC_PR, "AR_"&amp;E$10&amp;"_"&amp;$D$9&amp;"_"&amp;$D51, PanelQ)</f>
        <v>0</v>
      </c>
      <c r="F51" s="126">
        <f t="shared" si="5"/>
        <v>0</v>
      </c>
      <c r="G51" s="126">
        <f t="shared" si="5"/>
        <v>0</v>
      </c>
      <c r="H51" s="126">
        <f t="shared" si="5"/>
        <v>0</v>
      </c>
      <c r="I51" s="126">
        <f t="shared" si="5"/>
        <v>0</v>
      </c>
      <c r="J51" s="126">
        <f t="shared" si="5"/>
        <v>0</v>
      </c>
      <c r="K51" s="126">
        <f t="shared" si="5"/>
        <v>0</v>
      </c>
      <c r="L51" s="127">
        <f t="shared" si="5"/>
        <v>0</v>
      </c>
    </row>
    <row r="52" spans="3:12" ht="15.6" hidden="1">
      <c r="C52" s="39" t="str">
        <f t="shared" si="1"/>
        <v>H</v>
      </c>
      <c r="D52" s="45" t="str">
        <f>Parameter!E$49</f>
        <v>X3 Pro</v>
      </c>
      <c r="E52" s="125">
        <f t="shared" si="5"/>
        <v>0</v>
      </c>
      <c r="F52" s="126">
        <f t="shared" si="5"/>
        <v>0</v>
      </c>
      <c r="G52" s="126">
        <f t="shared" si="5"/>
        <v>0</v>
      </c>
      <c r="H52" s="126">
        <f t="shared" si="5"/>
        <v>0</v>
      </c>
      <c r="I52" s="126">
        <f t="shared" si="5"/>
        <v>0</v>
      </c>
      <c r="J52" s="126">
        <f t="shared" si="5"/>
        <v>0</v>
      </c>
      <c r="K52" s="126">
        <f t="shared" si="5"/>
        <v>0</v>
      </c>
      <c r="L52" s="127">
        <f t="shared" si="5"/>
        <v>0</v>
      </c>
    </row>
    <row r="53" spans="3:12" ht="15.6" hidden="1">
      <c r="C53" s="39" t="str">
        <f t="shared" si="1"/>
        <v>H</v>
      </c>
      <c r="D53" s="45" t="str">
        <f>Parameter!E$50</f>
        <v>Z100</v>
      </c>
      <c r="E53" s="125">
        <f t="shared" si="5"/>
        <v>0</v>
      </c>
      <c r="F53" s="126">
        <f t="shared" si="5"/>
        <v>0</v>
      </c>
      <c r="G53" s="126">
        <f t="shared" si="5"/>
        <v>0</v>
      </c>
      <c r="H53" s="126">
        <f t="shared" si="5"/>
        <v>0</v>
      </c>
      <c r="I53" s="126">
        <f t="shared" si="5"/>
        <v>0</v>
      </c>
      <c r="J53" s="126">
        <f t="shared" si="5"/>
        <v>0</v>
      </c>
      <c r="K53" s="126">
        <f t="shared" si="5"/>
        <v>0</v>
      </c>
      <c r="L53" s="127">
        <f t="shared" si="5"/>
        <v>0</v>
      </c>
    </row>
    <row r="54" spans="3:12" ht="15.6" hidden="1">
      <c r="C54" s="39" t="str">
        <f t="shared" si="1"/>
        <v>H</v>
      </c>
      <c r="D54" s="45">
        <f>Parameter!E$51</f>
        <v>0</v>
      </c>
      <c r="E54" s="125">
        <f t="shared" si="5"/>
        <v>0</v>
      </c>
      <c r="F54" s="126">
        <f t="shared" si="5"/>
        <v>0</v>
      </c>
      <c r="G54" s="126">
        <f t="shared" si="5"/>
        <v>0</v>
      </c>
      <c r="H54" s="126">
        <f t="shared" si="5"/>
        <v>0</v>
      </c>
      <c r="I54" s="126">
        <f t="shared" si="5"/>
        <v>0</v>
      </c>
      <c r="J54" s="126">
        <f t="shared" si="5"/>
        <v>0</v>
      </c>
      <c r="K54" s="126">
        <f t="shared" si="5"/>
        <v>0</v>
      </c>
      <c r="L54" s="127">
        <f t="shared" si="5"/>
        <v>0</v>
      </c>
    </row>
    <row r="55" spans="3:12" ht="15.6" hidden="1">
      <c r="C55" s="39" t="str">
        <f t="shared" si="1"/>
        <v>H</v>
      </c>
      <c r="D55" s="45">
        <f>Parameter!E$52</f>
        <v>0</v>
      </c>
      <c r="E55" s="125">
        <f t="shared" si="5"/>
        <v>0</v>
      </c>
      <c r="F55" s="126">
        <f t="shared" si="5"/>
        <v>0</v>
      </c>
      <c r="G55" s="126">
        <f t="shared" si="5"/>
        <v>0</v>
      </c>
      <c r="H55" s="126">
        <f t="shared" si="5"/>
        <v>0</v>
      </c>
      <c r="I55" s="126">
        <f t="shared" si="5"/>
        <v>0</v>
      </c>
      <c r="J55" s="126">
        <f t="shared" si="5"/>
        <v>0</v>
      </c>
      <c r="K55" s="126">
        <f t="shared" si="5"/>
        <v>0</v>
      </c>
      <c r="L55" s="127">
        <f t="shared" si="5"/>
        <v>0</v>
      </c>
    </row>
    <row r="56" spans="3:12" ht="15.6" hidden="1">
      <c r="C56" s="39" t="str">
        <f t="shared" si="1"/>
        <v>H</v>
      </c>
      <c r="D56" s="45">
        <f>Parameter!E$53</f>
        <v>0</v>
      </c>
      <c r="E56" s="125">
        <f t="shared" si="5"/>
        <v>0</v>
      </c>
      <c r="F56" s="126">
        <f t="shared" si="5"/>
        <v>0</v>
      </c>
      <c r="G56" s="126">
        <f t="shared" si="5"/>
        <v>0</v>
      </c>
      <c r="H56" s="126">
        <f t="shared" si="5"/>
        <v>0</v>
      </c>
      <c r="I56" s="126">
        <f t="shared" si="5"/>
        <v>0</v>
      </c>
      <c r="J56" s="126">
        <f t="shared" si="5"/>
        <v>0</v>
      </c>
      <c r="K56" s="126">
        <f t="shared" si="5"/>
        <v>0</v>
      </c>
      <c r="L56" s="127">
        <f t="shared" si="5"/>
        <v>0</v>
      </c>
    </row>
    <row r="57" spans="3:12" ht="15.6" hidden="1">
      <c r="C57" s="39" t="str">
        <f t="shared" si="1"/>
        <v>H</v>
      </c>
      <c r="D57" s="45">
        <f>Parameter!E$54</f>
        <v>0</v>
      </c>
      <c r="E57" s="125">
        <f t="shared" si="5"/>
        <v>0</v>
      </c>
      <c r="F57" s="126">
        <f t="shared" si="5"/>
        <v>0</v>
      </c>
      <c r="G57" s="126">
        <f t="shared" si="5"/>
        <v>0</v>
      </c>
      <c r="H57" s="126">
        <f t="shared" si="5"/>
        <v>0</v>
      </c>
      <c r="I57" s="126">
        <f t="shared" si="5"/>
        <v>0</v>
      </c>
      <c r="J57" s="126">
        <f t="shared" si="5"/>
        <v>0</v>
      </c>
      <c r="K57" s="126">
        <f t="shared" si="5"/>
        <v>0</v>
      </c>
      <c r="L57" s="127">
        <f t="shared" si="5"/>
        <v>0</v>
      </c>
    </row>
    <row r="58" spans="3:12" ht="15.6" hidden="1">
      <c r="C58" s="39" t="str">
        <f t="shared" si="1"/>
        <v>H</v>
      </c>
      <c r="D58" s="45">
        <f>Parameter!E$55</f>
        <v>0</v>
      </c>
      <c r="E58" s="125">
        <f t="shared" si="5"/>
        <v>0</v>
      </c>
      <c r="F58" s="126">
        <f t="shared" si="5"/>
        <v>0</v>
      </c>
      <c r="G58" s="126">
        <f t="shared" si="5"/>
        <v>0</v>
      </c>
      <c r="H58" s="126">
        <f t="shared" si="5"/>
        <v>0</v>
      </c>
      <c r="I58" s="126">
        <f t="shared" si="5"/>
        <v>0</v>
      </c>
      <c r="J58" s="126">
        <f t="shared" si="5"/>
        <v>0</v>
      </c>
      <c r="K58" s="126">
        <f t="shared" si="5"/>
        <v>0</v>
      </c>
      <c r="L58" s="127">
        <f t="shared" si="5"/>
        <v>0</v>
      </c>
    </row>
    <row r="59" spans="3:12" ht="15.6" hidden="1">
      <c r="C59" s="39" t="str">
        <f t="shared" si="1"/>
        <v>H</v>
      </c>
      <c r="D59" s="45">
        <f>Parameter!E$56</f>
        <v>0</v>
      </c>
      <c r="E59" s="125">
        <f t="shared" si="5"/>
        <v>0</v>
      </c>
      <c r="F59" s="126">
        <f t="shared" si="5"/>
        <v>0</v>
      </c>
      <c r="G59" s="126">
        <f t="shared" si="5"/>
        <v>0</v>
      </c>
      <c r="H59" s="126">
        <f t="shared" si="5"/>
        <v>0</v>
      </c>
      <c r="I59" s="126">
        <f t="shared" si="5"/>
        <v>0</v>
      </c>
      <c r="J59" s="126">
        <f t="shared" si="5"/>
        <v>0</v>
      </c>
      <c r="K59" s="126">
        <f t="shared" si="5"/>
        <v>0</v>
      </c>
      <c r="L59" s="127">
        <f t="shared" si="5"/>
        <v>0</v>
      </c>
    </row>
    <row r="60" spans="3:12" ht="16.2" hidden="1" thickBot="1">
      <c r="C60" s="39" t="str">
        <f t="shared" si="1"/>
        <v>H</v>
      </c>
      <c r="D60" s="53" t="str">
        <f>Parameter!E$57</f>
        <v>ALL</v>
      </c>
      <c r="E60" s="128">
        <f t="shared" si="5"/>
        <v>0</v>
      </c>
      <c r="F60" s="129">
        <f t="shared" si="5"/>
        <v>0</v>
      </c>
      <c r="G60" s="129">
        <f t="shared" si="5"/>
        <v>0</v>
      </c>
      <c r="H60" s="129">
        <f t="shared" si="5"/>
        <v>0</v>
      </c>
      <c r="I60" s="129">
        <f t="shared" si="5"/>
        <v>0</v>
      </c>
      <c r="J60" s="129">
        <f t="shared" si="5"/>
        <v>0</v>
      </c>
      <c r="K60" s="129">
        <f t="shared" si="5"/>
        <v>0</v>
      </c>
      <c r="L60" s="130">
        <f t="shared" si="5"/>
        <v>0</v>
      </c>
    </row>
    <row r="61" spans="3:12" ht="15.6">
      <c r="C61" s="39" t="str">
        <f t="shared" si="1"/>
        <v/>
      </c>
      <c r="D61" s="54" t="s">
        <v>87</v>
      </c>
      <c r="E61" s="131">
        <f>SUM(E11:E60)</f>
        <v>2.7520000000000001E-3</v>
      </c>
      <c r="F61" s="132">
        <f t="shared" ref="F61:L61" si="6">SUM(F11:F60)</f>
        <v>7.0399999999999998E-4</v>
      </c>
      <c r="G61" s="132">
        <f t="shared" si="6"/>
        <v>4.4000000000000002E-4</v>
      </c>
      <c r="H61" s="132">
        <f t="shared" si="6"/>
        <v>4.4000000000000002E-4</v>
      </c>
      <c r="I61" s="132">
        <f t="shared" si="6"/>
        <v>4.4000000000000002E-4</v>
      </c>
      <c r="J61" s="132">
        <f t="shared" si="6"/>
        <v>4.4000000000000002E-4</v>
      </c>
      <c r="K61" s="132">
        <f t="shared" si="6"/>
        <v>4.4000000000000002E-4</v>
      </c>
      <c r="L61" s="133">
        <f t="shared" si="6"/>
        <v>4.4000000000000002E-4</v>
      </c>
    </row>
    <row r="62" spans="3:12" ht="16.2" thickBot="1">
      <c r="C62" s="39" t="str">
        <f t="shared" si="1"/>
        <v/>
      </c>
      <c r="D62" s="46" t="s">
        <v>88</v>
      </c>
      <c r="E62" s="47"/>
      <c r="F62" s="50">
        <f t="shared" ref="F62:G62" si="7">IF(E61*F61=0, "", F61/E61-1)</f>
        <v>-0.7441860465116279</v>
      </c>
      <c r="G62" s="50">
        <f t="shared" si="7"/>
        <v>-0.375</v>
      </c>
      <c r="H62" s="50">
        <f>IF(G61*H61=0, "", H61/G61-1)</f>
        <v>0</v>
      </c>
      <c r="I62" s="50">
        <f t="shared" ref="I62:L62" si="8">IF(H61*I61=0, "", I61/H61-1)</f>
        <v>0</v>
      </c>
      <c r="J62" s="50">
        <f t="shared" si="8"/>
        <v>0</v>
      </c>
      <c r="K62" s="50">
        <f t="shared" si="8"/>
        <v>0</v>
      </c>
      <c r="L62" s="51">
        <f t="shared" si="8"/>
        <v>0</v>
      </c>
    </row>
    <row r="63" spans="3:12" ht="15.6">
      <c r="C63"/>
      <c r="D63" s="49"/>
      <c r="E63" s="55"/>
      <c r="F63" s="56"/>
      <c r="G63" s="56"/>
      <c r="H63" s="56"/>
      <c r="I63" s="56"/>
      <c r="J63" s="56"/>
      <c r="K63" s="56"/>
      <c r="L63" s="56"/>
    </row>
    <row r="64" spans="3:12" ht="14.4" thickBot="1">
      <c r="C64"/>
    </row>
    <row r="65" spans="3:12" ht="15" thickBot="1">
      <c r="C65"/>
      <c r="D65" s="52" t="str">
        <f>Parameter!I9</f>
        <v>1x LCoS</v>
      </c>
    </row>
    <row r="66" spans="3:12" ht="16.2" thickBot="1">
      <c r="C66"/>
      <c r="D66" s="40" t="s">
        <v>85</v>
      </c>
      <c r="E66" s="41" t="str">
        <f t="shared" ref="E66:L66" si="9">E10</f>
        <v>2022</v>
      </c>
      <c r="F66" s="42" t="str">
        <f t="shared" si="9"/>
        <v>2023</v>
      </c>
      <c r="G66" s="42" t="str">
        <f t="shared" si="9"/>
        <v>2024</v>
      </c>
      <c r="H66" s="42">
        <f t="shared" si="9"/>
        <v>2025</v>
      </c>
      <c r="I66" s="42" t="str">
        <f t="shared" si="9"/>
        <v>2026</v>
      </c>
      <c r="J66" s="42" t="str">
        <f t="shared" si="9"/>
        <v>2027</v>
      </c>
      <c r="K66" s="42" t="str">
        <f t="shared" si="9"/>
        <v>2028</v>
      </c>
      <c r="L66" s="43" t="str">
        <f t="shared" si="9"/>
        <v>2029</v>
      </c>
    </row>
    <row r="67" spans="3:12" ht="15.6" hidden="1">
      <c r="C67" s="39" t="str">
        <f>IF(SUM(E67:L67)=0, "H", "")</f>
        <v>H</v>
      </c>
      <c r="D67" s="44" t="str">
        <f>Parameter!E$8</f>
        <v>Air</v>
      </c>
      <c r="E67" s="125">
        <f t="shared" ref="E67:L76" si="10">SUMIF(ARVR_Y_PC_PR, "AR_"&amp;E$66&amp;"_"&amp;$D$65&amp;"_"&amp;$D67, PanelQ)</f>
        <v>0</v>
      </c>
      <c r="F67" s="126">
        <f t="shared" si="10"/>
        <v>0</v>
      </c>
      <c r="G67" s="126">
        <f t="shared" si="10"/>
        <v>0</v>
      </c>
      <c r="H67" s="126">
        <f t="shared" si="10"/>
        <v>0</v>
      </c>
      <c r="I67" s="126">
        <f t="shared" si="10"/>
        <v>0</v>
      </c>
      <c r="J67" s="126">
        <f t="shared" si="10"/>
        <v>0</v>
      </c>
      <c r="K67" s="126">
        <f t="shared" si="10"/>
        <v>0</v>
      </c>
      <c r="L67" s="127">
        <f t="shared" si="10"/>
        <v>0</v>
      </c>
    </row>
    <row r="68" spans="3:12" ht="15.6" hidden="1">
      <c r="C68" s="39" t="str">
        <f t="shared" si="1"/>
        <v>H</v>
      </c>
      <c r="D68" s="44" t="str">
        <f>Parameter!E$9</f>
        <v>Air 2</v>
      </c>
      <c r="E68" s="125">
        <f t="shared" si="10"/>
        <v>0</v>
      </c>
      <c r="F68" s="126">
        <f t="shared" si="10"/>
        <v>0</v>
      </c>
      <c r="G68" s="126">
        <f t="shared" si="10"/>
        <v>0</v>
      </c>
      <c r="H68" s="126">
        <f t="shared" si="10"/>
        <v>0</v>
      </c>
      <c r="I68" s="126">
        <f t="shared" si="10"/>
        <v>0</v>
      </c>
      <c r="J68" s="126">
        <f t="shared" si="10"/>
        <v>0</v>
      </c>
      <c r="K68" s="126">
        <f t="shared" si="10"/>
        <v>0</v>
      </c>
      <c r="L68" s="127">
        <f t="shared" si="10"/>
        <v>0</v>
      </c>
    </row>
    <row r="69" spans="3:12" ht="15.6" hidden="1">
      <c r="C69" s="39" t="str">
        <f t="shared" si="1"/>
        <v>H</v>
      </c>
      <c r="D69" s="45" t="str">
        <f>Parameter!E$10</f>
        <v>Air 3</v>
      </c>
      <c r="E69" s="125">
        <f t="shared" si="10"/>
        <v>0</v>
      </c>
      <c r="F69" s="126">
        <f t="shared" si="10"/>
        <v>0</v>
      </c>
      <c r="G69" s="126">
        <f t="shared" si="10"/>
        <v>0</v>
      </c>
      <c r="H69" s="126">
        <f t="shared" si="10"/>
        <v>0</v>
      </c>
      <c r="I69" s="126">
        <f t="shared" si="10"/>
        <v>0</v>
      </c>
      <c r="J69" s="126">
        <f t="shared" si="10"/>
        <v>0</v>
      </c>
      <c r="K69" s="126">
        <f t="shared" si="10"/>
        <v>0</v>
      </c>
      <c r="L69" s="127">
        <f t="shared" si="10"/>
        <v>0</v>
      </c>
    </row>
    <row r="70" spans="3:12" ht="15.6" hidden="1">
      <c r="C70" s="39" t="str">
        <f t="shared" si="1"/>
        <v>H</v>
      </c>
      <c r="D70" s="45" t="str">
        <f>Parameter!E$11</f>
        <v>Air 3s Pro</v>
      </c>
      <c r="E70" s="125">
        <f t="shared" si="10"/>
        <v>0</v>
      </c>
      <c r="F70" s="126">
        <f t="shared" si="10"/>
        <v>0</v>
      </c>
      <c r="G70" s="126">
        <f t="shared" si="10"/>
        <v>0</v>
      </c>
      <c r="H70" s="126">
        <f t="shared" si="10"/>
        <v>0</v>
      </c>
      <c r="I70" s="126">
        <f t="shared" si="10"/>
        <v>0</v>
      </c>
      <c r="J70" s="126">
        <f t="shared" si="10"/>
        <v>0</v>
      </c>
      <c r="K70" s="126">
        <f t="shared" si="10"/>
        <v>0</v>
      </c>
      <c r="L70" s="127">
        <f t="shared" si="10"/>
        <v>0</v>
      </c>
    </row>
    <row r="71" spans="3:12" ht="15.6" hidden="1">
      <c r="C71" s="39" t="str">
        <f t="shared" si="1"/>
        <v>H</v>
      </c>
      <c r="D71" s="45" t="str">
        <f>Parameter!E$12</f>
        <v>Air Glass</v>
      </c>
      <c r="E71" s="125">
        <f t="shared" si="10"/>
        <v>0</v>
      </c>
      <c r="F71" s="126">
        <f t="shared" si="10"/>
        <v>0</v>
      </c>
      <c r="G71" s="126">
        <f t="shared" si="10"/>
        <v>0</v>
      </c>
      <c r="H71" s="126">
        <f t="shared" si="10"/>
        <v>0</v>
      </c>
      <c r="I71" s="126">
        <f t="shared" si="10"/>
        <v>0</v>
      </c>
      <c r="J71" s="126">
        <f t="shared" si="10"/>
        <v>0</v>
      </c>
      <c r="K71" s="126">
        <f t="shared" si="10"/>
        <v>0</v>
      </c>
      <c r="L71" s="127">
        <f t="shared" si="10"/>
        <v>0</v>
      </c>
    </row>
    <row r="72" spans="3:12" ht="15.6" hidden="1">
      <c r="C72" s="39" t="str">
        <f t="shared" si="1"/>
        <v>H</v>
      </c>
      <c r="D72" s="45" t="str">
        <f>Parameter!E$13</f>
        <v>Binocular MicroLED</v>
      </c>
      <c r="E72" s="125">
        <f t="shared" si="10"/>
        <v>0</v>
      </c>
      <c r="F72" s="126">
        <f t="shared" si="10"/>
        <v>0</v>
      </c>
      <c r="G72" s="126">
        <f t="shared" si="10"/>
        <v>0</v>
      </c>
      <c r="H72" s="126">
        <f t="shared" si="10"/>
        <v>0</v>
      </c>
      <c r="I72" s="126">
        <f t="shared" si="10"/>
        <v>0</v>
      </c>
      <c r="J72" s="126">
        <f t="shared" si="10"/>
        <v>0</v>
      </c>
      <c r="K72" s="126">
        <f t="shared" si="10"/>
        <v>0</v>
      </c>
      <c r="L72" s="127">
        <f t="shared" si="10"/>
        <v>0</v>
      </c>
    </row>
    <row r="73" spans="3:12" ht="15.6" hidden="1">
      <c r="C73" s="39" t="str">
        <f t="shared" si="1"/>
        <v>H</v>
      </c>
      <c r="D73" s="45" t="str">
        <f>Parameter!E$14</f>
        <v>Blade</v>
      </c>
      <c r="E73" s="125">
        <f t="shared" si="10"/>
        <v>0</v>
      </c>
      <c r="F73" s="126">
        <f t="shared" si="10"/>
        <v>0</v>
      </c>
      <c r="G73" s="126">
        <f t="shared" si="10"/>
        <v>0</v>
      </c>
      <c r="H73" s="126">
        <f t="shared" si="10"/>
        <v>0</v>
      </c>
      <c r="I73" s="126">
        <f t="shared" si="10"/>
        <v>0</v>
      </c>
      <c r="J73" s="126">
        <f t="shared" si="10"/>
        <v>0</v>
      </c>
      <c r="K73" s="126">
        <f t="shared" si="10"/>
        <v>0</v>
      </c>
      <c r="L73" s="127">
        <f t="shared" si="10"/>
        <v>0</v>
      </c>
    </row>
    <row r="74" spans="3:12" ht="15.6" hidden="1">
      <c r="C74" s="39" t="str">
        <f t="shared" si="1"/>
        <v>H</v>
      </c>
      <c r="D74" s="45" t="str">
        <f>Parameter!E$15</f>
        <v>DLP glasses</v>
      </c>
      <c r="E74" s="125">
        <f t="shared" si="10"/>
        <v>0</v>
      </c>
      <c r="F74" s="126">
        <f t="shared" si="10"/>
        <v>0</v>
      </c>
      <c r="G74" s="126">
        <f t="shared" si="10"/>
        <v>0</v>
      </c>
      <c r="H74" s="126">
        <f t="shared" si="10"/>
        <v>0</v>
      </c>
      <c r="I74" s="126">
        <f t="shared" si="10"/>
        <v>0</v>
      </c>
      <c r="J74" s="126">
        <f t="shared" si="10"/>
        <v>0</v>
      </c>
      <c r="K74" s="126">
        <f t="shared" si="10"/>
        <v>0</v>
      </c>
      <c r="L74" s="127">
        <f t="shared" si="10"/>
        <v>0</v>
      </c>
    </row>
    <row r="75" spans="3:12" ht="15.6" hidden="1">
      <c r="C75" s="39" t="str">
        <f t="shared" si="1"/>
        <v>H</v>
      </c>
      <c r="D75" s="45" t="str">
        <f>Parameter!E$16</f>
        <v>G1</v>
      </c>
      <c r="E75" s="125">
        <f t="shared" si="10"/>
        <v>0</v>
      </c>
      <c r="F75" s="126">
        <f t="shared" si="10"/>
        <v>0</v>
      </c>
      <c r="G75" s="126">
        <f t="shared" si="10"/>
        <v>0</v>
      </c>
      <c r="H75" s="126">
        <f t="shared" si="10"/>
        <v>0</v>
      </c>
      <c r="I75" s="126">
        <f t="shared" si="10"/>
        <v>0</v>
      </c>
      <c r="J75" s="126">
        <f t="shared" si="10"/>
        <v>0</v>
      </c>
      <c r="K75" s="126">
        <f t="shared" si="10"/>
        <v>0</v>
      </c>
      <c r="L75" s="127">
        <f t="shared" si="10"/>
        <v>0</v>
      </c>
    </row>
    <row r="76" spans="3:12" ht="15.6" hidden="1">
      <c r="C76" s="39" t="str">
        <f t="shared" si="1"/>
        <v>H</v>
      </c>
      <c r="D76" s="45" t="str">
        <f>Parameter!E$17</f>
        <v>Glass</v>
      </c>
      <c r="E76" s="125">
        <f t="shared" si="10"/>
        <v>0</v>
      </c>
      <c r="F76" s="126">
        <f t="shared" si="10"/>
        <v>0</v>
      </c>
      <c r="G76" s="126">
        <f t="shared" si="10"/>
        <v>0</v>
      </c>
      <c r="H76" s="126">
        <f t="shared" si="10"/>
        <v>0</v>
      </c>
      <c r="I76" s="126">
        <f t="shared" si="10"/>
        <v>0</v>
      </c>
      <c r="J76" s="126">
        <f t="shared" si="10"/>
        <v>0</v>
      </c>
      <c r="K76" s="126">
        <f t="shared" si="10"/>
        <v>0</v>
      </c>
      <c r="L76" s="127">
        <f t="shared" si="10"/>
        <v>0</v>
      </c>
    </row>
    <row r="77" spans="3:12" ht="15.6" hidden="1">
      <c r="C77" s="39" t="str">
        <f t="shared" si="1"/>
        <v>H</v>
      </c>
      <c r="D77" s="45" t="str">
        <f>Parameter!E$18</f>
        <v>Glasses</v>
      </c>
      <c r="E77" s="125">
        <f t="shared" ref="E77:L86" si="11">SUMIF(ARVR_Y_PC_PR, "AR_"&amp;E$66&amp;"_"&amp;$D$65&amp;"_"&amp;$D77, PanelQ)</f>
        <v>0</v>
      </c>
      <c r="F77" s="126">
        <f t="shared" si="11"/>
        <v>0</v>
      </c>
      <c r="G77" s="126">
        <f t="shared" si="11"/>
        <v>0</v>
      </c>
      <c r="H77" s="126">
        <f t="shared" si="11"/>
        <v>0</v>
      </c>
      <c r="I77" s="126">
        <f t="shared" si="11"/>
        <v>0</v>
      </c>
      <c r="J77" s="126">
        <f t="shared" si="11"/>
        <v>0</v>
      </c>
      <c r="K77" s="126">
        <f t="shared" si="11"/>
        <v>0</v>
      </c>
      <c r="L77" s="127">
        <f t="shared" si="11"/>
        <v>0</v>
      </c>
    </row>
    <row r="78" spans="3:12" ht="15.6" hidden="1">
      <c r="C78" s="39" t="str">
        <f t="shared" si="1"/>
        <v>H</v>
      </c>
      <c r="D78" s="45" t="str">
        <f>Parameter!E$19</f>
        <v>Go</v>
      </c>
      <c r="E78" s="125">
        <f t="shared" si="11"/>
        <v>0</v>
      </c>
      <c r="F78" s="126">
        <f t="shared" si="11"/>
        <v>0</v>
      </c>
      <c r="G78" s="126">
        <f t="shared" si="11"/>
        <v>0</v>
      </c>
      <c r="H78" s="126">
        <f t="shared" si="11"/>
        <v>0</v>
      </c>
      <c r="I78" s="126">
        <f t="shared" si="11"/>
        <v>0</v>
      </c>
      <c r="J78" s="126">
        <f t="shared" si="11"/>
        <v>0</v>
      </c>
      <c r="K78" s="126">
        <f t="shared" si="11"/>
        <v>0</v>
      </c>
      <c r="L78" s="127">
        <f t="shared" si="11"/>
        <v>0</v>
      </c>
    </row>
    <row r="79" spans="3:12" ht="15.6" hidden="1">
      <c r="C79" s="39" t="str">
        <f t="shared" si="1"/>
        <v>H</v>
      </c>
      <c r="D79" s="45" t="str">
        <f>Parameter!E$20</f>
        <v>Go 2</v>
      </c>
      <c r="E79" s="125">
        <f t="shared" si="11"/>
        <v>0</v>
      </c>
      <c r="F79" s="126">
        <f t="shared" si="11"/>
        <v>0</v>
      </c>
      <c r="G79" s="126">
        <f t="shared" si="11"/>
        <v>0</v>
      </c>
      <c r="H79" s="126">
        <f t="shared" si="11"/>
        <v>0</v>
      </c>
      <c r="I79" s="126">
        <f t="shared" si="11"/>
        <v>0</v>
      </c>
      <c r="J79" s="126">
        <f t="shared" si="11"/>
        <v>0</v>
      </c>
      <c r="K79" s="126">
        <f t="shared" si="11"/>
        <v>0</v>
      </c>
      <c r="L79" s="127">
        <f t="shared" si="11"/>
        <v>0</v>
      </c>
    </row>
    <row r="80" spans="3:12" ht="15.6" hidden="1">
      <c r="C80" s="39" t="str">
        <f t="shared" si="1"/>
        <v>H</v>
      </c>
      <c r="D80" s="45" t="str">
        <f>Parameter!E$21</f>
        <v>HoloLens 2</v>
      </c>
      <c r="E80" s="125">
        <f t="shared" si="11"/>
        <v>0</v>
      </c>
      <c r="F80" s="126">
        <f t="shared" si="11"/>
        <v>0</v>
      </c>
      <c r="G80" s="126">
        <f t="shared" si="11"/>
        <v>0</v>
      </c>
      <c r="H80" s="126">
        <f t="shared" si="11"/>
        <v>0</v>
      </c>
      <c r="I80" s="126">
        <f t="shared" si="11"/>
        <v>0</v>
      </c>
      <c r="J80" s="126">
        <f t="shared" si="11"/>
        <v>0</v>
      </c>
      <c r="K80" s="126">
        <f t="shared" si="11"/>
        <v>0</v>
      </c>
      <c r="L80" s="127">
        <f t="shared" si="11"/>
        <v>0</v>
      </c>
    </row>
    <row r="81" spans="3:12" ht="15.6" hidden="1">
      <c r="C81" s="39" t="str">
        <f t="shared" si="1"/>
        <v>H</v>
      </c>
      <c r="D81" s="45" t="str">
        <f>Parameter!E$22</f>
        <v>INAIR 2</v>
      </c>
      <c r="E81" s="125">
        <f t="shared" si="11"/>
        <v>0</v>
      </c>
      <c r="F81" s="126">
        <f t="shared" si="11"/>
        <v>0</v>
      </c>
      <c r="G81" s="126">
        <f t="shared" si="11"/>
        <v>0</v>
      </c>
      <c r="H81" s="126">
        <f t="shared" si="11"/>
        <v>0</v>
      </c>
      <c r="I81" s="126">
        <f t="shared" si="11"/>
        <v>0</v>
      </c>
      <c r="J81" s="126">
        <f t="shared" si="11"/>
        <v>0</v>
      </c>
      <c r="K81" s="126">
        <f t="shared" si="11"/>
        <v>0</v>
      </c>
      <c r="L81" s="127">
        <f t="shared" si="11"/>
        <v>0</v>
      </c>
    </row>
    <row r="82" spans="3:12" ht="15.6" hidden="1">
      <c r="C82" s="39" t="str">
        <f t="shared" ref="C82:C118" si="12">IF(SUM(E82:L82)=0, "H", "")</f>
        <v>H</v>
      </c>
      <c r="D82" s="45" t="str">
        <f>Parameter!E$23</f>
        <v>INAIR 2 Pro</v>
      </c>
      <c r="E82" s="125">
        <f t="shared" si="11"/>
        <v>0</v>
      </c>
      <c r="F82" s="126">
        <f t="shared" si="11"/>
        <v>0</v>
      </c>
      <c r="G82" s="126">
        <f t="shared" si="11"/>
        <v>0</v>
      </c>
      <c r="H82" s="126">
        <f t="shared" si="11"/>
        <v>0</v>
      </c>
      <c r="I82" s="126">
        <f t="shared" si="11"/>
        <v>0</v>
      </c>
      <c r="J82" s="126">
        <f t="shared" si="11"/>
        <v>0</v>
      </c>
      <c r="K82" s="126">
        <f t="shared" si="11"/>
        <v>0</v>
      </c>
      <c r="L82" s="127">
        <f t="shared" si="11"/>
        <v>0</v>
      </c>
    </row>
    <row r="83" spans="3:12" ht="15.6" hidden="1">
      <c r="C83" s="39" t="str">
        <f t="shared" si="12"/>
        <v>H</v>
      </c>
      <c r="D83" s="45" t="str">
        <f>Parameter!E$24</f>
        <v>LBS glasses</v>
      </c>
      <c r="E83" s="125">
        <f t="shared" si="11"/>
        <v>0</v>
      </c>
      <c r="F83" s="126">
        <f t="shared" si="11"/>
        <v>0</v>
      </c>
      <c r="G83" s="126">
        <f t="shared" si="11"/>
        <v>0</v>
      </c>
      <c r="H83" s="126">
        <f t="shared" si="11"/>
        <v>0</v>
      </c>
      <c r="I83" s="126">
        <f t="shared" si="11"/>
        <v>0</v>
      </c>
      <c r="J83" s="126">
        <f t="shared" si="11"/>
        <v>0</v>
      </c>
      <c r="K83" s="126">
        <f t="shared" si="11"/>
        <v>0</v>
      </c>
      <c r="L83" s="127">
        <f t="shared" si="11"/>
        <v>0</v>
      </c>
    </row>
    <row r="84" spans="3:12" ht="15.6" hidden="1">
      <c r="C84" s="39" t="str">
        <f t="shared" si="12"/>
        <v>H</v>
      </c>
      <c r="D84" s="45" t="str">
        <f>Parameter!E$25</f>
        <v>LCoS glasses</v>
      </c>
      <c r="E84" s="125">
        <f t="shared" si="11"/>
        <v>0</v>
      </c>
      <c r="F84" s="126">
        <f t="shared" si="11"/>
        <v>0</v>
      </c>
      <c r="G84" s="126">
        <f t="shared" si="11"/>
        <v>0</v>
      </c>
      <c r="H84" s="126">
        <f t="shared" si="11"/>
        <v>0</v>
      </c>
      <c r="I84" s="126">
        <f t="shared" si="11"/>
        <v>0</v>
      </c>
      <c r="J84" s="126">
        <f t="shared" si="11"/>
        <v>0</v>
      </c>
      <c r="K84" s="126">
        <f t="shared" si="11"/>
        <v>0</v>
      </c>
      <c r="L84" s="127">
        <f t="shared" si="11"/>
        <v>0</v>
      </c>
    </row>
    <row r="85" spans="3:12" ht="15.6" hidden="1">
      <c r="C85" s="39" t="str">
        <f t="shared" si="12"/>
        <v>H</v>
      </c>
      <c r="D85" s="45" t="str">
        <f>Parameter!E$26</f>
        <v>Lenovo Legion Glasses 2</v>
      </c>
      <c r="E85" s="125">
        <f t="shared" si="11"/>
        <v>0</v>
      </c>
      <c r="F85" s="126">
        <f t="shared" si="11"/>
        <v>0</v>
      </c>
      <c r="G85" s="126">
        <f t="shared" si="11"/>
        <v>0</v>
      </c>
      <c r="H85" s="126">
        <f t="shared" si="11"/>
        <v>0</v>
      </c>
      <c r="I85" s="126">
        <f t="shared" si="11"/>
        <v>0</v>
      </c>
      <c r="J85" s="126">
        <f t="shared" si="11"/>
        <v>0</v>
      </c>
      <c r="K85" s="126">
        <f t="shared" si="11"/>
        <v>0</v>
      </c>
      <c r="L85" s="127">
        <f t="shared" si="11"/>
        <v>0</v>
      </c>
    </row>
    <row r="86" spans="3:12" ht="15.6" hidden="1">
      <c r="C86" s="39" t="str">
        <f t="shared" si="12"/>
        <v>H</v>
      </c>
      <c r="D86" s="45" t="str">
        <f>Parameter!E$27</f>
        <v>Light</v>
      </c>
      <c r="E86" s="125">
        <f t="shared" si="11"/>
        <v>0</v>
      </c>
      <c r="F86" s="126">
        <f t="shared" si="11"/>
        <v>0</v>
      </c>
      <c r="G86" s="126">
        <f t="shared" si="11"/>
        <v>0</v>
      </c>
      <c r="H86" s="126">
        <f t="shared" si="11"/>
        <v>0</v>
      </c>
      <c r="I86" s="126">
        <f t="shared" si="11"/>
        <v>0</v>
      </c>
      <c r="J86" s="126">
        <f t="shared" si="11"/>
        <v>0</v>
      </c>
      <c r="K86" s="126">
        <f t="shared" si="11"/>
        <v>0</v>
      </c>
      <c r="L86" s="127">
        <f t="shared" si="11"/>
        <v>0</v>
      </c>
    </row>
    <row r="87" spans="3:12" ht="15.6" hidden="1">
      <c r="C87" s="39" t="str">
        <f t="shared" si="12"/>
        <v>H</v>
      </c>
      <c r="D87" s="45" t="str">
        <f>Parameter!E$28</f>
        <v>Max</v>
      </c>
      <c r="E87" s="125">
        <f t="shared" ref="E87:L96" si="13">SUMIF(ARVR_Y_PC_PR, "AR_"&amp;E$66&amp;"_"&amp;$D$65&amp;"_"&amp;$D87, PanelQ)</f>
        <v>0</v>
      </c>
      <c r="F87" s="126">
        <f t="shared" si="13"/>
        <v>0</v>
      </c>
      <c r="G87" s="126">
        <f t="shared" si="13"/>
        <v>0</v>
      </c>
      <c r="H87" s="126">
        <f t="shared" si="13"/>
        <v>0</v>
      </c>
      <c r="I87" s="126">
        <f t="shared" si="13"/>
        <v>0</v>
      </c>
      <c r="J87" s="126">
        <f t="shared" si="13"/>
        <v>0</v>
      </c>
      <c r="K87" s="126">
        <f t="shared" si="13"/>
        <v>0</v>
      </c>
      <c r="L87" s="127">
        <f t="shared" si="13"/>
        <v>0</v>
      </c>
    </row>
    <row r="88" spans="3:12" ht="15.6" hidden="1">
      <c r="C88" s="39" t="str">
        <f t="shared" si="12"/>
        <v>H</v>
      </c>
      <c r="D88" s="45" t="str">
        <f>Parameter!E$29</f>
        <v>Max 2</v>
      </c>
      <c r="E88" s="125">
        <f t="shared" si="13"/>
        <v>0</v>
      </c>
      <c r="F88" s="126">
        <f t="shared" si="13"/>
        <v>0</v>
      </c>
      <c r="G88" s="126">
        <f t="shared" si="13"/>
        <v>0</v>
      </c>
      <c r="H88" s="126">
        <f t="shared" si="13"/>
        <v>0</v>
      </c>
      <c r="I88" s="126">
        <f t="shared" si="13"/>
        <v>0</v>
      </c>
      <c r="J88" s="126">
        <f t="shared" si="13"/>
        <v>0</v>
      </c>
      <c r="K88" s="126">
        <f t="shared" si="13"/>
        <v>0</v>
      </c>
      <c r="L88" s="127">
        <f t="shared" si="13"/>
        <v>0</v>
      </c>
    </row>
    <row r="89" spans="3:12" ht="15.6" hidden="1">
      <c r="C89" s="39" t="str">
        <f t="shared" si="12"/>
        <v>H</v>
      </c>
      <c r="D89" s="45" t="str">
        <f>Parameter!E$30</f>
        <v>Meizu StarV Air 2</v>
      </c>
      <c r="E89" s="125">
        <f t="shared" si="13"/>
        <v>0</v>
      </c>
      <c r="F89" s="126">
        <f t="shared" si="13"/>
        <v>0</v>
      </c>
      <c r="G89" s="126">
        <f t="shared" si="13"/>
        <v>0</v>
      </c>
      <c r="H89" s="126">
        <f t="shared" si="13"/>
        <v>0</v>
      </c>
      <c r="I89" s="126">
        <f t="shared" si="13"/>
        <v>0</v>
      </c>
      <c r="J89" s="126">
        <f t="shared" si="13"/>
        <v>0</v>
      </c>
      <c r="K89" s="126">
        <f t="shared" si="13"/>
        <v>0</v>
      </c>
      <c r="L89" s="127">
        <f t="shared" si="13"/>
        <v>0</v>
      </c>
    </row>
    <row r="90" spans="3:12" ht="15.6" hidden="1">
      <c r="C90" s="39" t="str">
        <f t="shared" si="12"/>
        <v>H</v>
      </c>
      <c r="D90" s="45" t="str">
        <f>Parameter!E$31</f>
        <v>Meizu StarV View</v>
      </c>
      <c r="E90" s="125">
        <f t="shared" si="13"/>
        <v>0</v>
      </c>
      <c r="F90" s="126">
        <f t="shared" si="13"/>
        <v>0</v>
      </c>
      <c r="G90" s="126">
        <f t="shared" si="13"/>
        <v>0</v>
      </c>
      <c r="H90" s="126">
        <f t="shared" si="13"/>
        <v>0</v>
      </c>
      <c r="I90" s="126">
        <f t="shared" si="13"/>
        <v>0</v>
      </c>
      <c r="J90" s="126">
        <f t="shared" si="13"/>
        <v>0</v>
      </c>
      <c r="K90" s="126">
        <f t="shared" si="13"/>
        <v>0</v>
      </c>
      <c r="L90" s="127">
        <f t="shared" si="13"/>
        <v>0</v>
      </c>
    </row>
    <row r="91" spans="3:12" ht="15.6" hidden="1">
      <c r="C91" s="39" t="str">
        <f t="shared" si="12"/>
        <v>H</v>
      </c>
      <c r="D91" s="45" t="str">
        <f>Parameter!E$32</f>
        <v>MiRZA</v>
      </c>
      <c r="E91" s="125">
        <f t="shared" si="13"/>
        <v>0</v>
      </c>
      <c r="F91" s="126">
        <f t="shared" si="13"/>
        <v>0</v>
      </c>
      <c r="G91" s="126">
        <f t="shared" si="13"/>
        <v>0</v>
      </c>
      <c r="H91" s="126">
        <f t="shared" si="13"/>
        <v>0</v>
      </c>
      <c r="I91" s="126">
        <f t="shared" si="13"/>
        <v>0</v>
      </c>
      <c r="J91" s="126">
        <f t="shared" si="13"/>
        <v>0</v>
      </c>
      <c r="K91" s="126">
        <f t="shared" si="13"/>
        <v>0</v>
      </c>
      <c r="L91" s="127">
        <f t="shared" si="13"/>
        <v>0</v>
      </c>
    </row>
    <row r="92" spans="3:12" ht="15.6" hidden="1">
      <c r="C92" s="39" t="str">
        <f t="shared" si="12"/>
        <v>H</v>
      </c>
      <c r="D92" s="45" t="str">
        <f>Parameter!E$33</f>
        <v>ML 2</v>
      </c>
      <c r="E92" s="125">
        <f t="shared" si="13"/>
        <v>0</v>
      </c>
      <c r="F92" s="126">
        <f t="shared" si="13"/>
        <v>0</v>
      </c>
      <c r="G92" s="126">
        <f t="shared" si="13"/>
        <v>0</v>
      </c>
      <c r="H92" s="126">
        <f t="shared" si="13"/>
        <v>0</v>
      </c>
      <c r="I92" s="126">
        <f t="shared" si="13"/>
        <v>0</v>
      </c>
      <c r="J92" s="126">
        <f t="shared" si="13"/>
        <v>0</v>
      </c>
      <c r="K92" s="126">
        <f t="shared" si="13"/>
        <v>0</v>
      </c>
      <c r="L92" s="127">
        <f t="shared" si="13"/>
        <v>0</v>
      </c>
    </row>
    <row r="93" spans="3:12" ht="15.6" hidden="1">
      <c r="C93" s="39" t="str">
        <f t="shared" si="12"/>
        <v>H</v>
      </c>
      <c r="D93" s="45" t="str">
        <f>Parameter!E$34</f>
        <v>ML One</v>
      </c>
      <c r="E93" s="125">
        <f t="shared" si="13"/>
        <v>0</v>
      </c>
      <c r="F93" s="126">
        <f t="shared" si="13"/>
        <v>0</v>
      </c>
      <c r="G93" s="126">
        <f t="shared" si="13"/>
        <v>0</v>
      </c>
      <c r="H93" s="126">
        <f t="shared" si="13"/>
        <v>0</v>
      </c>
      <c r="I93" s="126">
        <f t="shared" si="13"/>
        <v>0</v>
      </c>
      <c r="J93" s="126">
        <f t="shared" si="13"/>
        <v>0</v>
      </c>
      <c r="K93" s="126">
        <f t="shared" si="13"/>
        <v>0</v>
      </c>
      <c r="L93" s="127">
        <f t="shared" si="13"/>
        <v>0</v>
      </c>
    </row>
    <row r="94" spans="3:12" ht="15.6">
      <c r="C94" s="39" t="str">
        <f t="shared" si="12"/>
        <v/>
      </c>
      <c r="D94" s="45" t="str">
        <f>Parameter!E$35</f>
        <v>Monocular LCoS glasses</v>
      </c>
      <c r="E94" s="125">
        <f t="shared" si="13"/>
        <v>0</v>
      </c>
      <c r="F94" s="126">
        <f t="shared" si="13"/>
        <v>0</v>
      </c>
      <c r="G94" s="126">
        <f t="shared" si="13"/>
        <v>0</v>
      </c>
      <c r="H94" s="126">
        <f t="shared" si="13"/>
        <v>5.4999999999999993E-2</v>
      </c>
      <c r="I94" s="126">
        <f t="shared" si="13"/>
        <v>0.24199999999999999</v>
      </c>
      <c r="J94" s="126">
        <f t="shared" si="13"/>
        <v>0.36849999999999994</v>
      </c>
      <c r="K94" s="126">
        <f t="shared" si="13"/>
        <v>0.495</v>
      </c>
      <c r="L94" s="127">
        <f t="shared" si="13"/>
        <v>0.88</v>
      </c>
    </row>
    <row r="95" spans="3:12" ht="15.6" hidden="1">
      <c r="C95" s="39" t="str">
        <f t="shared" si="12"/>
        <v>H</v>
      </c>
      <c r="D95" s="45" t="str">
        <f>Parameter!E$36</f>
        <v>Monocular MicroLED</v>
      </c>
      <c r="E95" s="125">
        <f t="shared" si="13"/>
        <v>0</v>
      </c>
      <c r="F95" s="126">
        <f t="shared" si="13"/>
        <v>0</v>
      </c>
      <c r="G95" s="126">
        <f t="shared" si="13"/>
        <v>0</v>
      </c>
      <c r="H95" s="126">
        <f t="shared" si="13"/>
        <v>0</v>
      </c>
      <c r="I95" s="126">
        <f t="shared" si="13"/>
        <v>0</v>
      </c>
      <c r="J95" s="126">
        <f t="shared" si="13"/>
        <v>0</v>
      </c>
      <c r="K95" s="126">
        <f t="shared" si="13"/>
        <v>0</v>
      </c>
      <c r="L95" s="127">
        <f t="shared" si="13"/>
        <v>0</v>
      </c>
    </row>
    <row r="96" spans="3:12" ht="15.6" hidden="1">
      <c r="C96" s="39" t="str">
        <f t="shared" si="12"/>
        <v>H</v>
      </c>
      <c r="D96" s="45" t="str">
        <f>Parameter!E$37</f>
        <v>Moverio</v>
      </c>
      <c r="E96" s="125">
        <f t="shared" si="13"/>
        <v>0</v>
      </c>
      <c r="F96" s="126">
        <f t="shared" si="13"/>
        <v>0</v>
      </c>
      <c r="G96" s="126">
        <f t="shared" si="13"/>
        <v>0</v>
      </c>
      <c r="H96" s="126">
        <f t="shared" si="13"/>
        <v>0</v>
      </c>
      <c r="I96" s="126">
        <f t="shared" si="13"/>
        <v>0</v>
      </c>
      <c r="J96" s="126">
        <f t="shared" si="13"/>
        <v>0</v>
      </c>
      <c r="K96" s="126">
        <f t="shared" si="13"/>
        <v>0</v>
      </c>
      <c r="L96" s="127">
        <f t="shared" si="13"/>
        <v>0</v>
      </c>
    </row>
    <row r="97" spans="3:12" ht="15.6" hidden="1">
      <c r="C97" s="39" t="str">
        <f t="shared" si="12"/>
        <v>H</v>
      </c>
      <c r="D97" s="45" t="str">
        <f>Parameter!E$38</f>
        <v>MYVU</v>
      </c>
      <c r="E97" s="125">
        <f t="shared" ref="E97:L106" si="14">SUMIF(ARVR_Y_PC_PR, "AR_"&amp;E$66&amp;"_"&amp;$D$65&amp;"_"&amp;$D97, PanelQ)</f>
        <v>0</v>
      </c>
      <c r="F97" s="126">
        <f t="shared" si="14"/>
        <v>0</v>
      </c>
      <c r="G97" s="126">
        <f t="shared" si="14"/>
        <v>0</v>
      </c>
      <c r="H97" s="126">
        <f t="shared" si="14"/>
        <v>0</v>
      </c>
      <c r="I97" s="126">
        <f t="shared" si="14"/>
        <v>0</v>
      </c>
      <c r="J97" s="126">
        <f t="shared" si="14"/>
        <v>0</v>
      </c>
      <c r="K97" s="126">
        <f t="shared" si="14"/>
        <v>0</v>
      </c>
      <c r="L97" s="127">
        <f t="shared" si="14"/>
        <v>0</v>
      </c>
    </row>
    <row r="98" spans="3:12" ht="15.6" hidden="1">
      <c r="C98" s="39" t="str">
        <f t="shared" si="12"/>
        <v>H</v>
      </c>
      <c r="D98" s="45" t="str">
        <f>Parameter!E$39</f>
        <v>NXTWear</v>
      </c>
      <c r="E98" s="125">
        <f t="shared" si="14"/>
        <v>0</v>
      </c>
      <c r="F98" s="126">
        <f t="shared" si="14"/>
        <v>0</v>
      </c>
      <c r="G98" s="126">
        <f t="shared" si="14"/>
        <v>0</v>
      </c>
      <c r="H98" s="126">
        <f t="shared" si="14"/>
        <v>0</v>
      </c>
      <c r="I98" s="126">
        <f t="shared" si="14"/>
        <v>0</v>
      </c>
      <c r="J98" s="126">
        <f t="shared" si="14"/>
        <v>0</v>
      </c>
      <c r="K98" s="126">
        <f t="shared" si="14"/>
        <v>0</v>
      </c>
      <c r="L98" s="127">
        <f t="shared" si="14"/>
        <v>0</v>
      </c>
    </row>
    <row r="99" spans="3:12" ht="15.6" hidden="1">
      <c r="C99" s="39" t="str">
        <f t="shared" si="12"/>
        <v>H</v>
      </c>
      <c r="D99" s="45" t="str">
        <f>Parameter!E$40</f>
        <v>One</v>
      </c>
      <c r="E99" s="125">
        <f t="shared" si="14"/>
        <v>0</v>
      </c>
      <c r="F99" s="126">
        <f t="shared" si="14"/>
        <v>0</v>
      </c>
      <c r="G99" s="126">
        <f t="shared" si="14"/>
        <v>0</v>
      </c>
      <c r="H99" s="126">
        <f t="shared" si="14"/>
        <v>0</v>
      </c>
      <c r="I99" s="126">
        <f t="shared" si="14"/>
        <v>0</v>
      </c>
      <c r="J99" s="126">
        <f t="shared" si="14"/>
        <v>0</v>
      </c>
      <c r="K99" s="126">
        <f t="shared" si="14"/>
        <v>0</v>
      </c>
      <c r="L99" s="127">
        <f t="shared" si="14"/>
        <v>0</v>
      </c>
    </row>
    <row r="100" spans="3:12" ht="15.6" hidden="1">
      <c r="C100" s="39" t="str">
        <f t="shared" si="12"/>
        <v>H</v>
      </c>
      <c r="D100" s="45" t="str">
        <f>Parameter!E$41</f>
        <v>One Pro</v>
      </c>
      <c r="E100" s="125">
        <f t="shared" si="14"/>
        <v>0</v>
      </c>
      <c r="F100" s="126">
        <f t="shared" si="14"/>
        <v>0</v>
      </c>
      <c r="G100" s="126">
        <f t="shared" si="14"/>
        <v>0</v>
      </c>
      <c r="H100" s="126">
        <f t="shared" si="14"/>
        <v>0</v>
      </c>
      <c r="I100" s="126">
        <f t="shared" si="14"/>
        <v>0</v>
      </c>
      <c r="J100" s="126">
        <f t="shared" si="14"/>
        <v>0</v>
      </c>
      <c r="K100" s="126">
        <f t="shared" si="14"/>
        <v>0</v>
      </c>
      <c r="L100" s="127">
        <f t="shared" si="14"/>
        <v>0</v>
      </c>
    </row>
    <row r="101" spans="3:12" ht="15.6" hidden="1">
      <c r="C101" s="39" t="str">
        <f t="shared" si="12"/>
        <v>H</v>
      </c>
      <c r="D101" s="45" t="str">
        <f>Parameter!E$42</f>
        <v>Quark AI</v>
      </c>
      <c r="E101" s="125">
        <f t="shared" si="14"/>
        <v>0</v>
      </c>
      <c r="F101" s="126">
        <f t="shared" si="14"/>
        <v>0</v>
      </c>
      <c r="G101" s="126">
        <f t="shared" si="14"/>
        <v>0</v>
      </c>
      <c r="H101" s="126">
        <f t="shared" si="14"/>
        <v>0</v>
      </c>
      <c r="I101" s="126">
        <f t="shared" si="14"/>
        <v>0</v>
      </c>
      <c r="J101" s="126">
        <f t="shared" si="14"/>
        <v>0</v>
      </c>
      <c r="K101" s="126">
        <f t="shared" si="14"/>
        <v>0</v>
      </c>
      <c r="L101" s="127">
        <f t="shared" si="14"/>
        <v>0</v>
      </c>
    </row>
    <row r="102" spans="3:12" ht="16.2" thickBot="1">
      <c r="C102" s="39" t="str">
        <f t="shared" si="12"/>
        <v/>
      </c>
      <c r="D102" s="45" t="str">
        <f>Parameter!E$43</f>
        <v>Ray-Ban Meta Display</v>
      </c>
      <c r="E102" s="125">
        <f t="shared" si="14"/>
        <v>0</v>
      </c>
      <c r="F102" s="126">
        <f t="shared" si="14"/>
        <v>0</v>
      </c>
      <c r="G102" s="126">
        <f t="shared" si="14"/>
        <v>0</v>
      </c>
      <c r="H102" s="126">
        <f t="shared" si="14"/>
        <v>0.1</v>
      </c>
      <c r="I102" s="126">
        <f t="shared" si="14"/>
        <v>0</v>
      </c>
      <c r="J102" s="126">
        <f t="shared" si="14"/>
        <v>0</v>
      </c>
      <c r="K102" s="126">
        <f t="shared" si="14"/>
        <v>0</v>
      </c>
      <c r="L102" s="127">
        <f t="shared" si="14"/>
        <v>0</v>
      </c>
    </row>
    <row r="103" spans="3:12" ht="15.6" hidden="1">
      <c r="C103" s="39" t="str">
        <f t="shared" si="12"/>
        <v>H</v>
      </c>
      <c r="D103" s="45" t="str">
        <f>Parameter!E$44</f>
        <v>Shield</v>
      </c>
      <c r="E103" s="125">
        <f t="shared" si="14"/>
        <v>0</v>
      </c>
      <c r="F103" s="126">
        <f t="shared" si="14"/>
        <v>0</v>
      </c>
      <c r="G103" s="126">
        <f t="shared" si="14"/>
        <v>0</v>
      </c>
      <c r="H103" s="126">
        <f t="shared" si="14"/>
        <v>0</v>
      </c>
      <c r="I103" s="126">
        <f t="shared" si="14"/>
        <v>0</v>
      </c>
      <c r="J103" s="126">
        <f t="shared" si="14"/>
        <v>0</v>
      </c>
      <c r="K103" s="126">
        <f t="shared" si="14"/>
        <v>0</v>
      </c>
      <c r="L103" s="127">
        <f t="shared" si="14"/>
        <v>0</v>
      </c>
    </row>
    <row r="104" spans="3:12" ht="15.6" hidden="1">
      <c r="C104" s="39" t="str">
        <f t="shared" si="12"/>
        <v>H</v>
      </c>
      <c r="D104" s="45" t="str">
        <f>Parameter!E$45</f>
        <v>SiOLED glasses</v>
      </c>
      <c r="E104" s="125">
        <f t="shared" si="14"/>
        <v>0</v>
      </c>
      <c r="F104" s="126">
        <f t="shared" si="14"/>
        <v>0</v>
      </c>
      <c r="G104" s="126">
        <f t="shared" si="14"/>
        <v>0</v>
      </c>
      <c r="H104" s="126">
        <f t="shared" si="14"/>
        <v>0</v>
      </c>
      <c r="I104" s="126">
        <f t="shared" si="14"/>
        <v>0</v>
      </c>
      <c r="J104" s="126">
        <f t="shared" si="14"/>
        <v>0</v>
      </c>
      <c r="K104" s="126">
        <f t="shared" si="14"/>
        <v>0</v>
      </c>
      <c r="L104" s="127">
        <f t="shared" si="14"/>
        <v>0</v>
      </c>
    </row>
    <row r="105" spans="3:12" ht="15.6" hidden="1">
      <c r="C105" s="39" t="str">
        <f t="shared" si="12"/>
        <v>H</v>
      </c>
      <c r="D105" s="45" t="str">
        <f>Parameter!E$46</f>
        <v>T1</v>
      </c>
      <c r="E105" s="125">
        <f t="shared" si="14"/>
        <v>0</v>
      </c>
      <c r="F105" s="126">
        <f t="shared" si="14"/>
        <v>0</v>
      </c>
      <c r="G105" s="126">
        <f t="shared" si="14"/>
        <v>0</v>
      </c>
      <c r="H105" s="126">
        <f t="shared" si="14"/>
        <v>0</v>
      </c>
      <c r="I105" s="126">
        <f t="shared" si="14"/>
        <v>0</v>
      </c>
      <c r="J105" s="126">
        <f t="shared" si="14"/>
        <v>0</v>
      </c>
      <c r="K105" s="126">
        <f t="shared" si="14"/>
        <v>0</v>
      </c>
      <c r="L105" s="127">
        <f t="shared" si="14"/>
        <v>0</v>
      </c>
    </row>
    <row r="106" spans="3:12" ht="15.6" hidden="1">
      <c r="C106" s="39" t="str">
        <f t="shared" si="12"/>
        <v>H</v>
      </c>
      <c r="D106" s="45" t="str">
        <f>Parameter!E$47</f>
        <v>ThinkReality A3</v>
      </c>
      <c r="E106" s="125">
        <f t="shared" si="14"/>
        <v>0</v>
      </c>
      <c r="F106" s="126">
        <f t="shared" si="14"/>
        <v>0</v>
      </c>
      <c r="G106" s="126">
        <f t="shared" si="14"/>
        <v>0</v>
      </c>
      <c r="H106" s="126">
        <f t="shared" si="14"/>
        <v>0</v>
      </c>
      <c r="I106" s="126">
        <f t="shared" si="14"/>
        <v>0</v>
      </c>
      <c r="J106" s="126">
        <f t="shared" si="14"/>
        <v>0</v>
      </c>
      <c r="K106" s="126">
        <f t="shared" si="14"/>
        <v>0</v>
      </c>
      <c r="L106" s="127">
        <f t="shared" si="14"/>
        <v>0</v>
      </c>
    </row>
    <row r="107" spans="3:12" ht="15.6" hidden="1">
      <c r="C107" s="39" t="str">
        <f t="shared" si="12"/>
        <v>H</v>
      </c>
      <c r="D107" s="45" t="str">
        <f>Parameter!E$48</f>
        <v>Viture Pro</v>
      </c>
      <c r="E107" s="125">
        <f t="shared" ref="E107:L116" si="15">SUMIF(ARVR_Y_PC_PR, "AR_"&amp;E$66&amp;"_"&amp;$D$65&amp;"_"&amp;$D107, PanelQ)</f>
        <v>0</v>
      </c>
      <c r="F107" s="126">
        <f t="shared" si="15"/>
        <v>0</v>
      </c>
      <c r="G107" s="126">
        <f t="shared" si="15"/>
        <v>0</v>
      </c>
      <c r="H107" s="126">
        <f t="shared" si="15"/>
        <v>0</v>
      </c>
      <c r="I107" s="126">
        <f t="shared" si="15"/>
        <v>0</v>
      </c>
      <c r="J107" s="126">
        <f t="shared" si="15"/>
        <v>0</v>
      </c>
      <c r="K107" s="126">
        <f t="shared" si="15"/>
        <v>0</v>
      </c>
      <c r="L107" s="127">
        <f t="shared" si="15"/>
        <v>0</v>
      </c>
    </row>
    <row r="108" spans="3:12" ht="15.6" hidden="1">
      <c r="C108" s="39" t="str">
        <f t="shared" si="12"/>
        <v>H</v>
      </c>
      <c r="D108" s="45" t="str">
        <f>Parameter!E$49</f>
        <v>X3 Pro</v>
      </c>
      <c r="E108" s="125">
        <f t="shared" si="15"/>
        <v>0</v>
      </c>
      <c r="F108" s="126">
        <f t="shared" si="15"/>
        <v>0</v>
      </c>
      <c r="G108" s="126">
        <f t="shared" si="15"/>
        <v>0</v>
      </c>
      <c r="H108" s="126">
        <f t="shared" si="15"/>
        <v>0</v>
      </c>
      <c r="I108" s="126">
        <f t="shared" si="15"/>
        <v>0</v>
      </c>
      <c r="J108" s="126">
        <f t="shared" si="15"/>
        <v>0</v>
      </c>
      <c r="K108" s="126">
        <f t="shared" si="15"/>
        <v>0</v>
      </c>
      <c r="L108" s="127">
        <f t="shared" si="15"/>
        <v>0</v>
      </c>
    </row>
    <row r="109" spans="3:12" ht="15.6" hidden="1">
      <c r="C109" s="39" t="str">
        <f t="shared" si="12"/>
        <v>H</v>
      </c>
      <c r="D109" s="45" t="str">
        <f>Parameter!E$50</f>
        <v>Z100</v>
      </c>
      <c r="E109" s="125">
        <f t="shared" si="15"/>
        <v>0</v>
      </c>
      <c r="F109" s="126">
        <f t="shared" si="15"/>
        <v>0</v>
      </c>
      <c r="G109" s="126">
        <f t="shared" si="15"/>
        <v>0</v>
      </c>
      <c r="H109" s="126">
        <f t="shared" si="15"/>
        <v>0</v>
      </c>
      <c r="I109" s="126">
        <f t="shared" si="15"/>
        <v>0</v>
      </c>
      <c r="J109" s="126">
        <f t="shared" si="15"/>
        <v>0</v>
      </c>
      <c r="K109" s="126">
        <f t="shared" si="15"/>
        <v>0</v>
      </c>
      <c r="L109" s="127">
        <f t="shared" si="15"/>
        <v>0</v>
      </c>
    </row>
    <row r="110" spans="3:12" ht="15.6" hidden="1">
      <c r="C110" s="39" t="str">
        <f t="shared" si="12"/>
        <v>H</v>
      </c>
      <c r="D110" s="45">
        <f>Parameter!E$51</f>
        <v>0</v>
      </c>
      <c r="E110" s="125">
        <f t="shared" si="15"/>
        <v>0</v>
      </c>
      <c r="F110" s="126">
        <f t="shared" si="15"/>
        <v>0</v>
      </c>
      <c r="G110" s="126">
        <f t="shared" si="15"/>
        <v>0</v>
      </c>
      <c r="H110" s="126">
        <f t="shared" si="15"/>
        <v>0</v>
      </c>
      <c r="I110" s="126">
        <f t="shared" si="15"/>
        <v>0</v>
      </c>
      <c r="J110" s="126">
        <f t="shared" si="15"/>
        <v>0</v>
      </c>
      <c r="K110" s="126">
        <f t="shared" si="15"/>
        <v>0</v>
      </c>
      <c r="L110" s="127">
        <f t="shared" si="15"/>
        <v>0</v>
      </c>
    </row>
    <row r="111" spans="3:12" ht="15.6" hidden="1">
      <c r="C111" s="39" t="str">
        <f t="shared" si="12"/>
        <v>H</v>
      </c>
      <c r="D111" s="45">
        <f>Parameter!E$52</f>
        <v>0</v>
      </c>
      <c r="E111" s="125">
        <f t="shared" si="15"/>
        <v>0</v>
      </c>
      <c r="F111" s="126">
        <f t="shared" si="15"/>
        <v>0</v>
      </c>
      <c r="G111" s="126">
        <f t="shared" si="15"/>
        <v>0</v>
      </c>
      <c r="H111" s="126">
        <f t="shared" si="15"/>
        <v>0</v>
      </c>
      <c r="I111" s="126">
        <f t="shared" si="15"/>
        <v>0</v>
      </c>
      <c r="J111" s="126">
        <f t="shared" si="15"/>
        <v>0</v>
      </c>
      <c r="K111" s="126">
        <f t="shared" si="15"/>
        <v>0</v>
      </c>
      <c r="L111" s="127">
        <f t="shared" si="15"/>
        <v>0</v>
      </c>
    </row>
    <row r="112" spans="3:12" ht="15.6" hidden="1">
      <c r="C112" s="39" t="str">
        <f t="shared" si="12"/>
        <v>H</v>
      </c>
      <c r="D112" s="45">
        <f>Parameter!E$53</f>
        <v>0</v>
      </c>
      <c r="E112" s="125">
        <f t="shared" si="15"/>
        <v>0</v>
      </c>
      <c r="F112" s="126">
        <f t="shared" si="15"/>
        <v>0</v>
      </c>
      <c r="G112" s="126">
        <f t="shared" si="15"/>
        <v>0</v>
      </c>
      <c r="H112" s="126">
        <f t="shared" si="15"/>
        <v>0</v>
      </c>
      <c r="I112" s="126">
        <f t="shared" si="15"/>
        <v>0</v>
      </c>
      <c r="J112" s="126">
        <f t="shared" si="15"/>
        <v>0</v>
      </c>
      <c r="K112" s="126">
        <f t="shared" si="15"/>
        <v>0</v>
      </c>
      <c r="L112" s="127">
        <f t="shared" si="15"/>
        <v>0</v>
      </c>
    </row>
    <row r="113" spans="3:12" ht="15.6" hidden="1">
      <c r="C113" s="39" t="str">
        <f t="shared" si="12"/>
        <v>H</v>
      </c>
      <c r="D113" s="45">
        <f>Parameter!E$54</f>
        <v>0</v>
      </c>
      <c r="E113" s="125">
        <f t="shared" si="15"/>
        <v>0</v>
      </c>
      <c r="F113" s="126">
        <f t="shared" si="15"/>
        <v>0</v>
      </c>
      <c r="G113" s="126">
        <f t="shared" si="15"/>
        <v>0</v>
      </c>
      <c r="H113" s="126">
        <f t="shared" si="15"/>
        <v>0</v>
      </c>
      <c r="I113" s="126">
        <f t="shared" si="15"/>
        <v>0</v>
      </c>
      <c r="J113" s="126">
        <f t="shared" si="15"/>
        <v>0</v>
      </c>
      <c r="K113" s="126">
        <f t="shared" si="15"/>
        <v>0</v>
      </c>
      <c r="L113" s="127">
        <f t="shared" si="15"/>
        <v>0</v>
      </c>
    </row>
    <row r="114" spans="3:12" ht="15.6" hidden="1">
      <c r="C114" s="39" t="str">
        <f t="shared" si="12"/>
        <v>H</v>
      </c>
      <c r="D114" s="45">
        <f>Parameter!E$55</f>
        <v>0</v>
      </c>
      <c r="E114" s="125">
        <f t="shared" si="15"/>
        <v>0</v>
      </c>
      <c r="F114" s="126">
        <f t="shared" si="15"/>
        <v>0</v>
      </c>
      <c r="G114" s="126">
        <f t="shared" si="15"/>
        <v>0</v>
      </c>
      <c r="H114" s="126">
        <f t="shared" si="15"/>
        <v>0</v>
      </c>
      <c r="I114" s="126">
        <f t="shared" si="15"/>
        <v>0</v>
      </c>
      <c r="J114" s="126">
        <f t="shared" si="15"/>
        <v>0</v>
      </c>
      <c r="K114" s="126">
        <f t="shared" si="15"/>
        <v>0</v>
      </c>
      <c r="L114" s="127">
        <f t="shared" si="15"/>
        <v>0</v>
      </c>
    </row>
    <row r="115" spans="3:12" ht="15.6" hidden="1">
      <c r="C115" s="39" t="str">
        <f t="shared" si="12"/>
        <v>H</v>
      </c>
      <c r="D115" s="45">
        <f>Parameter!E$56</f>
        <v>0</v>
      </c>
      <c r="E115" s="125">
        <f t="shared" si="15"/>
        <v>0</v>
      </c>
      <c r="F115" s="126">
        <f t="shared" si="15"/>
        <v>0</v>
      </c>
      <c r="G115" s="126">
        <f t="shared" si="15"/>
        <v>0</v>
      </c>
      <c r="H115" s="126">
        <f t="shared" si="15"/>
        <v>0</v>
      </c>
      <c r="I115" s="126">
        <f t="shared" si="15"/>
        <v>0</v>
      </c>
      <c r="J115" s="126">
        <f t="shared" si="15"/>
        <v>0</v>
      </c>
      <c r="K115" s="126">
        <f t="shared" si="15"/>
        <v>0</v>
      </c>
      <c r="L115" s="127">
        <f t="shared" si="15"/>
        <v>0</v>
      </c>
    </row>
    <row r="116" spans="3:12" ht="16.2" hidden="1" thickBot="1">
      <c r="C116" s="39" t="str">
        <f t="shared" si="12"/>
        <v>H</v>
      </c>
      <c r="D116" s="53" t="str">
        <f>Parameter!E$57</f>
        <v>ALL</v>
      </c>
      <c r="E116" s="128">
        <f t="shared" si="15"/>
        <v>0</v>
      </c>
      <c r="F116" s="129">
        <f t="shared" si="15"/>
        <v>0</v>
      </c>
      <c r="G116" s="129">
        <f t="shared" si="15"/>
        <v>0</v>
      </c>
      <c r="H116" s="129">
        <f t="shared" si="15"/>
        <v>0</v>
      </c>
      <c r="I116" s="129">
        <f t="shared" si="15"/>
        <v>0</v>
      </c>
      <c r="J116" s="129">
        <f t="shared" si="15"/>
        <v>0</v>
      </c>
      <c r="K116" s="129">
        <f t="shared" si="15"/>
        <v>0</v>
      </c>
      <c r="L116" s="130">
        <f t="shared" si="15"/>
        <v>0</v>
      </c>
    </row>
    <row r="117" spans="3:12" ht="15.6">
      <c r="C117" s="39" t="str">
        <f t="shared" si="12"/>
        <v/>
      </c>
      <c r="D117" s="54" t="s">
        <v>87</v>
      </c>
      <c r="E117" s="131">
        <f>SUM(E67:E116)</f>
        <v>0</v>
      </c>
      <c r="F117" s="132">
        <f t="shared" ref="F117:L117" si="16">SUM(F67:F116)</f>
        <v>0</v>
      </c>
      <c r="G117" s="132">
        <f t="shared" si="16"/>
        <v>0</v>
      </c>
      <c r="H117" s="132">
        <f t="shared" si="16"/>
        <v>0.155</v>
      </c>
      <c r="I117" s="132">
        <f t="shared" si="16"/>
        <v>0.24199999999999999</v>
      </c>
      <c r="J117" s="132">
        <f t="shared" si="16"/>
        <v>0.36849999999999994</v>
      </c>
      <c r="K117" s="132">
        <f t="shared" si="16"/>
        <v>0.495</v>
      </c>
      <c r="L117" s="133">
        <f t="shared" si="16"/>
        <v>0.88</v>
      </c>
    </row>
    <row r="118" spans="3:12" ht="16.2" thickBot="1">
      <c r="C118" s="39" t="str">
        <f t="shared" si="12"/>
        <v/>
      </c>
      <c r="D118" s="46" t="s">
        <v>88</v>
      </c>
      <c r="E118" s="47"/>
      <c r="F118" s="50" t="str">
        <f t="shared" ref="F118:G118" si="17">IF(E117*F117=0, "", F117/E117-1)</f>
        <v/>
      </c>
      <c r="G118" s="50" t="str">
        <f t="shared" si="17"/>
        <v/>
      </c>
      <c r="H118" s="50" t="str">
        <f>IF(G117*H117=0, "", H117/G117-1)</f>
        <v/>
      </c>
      <c r="I118" s="50">
        <f t="shared" ref="I118:L118" si="18">IF(H117*I117=0, "", I117/H117-1)</f>
        <v>0.56129032258064515</v>
      </c>
      <c r="J118" s="50">
        <f t="shared" si="18"/>
        <v>0.52272727272727249</v>
      </c>
      <c r="K118" s="50">
        <f t="shared" si="18"/>
        <v>0.34328358208955234</v>
      </c>
      <c r="L118" s="51">
        <f t="shared" si="18"/>
        <v>0.7777777777777779</v>
      </c>
    </row>
    <row r="119" spans="3:12" ht="15.6">
      <c r="C119"/>
      <c r="D119" s="49"/>
      <c r="E119" s="55"/>
      <c r="F119" s="56"/>
      <c r="G119" s="56"/>
      <c r="H119" s="56"/>
      <c r="I119" s="56"/>
      <c r="J119" s="56"/>
      <c r="K119" s="56"/>
      <c r="L119" s="56"/>
    </row>
    <row r="120" spans="3:12" ht="14.4" thickBot="1">
      <c r="C120"/>
    </row>
    <row r="121" spans="3:12" ht="15" thickBot="1">
      <c r="C121"/>
      <c r="D121" s="52" t="str">
        <f>Parameter!I10</f>
        <v>1x Micro LCD</v>
      </c>
    </row>
    <row r="122" spans="3:12" ht="16.2" thickBot="1">
      <c r="C122"/>
      <c r="D122" s="40" t="s">
        <v>85</v>
      </c>
      <c r="E122" s="41" t="str">
        <f t="shared" ref="E122:L122" si="19">E10</f>
        <v>2022</v>
      </c>
      <c r="F122" s="42" t="str">
        <f t="shared" si="19"/>
        <v>2023</v>
      </c>
      <c r="G122" s="42" t="str">
        <f t="shared" si="19"/>
        <v>2024</v>
      </c>
      <c r="H122" s="42">
        <f t="shared" si="19"/>
        <v>2025</v>
      </c>
      <c r="I122" s="42" t="str">
        <f t="shared" si="19"/>
        <v>2026</v>
      </c>
      <c r="J122" s="42" t="str">
        <f t="shared" si="19"/>
        <v>2027</v>
      </c>
      <c r="K122" s="42" t="str">
        <f t="shared" si="19"/>
        <v>2028</v>
      </c>
      <c r="L122" s="43" t="str">
        <f t="shared" si="19"/>
        <v>2029</v>
      </c>
    </row>
    <row r="123" spans="3:12" ht="15.6" hidden="1">
      <c r="C123" s="39" t="str">
        <f>IF(SUM(E123:L123)=0, "H", "")</f>
        <v>H</v>
      </c>
      <c r="D123" s="44" t="str">
        <f>Parameter!E$8</f>
        <v>Air</v>
      </c>
      <c r="E123" s="125">
        <f t="shared" ref="E123:L132" si="20">SUMIF(ARVR_Y_PC_PR, "AR_"&amp;E$122&amp;"_"&amp;$D$121&amp;"_"&amp;$D123, PanelQ)</f>
        <v>0</v>
      </c>
      <c r="F123" s="126">
        <f t="shared" si="20"/>
        <v>0</v>
      </c>
      <c r="G123" s="126">
        <f t="shared" si="20"/>
        <v>0</v>
      </c>
      <c r="H123" s="126">
        <f t="shared" si="20"/>
        <v>0</v>
      </c>
      <c r="I123" s="126">
        <f t="shared" si="20"/>
        <v>0</v>
      </c>
      <c r="J123" s="126">
        <f t="shared" si="20"/>
        <v>0</v>
      </c>
      <c r="K123" s="126">
        <f t="shared" si="20"/>
        <v>0</v>
      </c>
      <c r="L123" s="127">
        <f t="shared" si="20"/>
        <v>0</v>
      </c>
    </row>
    <row r="124" spans="3:12" ht="15.6" hidden="1">
      <c r="C124" s="39" t="str">
        <f t="shared" ref="C124:C174" si="21">IF(SUM(E124:L124)=0, "H", "")</f>
        <v>H</v>
      </c>
      <c r="D124" s="44" t="str">
        <f>Parameter!E$9</f>
        <v>Air 2</v>
      </c>
      <c r="E124" s="125">
        <f t="shared" si="20"/>
        <v>0</v>
      </c>
      <c r="F124" s="126">
        <f t="shared" si="20"/>
        <v>0</v>
      </c>
      <c r="G124" s="126">
        <f t="shared" si="20"/>
        <v>0</v>
      </c>
      <c r="H124" s="126">
        <f t="shared" si="20"/>
        <v>0</v>
      </c>
      <c r="I124" s="126">
        <f t="shared" si="20"/>
        <v>0</v>
      </c>
      <c r="J124" s="126">
        <f t="shared" si="20"/>
        <v>0</v>
      </c>
      <c r="K124" s="126">
        <f t="shared" si="20"/>
        <v>0</v>
      </c>
      <c r="L124" s="127">
        <f t="shared" si="20"/>
        <v>0</v>
      </c>
    </row>
    <row r="125" spans="3:12" ht="15.6" hidden="1">
      <c r="C125" s="39" t="str">
        <f t="shared" si="21"/>
        <v>H</v>
      </c>
      <c r="D125" s="45" t="str">
        <f>Parameter!E$10</f>
        <v>Air 3</v>
      </c>
      <c r="E125" s="125">
        <f t="shared" si="20"/>
        <v>0</v>
      </c>
      <c r="F125" s="126">
        <f t="shared" si="20"/>
        <v>0</v>
      </c>
      <c r="G125" s="126">
        <f t="shared" si="20"/>
        <v>0</v>
      </c>
      <c r="H125" s="126">
        <f t="shared" si="20"/>
        <v>0</v>
      </c>
      <c r="I125" s="126">
        <f t="shared" si="20"/>
        <v>0</v>
      </c>
      <c r="J125" s="126">
        <f t="shared" si="20"/>
        <v>0</v>
      </c>
      <c r="K125" s="126">
        <f t="shared" si="20"/>
        <v>0</v>
      </c>
      <c r="L125" s="127">
        <f t="shared" si="20"/>
        <v>0</v>
      </c>
    </row>
    <row r="126" spans="3:12" ht="15.6" hidden="1">
      <c r="C126" s="39" t="str">
        <f t="shared" si="21"/>
        <v>H</v>
      </c>
      <c r="D126" s="45" t="str">
        <f>Parameter!E$11</f>
        <v>Air 3s Pro</v>
      </c>
      <c r="E126" s="125">
        <f t="shared" si="20"/>
        <v>0</v>
      </c>
      <c r="F126" s="126">
        <f t="shared" si="20"/>
        <v>0</v>
      </c>
      <c r="G126" s="126">
        <f t="shared" si="20"/>
        <v>0</v>
      </c>
      <c r="H126" s="126">
        <f t="shared" si="20"/>
        <v>0</v>
      </c>
      <c r="I126" s="126">
        <f t="shared" si="20"/>
        <v>0</v>
      </c>
      <c r="J126" s="126">
        <f t="shared" si="20"/>
        <v>0</v>
      </c>
      <c r="K126" s="126">
        <f t="shared" si="20"/>
        <v>0</v>
      </c>
      <c r="L126" s="127">
        <f t="shared" si="20"/>
        <v>0</v>
      </c>
    </row>
    <row r="127" spans="3:12" ht="15.6" hidden="1">
      <c r="C127" s="39" t="str">
        <f t="shared" si="21"/>
        <v>H</v>
      </c>
      <c r="D127" s="45" t="str">
        <f>Parameter!E$12</f>
        <v>Air Glass</v>
      </c>
      <c r="E127" s="125">
        <f t="shared" si="20"/>
        <v>0</v>
      </c>
      <c r="F127" s="126">
        <f t="shared" si="20"/>
        <v>0</v>
      </c>
      <c r="G127" s="126">
        <f t="shared" si="20"/>
        <v>0</v>
      </c>
      <c r="H127" s="126">
        <f t="shared" si="20"/>
        <v>0</v>
      </c>
      <c r="I127" s="126">
        <f t="shared" si="20"/>
        <v>0</v>
      </c>
      <c r="J127" s="126">
        <f t="shared" si="20"/>
        <v>0</v>
      </c>
      <c r="K127" s="126">
        <f t="shared" si="20"/>
        <v>0</v>
      </c>
      <c r="L127" s="127">
        <f t="shared" si="20"/>
        <v>0</v>
      </c>
    </row>
    <row r="128" spans="3:12" ht="15.6" hidden="1">
      <c r="C128" s="39" t="str">
        <f t="shared" si="21"/>
        <v>H</v>
      </c>
      <c r="D128" s="45" t="str">
        <f>Parameter!E$13</f>
        <v>Binocular MicroLED</v>
      </c>
      <c r="E128" s="125">
        <f t="shared" si="20"/>
        <v>0</v>
      </c>
      <c r="F128" s="126">
        <f t="shared" si="20"/>
        <v>0</v>
      </c>
      <c r="G128" s="126">
        <f t="shared" si="20"/>
        <v>0</v>
      </c>
      <c r="H128" s="126">
        <f t="shared" si="20"/>
        <v>0</v>
      </c>
      <c r="I128" s="126">
        <f t="shared" si="20"/>
        <v>0</v>
      </c>
      <c r="J128" s="126">
        <f t="shared" si="20"/>
        <v>0</v>
      </c>
      <c r="K128" s="126">
        <f t="shared" si="20"/>
        <v>0</v>
      </c>
      <c r="L128" s="127">
        <f t="shared" si="20"/>
        <v>0</v>
      </c>
    </row>
    <row r="129" spans="3:12" ht="15.6" hidden="1">
      <c r="C129" s="39" t="str">
        <f t="shared" si="21"/>
        <v>H</v>
      </c>
      <c r="D129" s="45" t="str">
        <f>Parameter!E$14</f>
        <v>Blade</v>
      </c>
      <c r="E129" s="125">
        <f t="shared" si="20"/>
        <v>0</v>
      </c>
      <c r="F129" s="126">
        <f t="shared" si="20"/>
        <v>0</v>
      </c>
      <c r="G129" s="126">
        <f t="shared" si="20"/>
        <v>0</v>
      </c>
      <c r="H129" s="126">
        <f t="shared" si="20"/>
        <v>0</v>
      </c>
      <c r="I129" s="126">
        <f t="shared" si="20"/>
        <v>0</v>
      </c>
      <c r="J129" s="126">
        <f t="shared" si="20"/>
        <v>0</v>
      </c>
      <c r="K129" s="126">
        <f t="shared" si="20"/>
        <v>0</v>
      </c>
      <c r="L129" s="127">
        <f t="shared" si="20"/>
        <v>0</v>
      </c>
    </row>
    <row r="130" spans="3:12" ht="15.6" hidden="1">
      <c r="C130" s="39" t="str">
        <f t="shared" si="21"/>
        <v>H</v>
      </c>
      <c r="D130" s="45" t="str">
        <f>Parameter!E$15</f>
        <v>DLP glasses</v>
      </c>
      <c r="E130" s="125">
        <f t="shared" si="20"/>
        <v>0</v>
      </c>
      <c r="F130" s="126">
        <f t="shared" si="20"/>
        <v>0</v>
      </c>
      <c r="G130" s="126">
        <f t="shared" si="20"/>
        <v>0</v>
      </c>
      <c r="H130" s="126">
        <f t="shared" si="20"/>
        <v>0</v>
      </c>
      <c r="I130" s="126">
        <f t="shared" si="20"/>
        <v>0</v>
      </c>
      <c r="J130" s="126">
        <f t="shared" si="20"/>
        <v>0</v>
      </c>
      <c r="K130" s="126">
        <f t="shared" si="20"/>
        <v>0</v>
      </c>
      <c r="L130" s="127">
        <f t="shared" si="20"/>
        <v>0</v>
      </c>
    </row>
    <row r="131" spans="3:12" ht="15.6" hidden="1">
      <c r="C131" s="39" t="str">
        <f t="shared" si="21"/>
        <v>H</v>
      </c>
      <c r="D131" s="45" t="str">
        <f>Parameter!E$16</f>
        <v>G1</v>
      </c>
      <c r="E131" s="125">
        <f t="shared" si="20"/>
        <v>0</v>
      </c>
      <c r="F131" s="126">
        <f t="shared" si="20"/>
        <v>0</v>
      </c>
      <c r="G131" s="126">
        <f t="shared" si="20"/>
        <v>0</v>
      </c>
      <c r="H131" s="126">
        <f t="shared" si="20"/>
        <v>0</v>
      </c>
      <c r="I131" s="126">
        <f t="shared" si="20"/>
        <v>0</v>
      </c>
      <c r="J131" s="126">
        <f t="shared" si="20"/>
        <v>0</v>
      </c>
      <c r="K131" s="126">
        <f t="shared" si="20"/>
        <v>0</v>
      </c>
      <c r="L131" s="127">
        <f t="shared" si="20"/>
        <v>0</v>
      </c>
    </row>
    <row r="132" spans="3:12" ht="16.2" thickBot="1">
      <c r="C132" s="39" t="str">
        <f t="shared" si="21"/>
        <v/>
      </c>
      <c r="D132" s="45" t="str">
        <f>Parameter!E$17</f>
        <v>Glass</v>
      </c>
      <c r="E132" s="125">
        <f t="shared" si="20"/>
        <v>1.2652E-2</v>
      </c>
      <c r="F132" s="126">
        <f t="shared" si="20"/>
        <v>0</v>
      </c>
      <c r="G132" s="126">
        <f t="shared" si="20"/>
        <v>0</v>
      </c>
      <c r="H132" s="126">
        <f t="shared" si="20"/>
        <v>0</v>
      </c>
      <c r="I132" s="126">
        <f t="shared" si="20"/>
        <v>0</v>
      </c>
      <c r="J132" s="126">
        <f t="shared" si="20"/>
        <v>0</v>
      </c>
      <c r="K132" s="126">
        <f t="shared" si="20"/>
        <v>0</v>
      </c>
      <c r="L132" s="127">
        <f t="shared" si="20"/>
        <v>0</v>
      </c>
    </row>
    <row r="133" spans="3:12" ht="15.6" hidden="1">
      <c r="C133" s="39" t="str">
        <f t="shared" si="21"/>
        <v>H</v>
      </c>
      <c r="D133" s="45" t="str">
        <f>Parameter!E$18</f>
        <v>Glasses</v>
      </c>
      <c r="E133" s="125">
        <f t="shared" ref="E133:L142" si="22">SUMIF(ARVR_Y_PC_PR, "AR_"&amp;E$122&amp;"_"&amp;$D$121&amp;"_"&amp;$D133, PanelQ)</f>
        <v>0</v>
      </c>
      <c r="F133" s="126">
        <f t="shared" si="22"/>
        <v>0</v>
      </c>
      <c r="G133" s="126">
        <f t="shared" si="22"/>
        <v>0</v>
      </c>
      <c r="H133" s="126">
        <f t="shared" si="22"/>
        <v>0</v>
      </c>
      <c r="I133" s="126">
        <f t="shared" si="22"/>
        <v>0</v>
      </c>
      <c r="J133" s="126">
        <f t="shared" si="22"/>
        <v>0</v>
      </c>
      <c r="K133" s="126">
        <f t="shared" si="22"/>
        <v>0</v>
      </c>
      <c r="L133" s="127">
        <f t="shared" si="22"/>
        <v>0</v>
      </c>
    </row>
    <row r="134" spans="3:12" ht="15.6" hidden="1">
      <c r="C134" s="39" t="str">
        <f t="shared" si="21"/>
        <v>H</v>
      </c>
      <c r="D134" s="45" t="str">
        <f>Parameter!E$19</f>
        <v>Go</v>
      </c>
      <c r="E134" s="125">
        <f t="shared" si="22"/>
        <v>0</v>
      </c>
      <c r="F134" s="126">
        <f t="shared" si="22"/>
        <v>0</v>
      </c>
      <c r="G134" s="126">
        <f t="shared" si="22"/>
        <v>0</v>
      </c>
      <c r="H134" s="126">
        <f t="shared" si="22"/>
        <v>0</v>
      </c>
      <c r="I134" s="126">
        <f t="shared" si="22"/>
        <v>0</v>
      </c>
      <c r="J134" s="126">
        <f t="shared" si="22"/>
        <v>0</v>
      </c>
      <c r="K134" s="126">
        <f t="shared" si="22"/>
        <v>0</v>
      </c>
      <c r="L134" s="127">
        <f t="shared" si="22"/>
        <v>0</v>
      </c>
    </row>
    <row r="135" spans="3:12" ht="15.6" hidden="1">
      <c r="C135" s="39" t="str">
        <f t="shared" si="21"/>
        <v>H</v>
      </c>
      <c r="D135" s="45" t="str">
        <f>Parameter!E$20</f>
        <v>Go 2</v>
      </c>
      <c r="E135" s="125">
        <f t="shared" si="22"/>
        <v>0</v>
      </c>
      <c r="F135" s="126">
        <f t="shared" si="22"/>
        <v>0</v>
      </c>
      <c r="G135" s="126">
        <f t="shared" si="22"/>
        <v>0</v>
      </c>
      <c r="H135" s="126">
        <f t="shared" si="22"/>
        <v>0</v>
      </c>
      <c r="I135" s="126">
        <f t="shared" si="22"/>
        <v>0</v>
      </c>
      <c r="J135" s="126">
        <f t="shared" si="22"/>
        <v>0</v>
      </c>
      <c r="K135" s="126">
        <f t="shared" si="22"/>
        <v>0</v>
      </c>
      <c r="L135" s="127">
        <f t="shared" si="22"/>
        <v>0</v>
      </c>
    </row>
    <row r="136" spans="3:12" ht="15.6" hidden="1">
      <c r="C136" s="39" t="str">
        <f t="shared" si="21"/>
        <v>H</v>
      </c>
      <c r="D136" s="45" t="str">
        <f>Parameter!E$21</f>
        <v>HoloLens 2</v>
      </c>
      <c r="E136" s="125">
        <f t="shared" si="22"/>
        <v>0</v>
      </c>
      <c r="F136" s="126">
        <f t="shared" si="22"/>
        <v>0</v>
      </c>
      <c r="G136" s="126">
        <f t="shared" si="22"/>
        <v>0</v>
      </c>
      <c r="H136" s="126">
        <f t="shared" si="22"/>
        <v>0</v>
      </c>
      <c r="I136" s="126">
        <f t="shared" si="22"/>
        <v>0</v>
      </c>
      <c r="J136" s="126">
        <f t="shared" si="22"/>
        <v>0</v>
      </c>
      <c r="K136" s="126">
        <f t="shared" si="22"/>
        <v>0</v>
      </c>
      <c r="L136" s="127">
        <f t="shared" si="22"/>
        <v>0</v>
      </c>
    </row>
    <row r="137" spans="3:12" ht="15.6" hidden="1">
      <c r="C137" s="39" t="str">
        <f t="shared" si="21"/>
        <v>H</v>
      </c>
      <c r="D137" s="45" t="str">
        <f>Parameter!E$22</f>
        <v>INAIR 2</v>
      </c>
      <c r="E137" s="125">
        <f t="shared" si="22"/>
        <v>0</v>
      </c>
      <c r="F137" s="126">
        <f t="shared" si="22"/>
        <v>0</v>
      </c>
      <c r="G137" s="126">
        <f t="shared" si="22"/>
        <v>0</v>
      </c>
      <c r="H137" s="126">
        <f t="shared" si="22"/>
        <v>0</v>
      </c>
      <c r="I137" s="126">
        <f t="shared" si="22"/>
        <v>0</v>
      </c>
      <c r="J137" s="126">
        <f t="shared" si="22"/>
        <v>0</v>
      </c>
      <c r="K137" s="126">
        <f t="shared" si="22"/>
        <v>0</v>
      </c>
      <c r="L137" s="127">
        <f t="shared" si="22"/>
        <v>0</v>
      </c>
    </row>
    <row r="138" spans="3:12" ht="15.6" hidden="1">
      <c r="C138" s="39" t="str">
        <f t="shared" si="21"/>
        <v>H</v>
      </c>
      <c r="D138" s="45" t="str">
        <f>Parameter!E$23</f>
        <v>INAIR 2 Pro</v>
      </c>
      <c r="E138" s="125">
        <f t="shared" si="22"/>
        <v>0</v>
      </c>
      <c r="F138" s="126">
        <f t="shared" si="22"/>
        <v>0</v>
      </c>
      <c r="G138" s="126">
        <f t="shared" si="22"/>
        <v>0</v>
      </c>
      <c r="H138" s="126">
        <f t="shared" si="22"/>
        <v>0</v>
      </c>
      <c r="I138" s="126">
        <f t="shared" si="22"/>
        <v>0</v>
      </c>
      <c r="J138" s="126">
        <f t="shared" si="22"/>
        <v>0</v>
      </c>
      <c r="K138" s="126">
        <f t="shared" si="22"/>
        <v>0</v>
      </c>
      <c r="L138" s="127">
        <f t="shared" si="22"/>
        <v>0</v>
      </c>
    </row>
    <row r="139" spans="3:12" ht="15.6" hidden="1">
      <c r="C139" s="39" t="str">
        <f t="shared" si="21"/>
        <v>H</v>
      </c>
      <c r="D139" s="45" t="str">
        <f>Parameter!E$24</f>
        <v>LBS glasses</v>
      </c>
      <c r="E139" s="125">
        <f t="shared" si="22"/>
        <v>0</v>
      </c>
      <c r="F139" s="126">
        <f t="shared" si="22"/>
        <v>0</v>
      </c>
      <c r="G139" s="126">
        <f t="shared" si="22"/>
        <v>0</v>
      </c>
      <c r="H139" s="126">
        <f t="shared" si="22"/>
        <v>0</v>
      </c>
      <c r="I139" s="126">
        <f t="shared" si="22"/>
        <v>0</v>
      </c>
      <c r="J139" s="126">
        <f t="shared" si="22"/>
        <v>0</v>
      </c>
      <c r="K139" s="126">
        <f t="shared" si="22"/>
        <v>0</v>
      </c>
      <c r="L139" s="127">
        <f t="shared" si="22"/>
        <v>0</v>
      </c>
    </row>
    <row r="140" spans="3:12" ht="15.6" hidden="1">
      <c r="C140" s="39" t="str">
        <f t="shared" si="21"/>
        <v>H</v>
      </c>
      <c r="D140" s="45" t="str">
        <f>Parameter!E$25</f>
        <v>LCoS glasses</v>
      </c>
      <c r="E140" s="125">
        <f t="shared" si="22"/>
        <v>0</v>
      </c>
      <c r="F140" s="126">
        <f t="shared" si="22"/>
        <v>0</v>
      </c>
      <c r="G140" s="126">
        <f t="shared" si="22"/>
        <v>0</v>
      </c>
      <c r="H140" s="126">
        <f t="shared" si="22"/>
        <v>0</v>
      </c>
      <c r="I140" s="126">
        <f t="shared" si="22"/>
        <v>0</v>
      </c>
      <c r="J140" s="126">
        <f t="shared" si="22"/>
        <v>0</v>
      </c>
      <c r="K140" s="126">
        <f t="shared" si="22"/>
        <v>0</v>
      </c>
      <c r="L140" s="127">
        <f t="shared" si="22"/>
        <v>0</v>
      </c>
    </row>
    <row r="141" spans="3:12" ht="15.6" hidden="1">
      <c r="C141" s="39" t="str">
        <f t="shared" si="21"/>
        <v>H</v>
      </c>
      <c r="D141" s="45" t="str">
        <f>Parameter!E$26</f>
        <v>Lenovo Legion Glasses 2</v>
      </c>
      <c r="E141" s="125">
        <f t="shared" si="22"/>
        <v>0</v>
      </c>
      <c r="F141" s="126">
        <f t="shared" si="22"/>
        <v>0</v>
      </c>
      <c r="G141" s="126">
        <f t="shared" si="22"/>
        <v>0</v>
      </c>
      <c r="H141" s="126">
        <f t="shared" si="22"/>
        <v>0</v>
      </c>
      <c r="I141" s="126">
        <f t="shared" si="22"/>
        <v>0</v>
      </c>
      <c r="J141" s="126">
        <f t="shared" si="22"/>
        <v>0</v>
      </c>
      <c r="K141" s="126">
        <f t="shared" si="22"/>
        <v>0</v>
      </c>
      <c r="L141" s="127">
        <f t="shared" si="22"/>
        <v>0</v>
      </c>
    </row>
    <row r="142" spans="3:12" ht="15.6" hidden="1">
      <c r="C142" s="39" t="str">
        <f t="shared" si="21"/>
        <v>H</v>
      </c>
      <c r="D142" s="45" t="str">
        <f>Parameter!E$27</f>
        <v>Light</v>
      </c>
      <c r="E142" s="125">
        <f t="shared" si="22"/>
        <v>0</v>
      </c>
      <c r="F142" s="126">
        <f t="shared" si="22"/>
        <v>0</v>
      </c>
      <c r="G142" s="126">
        <f t="shared" si="22"/>
        <v>0</v>
      </c>
      <c r="H142" s="126">
        <f t="shared" si="22"/>
        <v>0</v>
      </c>
      <c r="I142" s="126">
        <f t="shared" si="22"/>
        <v>0</v>
      </c>
      <c r="J142" s="126">
        <f t="shared" si="22"/>
        <v>0</v>
      </c>
      <c r="K142" s="126">
        <f t="shared" si="22"/>
        <v>0</v>
      </c>
      <c r="L142" s="127">
        <f t="shared" si="22"/>
        <v>0</v>
      </c>
    </row>
    <row r="143" spans="3:12" ht="15.6" hidden="1">
      <c r="C143" s="39" t="str">
        <f t="shared" si="21"/>
        <v>H</v>
      </c>
      <c r="D143" s="45" t="str">
        <f>Parameter!E$28</f>
        <v>Max</v>
      </c>
      <c r="E143" s="125">
        <f t="shared" ref="E143:L152" si="23">SUMIF(ARVR_Y_PC_PR, "AR_"&amp;E$122&amp;"_"&amp;$D$121&amp;"_"&amp;$D143, PanelQ)</f>
        <v>0</v>
      </c>
      <c r="F143" s="126">
        <f t="shared" si="23"/>
        <v>0</v>
      </c>
      <c r="G143" s="126">
        <f t="shared" si="23"/>
        <v>0</v>
      </c>
      <c r="H143" s="126">
        <f t="shared" si="23"/>
        <v>0</v>
      </c>
      <c r="I143" s="126">
        <f t="shared" si="23"/>
        <v>0</v>
      </c>
      <c r="J143" s="126">
        <f t="shared" si="23"/>
        <v>0</v>
      </c>
      <c r="K143" s="126">
        <f t="shared" si="23"/>
        <v>0</v>
      </c>
      <c r="L143" s="127">
        <f t="shared" si="23"/>
        <v>0</v>
      </c>
    </row>
    <row r="144" spans="3:12" ht="15.6" hidden="1">
      <c r="C144" s="39" t="str">
        <f t="shared" si="21"/>
        <v>H</v>
      </c>
      <c r="D144" s="45" t="str">
        <f>Parameter!E$29</f>
        <v>Max 2</v>
      </c>
      <c r="E144" s="125">
        <f t="shared" si="23"/>
        <v>0</v>
      </c>
      <c r="F144" s="126">
        <f t="shared" si="23"/>
        <v>0</v>
      </c>
      <c r="G144" s="126">
        <f t="shared" si="23"/>
        <v>0</v>
      </c>
      <c r="H144" s="126">
        <f t="shared" si="23"/>
        <v>0</v>
      </c>
      <c r="I144" s="126">
        <f t="shared" si="23"/>
        <v>0</v>
      </c>
      <c r="J144" s="126">
        <f t="shared" si="23"/>
        <v>0</v>
      </c>
      <c r="K144" s="126">
        <f t="shared" si="23"/>
        <v>0</v>
      </c>
      <c r="L144" s="127">
        <f t="shared" si="23"/>
        <v>0</v>
      </c>
    </row>
    <row r="145" spans="3:12" ht="15.6" hidden="1">
      <c r="C145" s="39" t="str">
        <f t="shared" si="21"/>
        <v>H</v>
      </c>
      <c r="D145" s="45" t="str">
        <f>Parameter!E$30</f>
        <v>Meizu StarV Air 2</v>
      </c>
      <c r="E145" s="125">
        <f t="shared" si="23"/>
        <v>0</v>
      </c>
      <c r="F145" s="126">
        <f t="shared" si="23"/>
        <v>0</v>
      </c>
      <c r="G145" s="126">
        <f t="shared" si="23"/>
        <v>0</v>
      </c>
      <c r="H145" s="126">
        <f t="shared" si="23"/>
        <v>0</v>
      </c>
      <c r="I145" s="126">
        <f t="shared" si="23"/>
        <v>0</v>
      </c>
      <c r="J145" s="126">
        <f t="shared" si="23"/>
        <v>0</v>
      </c>
      <c r="K145" s="126">
        <f t="shared" si="23"/>
        <v>0</v>
      </c>
      <c r="L145" s="127">
        <f t="shared" si="23"/>
        <v>0</v>
      </c>
    </row>
    <row r="146" spans="3:12" ht="15.6" hidden="1">
      <c r="C146" s="39" t="str">
        <f t="shared" si="21"/>
        <v>H</v>
      </c>
      <c r="D146" s="45" t="str">
        <f>Parameter!E$31</f>
        <v>Meizu StarV View</v>
      </c>
      <c r="E146" s="125">
        <f t="shared" si="23"/>
        <v>0</v>
      </c>
      <c r="F146" s="126">
        <f t="shared" si="23"/>
        <v>0</v>
      </c>
      <c r="G146" s="126">
        <f t="shared" si="23"/>
        <v>0</v>
      </c>
      <c r="H146" s="126">
        <f t="shared" si="23"/>
        <v>0</v>
      </c>
      <c r="I146" s="126">
        <f t="shared" si="23"/>
        <v>0</v>
      </c>
      <c r="J146" s="126">
        <f t="shared" si="23"/>
        <v>0</v>
      </c>
      <c r="K146" s="126">
        <f t="shared" si="23"/>
        <v>0</v>
      </c>
      <c r="L146" s="127">
        <f t="shared" si="23"/>
        <v>0</v>
      </c>
    </row>
    <row r="147" spans="3:12" ht="15.6" hidden="1">
      <c r="C147" s="39" t="str">
        <f t="shared" si="21"/>
        <v>H</v>
      </c>
      <c r="D147" s="45" t="str">
        <f>Parameter!E$32</f>
        <v>MiRZA</v>
      </c>
      <c r="E147" s="125">
        <f t="shared" si="23"/>
        <v>0</v>
      </c>
      <c r="F147" s="126">
        <f t="shared" si="23"/>
        <v>0</v>
      </c>
      <c r="G147" s="126">
        <f t="shared" si="23"/>
        <v>0</v>
      </c>
      <c r="H147" s="126">
        <f t="shared" si="23"/>
        <v>0</v>
      </c>
      <c r="I147" s="126">
        <f t="shared" si="23"/>
        <v>0</v>
      </c>
      <c r="J147" s="126">
        <f t="shared" si="23"/>
        <v>0</v>
      </c>
      <c r="K147" s="126">
        <f t="shared" si="23"/>
        <v>0</v>
      </c>
      <c r="L147" s="127">
        <f t="shared" si="23"/>
        <v>0</v>
      </c>
    </row>
    <row r="148" spans="3:12" ht="15.6" hidden="1">
      <c r="C148" s="39" t="str">
        <f t="shared" si="21"/>
        <v>H</v>
      </c>
      <c r="D148" s="45" t="str">
        <f>Parameter!E$33</f>
        <v>ML 2</v>
      </c>
      <c r="E148" s="125">
        <f t="shared" si="23"/>
        <v>0</v>
      </c>
      <c r="F148" s="126">
        <f t="shared" si="23"/>
        <v>0</v>
      </c>
      <c r="G148" s="126">
        <f t="shared" si="23"/>
        <v>0</v>
      </c>
      <c r="H148" s="126">
        <f t="shared" si="23"/>
        <v>0</v>
      </c>
      <c r="I148" s="126">
        <f t="shared" si="23"/>
        <v>0</v>
      </c>
      <c r="J148" s="126">
        <f t="shared" si="23"/>
        <v>0</v>
      </c>
      <c r="K148" s="126">
        <f t="shared" si="23"/>
        <v>0</v>
      </c>
      <c r="L148" s="127">
        <f t="shared" si="23"/>
        <v>0</v>
      </c>
    </row>
    <row r="149" spans="3:12" ht="15.6" hidden="1">
      <c r="C149" s="39" t="str">
        <f t="shared" si="21"/>
        <v>H</v>
      </c>
      <c r="D149" s="45" t="str">
        <f>Parameter!E$34</f>
        <v>ML One</v>
      </c>
      <c r="E149" s="125">
        <f t="shared" si="23"/>
        <v>0</v>
      </c>
      <c r="F149" s="126">
        <f t="shared" si="23"/>
        <v>0</v>
      </c>
      <c r="G149" s="126">
        <f t="shared" si="23"/>
        <v>0</v>
      </c>
      <c r="H149" s="126">
        <f t="shared" si="23"/>
        <v>0</v>
      </c>
      <c r="I149" s="126">
        <f t="shared" si="23"/>
        <v>0</v>
      </c>
      <c r="J149" s="126">
        <f t="shared" si="23"/>
        <v>0</v>
      </c>
      <c r="K149" s="126">
        <f t="shared" si="23"/>
        <v>0</v>
      </c>
      <c r="L149" s="127">
        <f t="shared" si="23"/>
        <v>0</v>
      </c>
    </row>
    <row r="150" spans="3:12" ht="15.6" hidden="1">
      <c r="C150" s="39" t="str">
        <f t="shared" si="21"/>
        <v>H</v>
      </c>
      <c r="D150" s="45" t="str">
        <f>Parameter!E$35</f>
        <v>Monocular LCoS glasses</v>
      </c>
      <c r="E150" s="125">
        <f t="shared" si="23"/>
        <v>0</v>
      </c>
      <c r="F150" s="126">
        <f t="shared" si="23"/>
        <v>0</v>
      </c>
      <c r="G150" s="126">
        <f t="shared" si="23"/>
        <v>0</v>
      </c>
      <c r="H150" s="126">
        <f t="shared" si="23"/>
        <v>0</v>
      </c>
      <c r="I150" s="126">
        <f t="shared" si="23"/>
        <v>0</v>
      </c>
      <c r="J150" s="126">
        <f t="shared" si="23"/>
        <v>0</v>
      </c>
      <c r="K150" s="126">
        <f t="shared" si="23"/>
        <v>0</v>
      </c>
      <c r="L150" s="127">
        <f t="shared" si="23"/>
        <v>0</v>
      </c>
    </row>
    <row r="151" spans="3:12" ht="15.6" hidden="1">
      <c r="C151" s="39" t="str">
        <f t="shared" si="21"/>
        <v>H</v>
      </c>
      <c r="D151" s="45" t="str">
        <f>Parameter!E$36</f>
        <v>Monocular MicroLED</v>
      </c>
      <c r="E151" s="125">
        <f t="shared" si="23"/>
        <v>0</v>
      </c>
      <c r="F151" s="126">
        <f t="shared" si="23"/>
        <v>0</v>
      </c>
      <c r="G151" s="126">
        <f t="shared" si="23"/>
        <v>0</v>
      </c>
      <c r="H151" s="126">
        <f t="shared" si="23"/>
        <v>0</v>
      </c>
      <c r="I151" s="126">
        <f t="shared" si="23"/>
        <v>0</v>
      </c>
      <c r="J151" s="126">
        <f t="shared" si="23"/>
        <v>0</v>
      </c>
      <c r="K151" s="126">
        <f t="shared" si="23"/>
        <v>0</v>
      </c>
      <c r="L151" s="127">
        <f t="shared" si="23"/>
        <v>0</v>
      </c>
    </row>
    <row r="152" spans="3:12" ht="15.6" hidden="1">
      <c r="C152" s="39" t="str">
        <f t="shared" si="21"/>
        <v>H</v>
      </c>
      <c r="D152" s="45" t="str">
        <f>Parameter!E$37</f>
        <v>Moverio</v>
      </c>
      <c r="E152" s="125">
        <f t="shared" si="23"/>
        <v>0</v>
      </c>
      <c r="F152" s="126">
        <f t="shared" si="23"/>
        <v>0</v>
      </c>
      <c r="G152" s="126">
        <f t="shared" si="23"/>
        <v>0</v>
      </c>
      <c r="H152" s="126">
        <f t="shared" si="23"/>
        <v>0</v>
      </c>
      <c r="I152" s="126">
        <f t="shared" si="23"/>
        <v>0</v>
      </c>
      <c r="J152" s="126">
        <f t="shared" si="23"/>
        <v>0</v>
      </c>
      <c r="K152" s="126">
        <f t="shared" si="23"/>
        <v>0</v>
      </c>
      <c r="L152" s="127">
        <f t="shared" si="23"/>
        <v>0</v>
      </c>
    </row>
    <row r="153" spans="3:12" ht="15.6" hidden="1">
      <c r="C153" s="39" t="str">
        <f t="shared" si="21"/>
        <v>H</v>
      </c>
      <c r="D153" s="45" t="str">
        <f>Parameter!E$38</f>
        <v>MYVU</v>
      </c>
      <c r="E153" s="125">
        <f t="shared" ref="E153:L162" si="24">SUMIF(ARVR_Y_PC_PR, "AR_"&amp;E$122&amp;"_"&amp;$D$121&amp;"_"&amp;$D153, PanelQ)</f>
        <v>0</v>
      </c>
      <c r="F153" s="126">
        <f t="shared" si="24"/>
        <v>0</v>
      </c>
      <c r="G153" s="126">
        <f t="shared" si="24"/>
        <v>0</v>
      </c>
      <c r="H153" s="126">
        <f t="shared" si="24"/>
        <v>0</v>
      </c>
      <c r="I153" s="126">
        <f t="shared" si="24"/>
        <v>0</v>
      </c>
      <c r="J153" s="126">
        <f t="shared" si="24"/>
        <v>0</v>
      </c>
      <c r="K153" s="126">
        <f t="shared" si="24"/>
        <v>0</v>
      </c>
      <c r="L153" s="127">
        <f t="shared" si="24"/>
        <v>0</v>
      </c>
    </row>
    <row r="154" spans="3:12" ht="15.6" hidden="1">
      <c r="C154" s="39" t="str">
        <f t="shared" si="21"/>
        <v>H</v>
      </c>
      <c r="D154" s="45" t="str">
        <f>Parameter!E$39</f>
        <v>NXTWear</v>
      </c>
      <c r="E154" s="125">
        <f t="shared" si="24"/>
        <v>0</v>
      </c>
      <c r="F154" s="126">
        <f t="shared" si="24"/>
        <v>0</v>
      </c>
      <c r="G154" s="126">
        <f t="shared" si="24"/>
        <v>0</v>
      </c>
      <c r="H154" s="126">
        <f t="shared" si="24"/>
        <v>0</v>
      </c>
      <c r="I154" s="126">
        <f t="shared" si="24"/>
        <v>0</v>
      </c>
      <c r="J154" s="126">
        <f t="shared" si="24"/>
        <v>0</v>
      </c>
      <c r="K154" s="126">
        <f t="shared" si="24"/>
        <v>0</v>
      </c>
      <c r="L154" s="127">
        <f t="shared" si="24"/>
        <v>0</v>
      </c>
    </row>
    <row r="155" spans="3:12" ht="15.6" hidden="1">
      <c r="C155" s="39" t="str">
        <f t="shared" si="21"/>
        <v>H</v>
      </c>
      <c r="D155" s="45" t="str">
        <f>Parameter!E$40</f>
        <v>One</v>
      </c>
      <c r="E155" s="125">
        <f t="shared" si="24"/>
        <v>0</v>
      </c>
      <c r="F155" s="126">
        <f t="shared" si="24"/>
        <v>0</v>
      </c>
      <c r="G155" s="126">
        <f t="shared" si="24"/>
        <v>0</v>
      </c>
      <c r="H155" s="126">
        <f t="shared" si="24"/>
        <v>0</v>
      </c>
      <c r="I155" s="126">
        <f t="shared" si="24"/>
        <v>0</v>
      </c>
      <c r="J155" s="126">
        <f t="shared" si="24"/>
        <v>0</v>
      </c>
      <c r="K155" s="126">
        <f t="shared" si="24"/>
        <v>0</v>
      </c>
      <c r="L155" s="127">
        <f t="shared" si="24"/>
        <v>0</v>
      </c>
    </row>
    <row r="156" spans="3:12" ht="15.6" hidden="1">
      <c r="C156" s="39" t="str">
        <f t="shared" si="21"/>
        <v>H</v>
      </c>
      <c r="D156" s="45" t="str">
        <f>Parameter!E$41</f>
        <v>One Pro</v>
      </c>
      <c r="E156" s="125">
        <f t="shared" si="24"/>
        <v>0</v>
      </c>
      <c r="F156" s="126">
        <f t="shared" si="24"/>
        <v>0</v>
      </c>
      <c r="G156" s="126">
        <f t="shared" si="24"/>
        <v>0</v>
      </c>
      <c r="H156" s="126">
        <f t="shared" si="24"/>
        <v>0</v>
      </c>
      <c r="I156" s="126">
        <f t="shared" si="24"/>
        <v>0</v>
      </c>
      <c r="J156" s="126">
        <f t="shared" si="24"/>
        <v>0</v>
      </c>
      <c r="K156" s="126">
        <f t="shared" si="24"/>
        <v>0</v>
      </c>
      <c r="L156" s="127">
        <f t="shared" si="24"/>
        <v>0</v>
      </c>
    </row>
    <row r="157" spans="3:12" ht="15.6" hidden="1">
      <c r="C157" s="39" t="str">
        <f t="shared" si="21"/>
        <v>H</v>
      </c>
      <c r="D157" s="45" t="str">
        <f>Parameter!E$42</f>
        <v>Quark AI</v>
      </c>
      <c r="E157" s="125">
        <f t="shared" si="24"/>
        <v>0</v>
      </c>
      <c r="F157" s="126">
        <f t="shared" si="24"/>
        <v>0</v>
      </c>
      <c r="G157" s="126">
        <f t="shared" si="24"/>
        <v>0</v>
      </c>
      <c r="H157" s="126">
        <f t="shared" si="24"/>
        <v>0</v>
      </c>
      <c r="I157" s="126">
        <f t="shared" si="24"/>
        <v>0</v>
      </c>
      <c r="J157" s="126">
        <f t="shared" si="24"/>
        <v>0</v>
      </c>
      <c r="K157" s="126">
        <f t="shared" si="24"/>
        <v>0</v>
      </c>
      <c r="L157" s="127">
        <f t="shared" si="24"/>
        <v>0</v>
      </c>
    </row>
    <row r="158" spans="3:12" ht="15.6" hidden="1">
      <c r="C158" s="39" t="str">
        <f t="shared" si="21"/>
        <v>H</v>
      </c>
      <c r="D158" s="45" t="str">
        <f>Parameter!E$43</f>
        <v>Ray-Ban Meta Display</v>
      </c>
      <c r="E158" s="125">
        <f t="shared" si="24"/>
        <v>0</v>
      </c>
      <c r="F158" s="126">
        <f t="shared" si="24"/>
        <v>0</v>
      </c>
      <c r="G158" s="126">
        <f t="shared" si="24"/>
        <v>0</v>
      </c>
      <c r="H158" s="126">
        <f t="shared" si="24"/>
        <v>0</v>
      </c>
      <c r="I158" s="126">
        <f t="shared" si="24"/>
        <v>0</v>
      </c>
      <c r="J158" s="126">
        <f t="shared" si="24"/>
        <v>0</v>
      </c>
      <c r="K158" s="126">
        <f t="shared" si="24"/>
        <v>0</v>
      </c>
      <c r="L158" s="127">
        <f t="shared" si="24"/>
        <v>0</v>
      </c>
    </row>
    <row r="159" spans="3:12" ht="15.6" hidden="1">
      <c r="C159" s="39" t="str">
        <f t="shared" si="21"/>
        <v>H</v>
      </c>
      <c r="D159" s="45" t="str">
        <f>Parameter!E$44</f>
        <v>Shield</v>
      </c>
      <c r="E159" s="125">
        <f t="shared" si="24"/>
        <v>0</v>
      </c>
      <c r="F159" s="126">
        <f t="shared" si="24"/>
        <v>0</v>
      </c>
      <c r="G159" s="126">
        <f t="shared" si="24"/>
        <v>0</v>
      </c>
      <c r="H159" s="126">
        <f t="shared" si="24"/>
        <v>0</v>
      </c>
      <c r="I159" s="126">
        <f t="shared" si="24"/>
        <v>0</v>
      </c>
      <c r="J159" s="126">
        <f t="shared" si="24"/>
        <v>0</v>
      </c>
      <c r="K159" s="126">
        <f t="shared" si="24"/>
        <v>0</v>
      </c>
      <c r="L159" s="127">
        <f t="shared" si="24"/>
        <v>0</v>
      </c>
    </row>
    <row r="160" spans="3:12" ht="15.6" hidden="1">
      <c r="C160" s="39" t="str">
        <f t="shared" si="21"/>
        <v>H</v>
      </c>
      <c r="D160" s="45" t="str">
        <f>Parameter!E$45</f>
        <v>SiOLED glasses</v>
      </c>
      <c r="E160" s="125">
        <f t="shared" si="24"/>
        <v>0</v>
      </c>
      <c r="F160" s="126">
        <f t="shared" si="24"/>
        <v>0</v>
      </c>
      <c r="G160" s="126">
        <f t="shared" si="24"/>
        <v>0</v>
      </c>
      <c r="H160" s="126">
        <f t="shared" si="24"/>
        <v>0</v>
      </c>
      <c r="I160" s="126">
        <f t="shared" si="24"/>
        <v>0</v>
      </c>
      <c r="J160" s="126">
        <f t="shared" si="24"/>
        <v>0</v>
      </c>
      <c r="K160" s="126">
        <f t="shared" si="24"/>
        <v>0</v>
      </c>
      <c r="L160" s="127">
        <f t="shared" si="24"/>
        <v>0</v>
      </c>
    </row>
    <row r="161" spans="3:12" ht="15.6" hidden="1">
      <c r="C161" s="39" t="str">
        <f t="shared" si="21"/>
        <v>H</v>
      </c>
      <c r="D161" s="45" t="str">
        <f>Parameter!E$46</f>
        <v>T1</v>
      </c>
      <c r="E161" s="125">
        <f t="shared" si="24"/>
        <v>0</v>
      </c>
      <c r="F161" s="126">
        <f t="shared" si="24"/>
        <v>0</v>
      </c>
      <c r="G161" s="126">
        <f t="shared" si="24"/>
        <v>0</v>
      </c>
      <c r="H161" s="126">
        <f t="shared" si="24"/>
        <v>0</v>
      </c>
      <c r="I161" s="126">
        <f t="shared" si="24"/>
        <v>0</v>
      </c>
      <c r="J161" s="126">
        <f t="shared" si="24"/>
        <v>0</v>
      </c>
      <c r="K161" s="126">
        <f t="shared" si="24"/>
        <v>0</v>
      </c>
      <c r="L161" s="127">
        <f t="shared" si="24"/>
        <v>0</v>
      </c>
    </row>
    <row r="162" spans="3:12" ht="15.6" hidden="1">
      <c r="C162" s="39" t="str">
        <f t="shared" si="21"/>
        <v>H</v>
      </c>
      <c r="D162" s="45" t="str">
        <f>Parameter!E$47</f>
        <v>ThinkReality A3</v>
      </c>
      <c r="E162" s="125">
        <f t="shared" si="24"/>
        <v>0</v>
      </c>
      <c r="F162" s="126">
        <f t="shared" si="24"/>
        <v>0</v>
      </c>
      <c r="G162" s="126">
        <f t="shared" si="24"/>
        <v>0</v>
      </c>
      <c r="H162" s="126">
        <f t="shared" si="24"/>
        <v>0</v>
      </c>
      <c r="I162" s="126">
        <f t="shared" si="24"/>
        <v>0</v>
      </c>
      <c r="J162" s="126">
        <f t="shared" si="24"/>
        <v>0</v>
      </c>
      <c r="K162" s="126">
        <f t="shared" si="24"/>
        <v>0</v>
      </c>
      <c r="L162" s="127">
        <f t="shared" si="24"/>
        <v>0</v>
      </c>
    </row>
    <row r="163" spans="3:12" ht="15.6" hidden="1">
      <c r="C163" s="39" t="str">
        <f t="shared" si="21"/>
        <v>H</v>
      </c>
      <c r="D163" s="45" t="str">
        <f>Parameter!E$48</f>
        <v>Viture Pro</v>
      </c>
      <c r="E163" s="125">
        <f t="shared" ref="E163:L172" si="25">SUMIF(ARVR_Y_PC_PR, "AR_"&amp;E$122&amp;"_"&amp;$D$121&amp;"_"&amp;$D163, PanelQ)</f>
        <v>0</v>
      </c>
      <c r="F163" s="126">
        <f t="shared" si="25"/>
        <v>0</v>
      </c>
      <c r="G163" s="126">
        <f t="shared" si="25"/>
        <v>0</v>
      </c>
      <c r="H163" s="126">
        <f t="shared" si="25"/>
        <v>0</v>
      </c>
      <c r="I163" s="126">
        <f t="shared" si="25"/>
        <v>0</v>
      </c>
      <c r="J163" s="126">
        <f t="shared" si="25"/>
        <v>0</v>
      </c>
      <c r="K163" s="126">
        <f t="shared" si="25"/>
        <v>0</v>
      </c>
      <c r="L163" s="127">
        <f t="shared" si="25"/>
        <v>0</v>
      </c>
    </row>
    <row r="164" spans="3:12" ht="15.6" hidden="1">
      <c r="C164" s="39" t="str">
        <f t="shared" si="21"/>
        <v>H</v>
      </c>
      <c r="D164" s="45" t="str">
        <f>Parameter!E$49</f>
        <v>X3 Pro</v>
      </c>
      <c r="E164" s="125">
        <f t="shared" si="25"/>
        <v>0</v>
      </c>
      <c r="F164" s="126">
        <f t="shared" si="25"/>
        <v>0</v>
      </c>
      <c r="G164" s="126">
        <f t="shared" si="25"/>
        <v>0</v>
      </c>
      <c r="H164" s="126">
        <f t="shared" si="25"/>
        <v>0</v>
      </c>
      <c r="I164" s="126">
        <f t="shared" si="25"/>
        <v>0</v>
      </c>
      <c r="J164" s="126">
        <f t="shared" si="25"/>
        <v>0</v>
      </c>
      <c r="K164" s="126">
        <f t="shared" si="25"/>
        <v>0</v>
      </c>
      <c r="L164" s="127">
        <f t="shared" si="25"/>
        <v>0</v>
      </c>
    </row>
    <row r="165" spans="3:12" ht="15.6" hidden="1">
      <c r="C165" s="39" t="str">
        <f t="shared" si="21"/>
        <v>H</v>
      </c>
      <c r="D165" s="45" t="str">
        <f>Parameter!E$50</f>
        <v>Z100</v>
      </c>
      <c r="E165" s="125">
        <f t="shared" si="25"/>
        <v>0</v>
      </c>
      <c r="F165" s="126">
        <f t="shared" si="25"/>
        <v>0</v>
      </c>
      <c r="G165" s="126">
        <f t="shared" si="25"/>
        <v>0</v>
      </c>
      <c r="H165" s="126">
        <f t="shared" si="25"/>
        <v>0</v>
      </c>
      <c r="I165" s="126">
        <f t="shared" si="25"/>
        <v>0</v>
      </c>
      <c r="J165" s="126">
        <f t="shared" si="25"/>
        <v>0</v>
      </c>
      <c r="K165" s="126">
        <f t="shared" si="25"/>
        <v>0</v>
      </c>
      <c r="L165" s="127">
        <f t="shared" si="25"/>
        <v>0</v>
      </c>
    </row>
    <row r="166" spans="3:12" ht="15.6" hidden="1">
      <c r="C166" s="39" t="str">
        <f t="shared" si="21"/>
        <v>H</v>
      </c>
      <c r="D166" s="45">
        <f>Parameter!E$51</f>
        <v>0</v>
      </c>
      <c r="E166" s="125">
        <f t="shared" si="25"/>
        <v>0</v>
      </c>
      <c r="F166" s="126">
        <f t="shared" si="25"/>
        <v>0</v>
      </c>
      <c r="G166" s="126">
        <f t="shared" si="25"/>
        <v>0</v>
      </c>
      <c r="H166" s="126">
        <f t="shared" si="25"/>
        <v>0</v>
      </c>
      <c r="I166" s="126">
        <f t="shared" si="25"/>
        <v>0</v>
      </c>
      <c r="J166" s="126">
        <f t="shared" si="25"/>
        <v>0</v>
      </c>
      <c r="K166" s="126">
        <f t="shared" si="25"/>
        <v>0</v>
      </c>
      <c r="L166" s="127">
        <f t="shared" si="25"/>
        <v>0</v>
      </c>
    </row>
    <row r="167" spans="3:12" ht="15.6" hidden="1">
      <c r="C167" s="39" t="str">
        <f t="shared" si="21"/>
        <v>H</v>
      </c>
      <c r="D167" s="45">
        <f>Parameter!E$52</f>
        <v>0</v>
      </c>
      <c r="E167" s="125">
        <f t="shared" si="25"/>
        <v>0</v>
      </c>
      <c r="F167" s="126">
        <f t="shared" si="25"/>
        <v>0</v>
      </c>
      <c r="G167" s="126">
        <f t="shared" si="25"/>
        <v>0</v>
      </c>
      <c r="H167" s="126">
        <f t="shared" si="25"/>
        <v>0</v>
      </c>
      <c r="I167" s="126">
        <f t="shared" si="25"/>
        <v>0</v>
      </c>
      <c r="J167" s="126">
        <f t="shared" si="25"/>
        <v>0</v>
      </c>
      <c r="K167" s="126">
        <f t="shared" si="25"/>
        <v>0</v>
      </c>
      <c r="L167" s="127">
        <f t="shared" si="25"/>
        <v>0</v>
      </c>
    </row>
    <row r="168" spans="3:12" ht="15.6" hidden="1">
      <c r="C168" s="39" t="str">
        <f t="shared" si="21"/>
        <v>H</v>
      </c>
      <c r="D168" s="45">
        <f>Parameter!E$53</f>
        <v>0</v>
      </c>
      <c r="E168" s="125">
        <f t="shared" si="25"/>
        <v>0</v>
      </c>
      <c r="F168" s="126">
        <f t="shared" si="25"/>
        <v>0</v>
      </c>
      <c r="G168" s="126">
        <f t="shared" si="25"/>
        <v>0</v>
      </c>
      <c r="H168" s="126">
        <f t="shared" si="25"/>
        <v>0</v>
      </c>
      <c r="I168" s="126">
        <f t="shared" si="25"/>
        <v>0</v>
      </c>
      <c r="J168" s="126">
        <f t="shared" si="25"/>
        <v>0</v>
      </c>
      <c r="K168" s="126">
        <f t="shared" si="25"/>
        <v>0</v>
      </c>
      <c r="L168" s="127">
        <f t="shared" si="25"/>
        <v>0</v>
      </c>
    </row>
    <row r="169" spans="3:12" ht="15.6" hidden="1">
      <c r="C169" s="39" t="str">
        <f t="shared" si="21"/>
        <v>H</v>
      </c>
      <c r="D169" s="45">
        <f>Parameter!E$54</f>
        <v>0</v>
      </c>
      <c r="E169" s="125">
        <f t="shared" si="25"/>
        <v>0</v>
      </c>
      <c r="F169" s="126">
        <f t="shared" si="25"/>
        <v>0</v>
      </c>
      <c r="G169" s="126">
        <f t="shared" si="25"/>
        <v>0</v>
      </c>
      <c r="H169" s="126">
        <f t="shared" si="25"/>
        <v>0</v>
      </c>
      <c r="I169" s="126">
        <f t="shared" si="25"/>
        <v>0</v>
      </c>
      <c r="J169" s="126">
        <f t="shared" si="25"/>
        <v>0</v>
      </c>
      <c r="K169" s="126">
        <f t="shared" si="25"/>
        <v>0</v>
      </c>
      <c r="L169" s="127">
        <f t="shared" si="25"/>
        <v>0</v>
      </c>
    </row>
    <row r="170" spans="3:12" ht="15.6" hidden="1">
      <c r="C170" s="39" t="str">
        <f t="shared" si="21"/>
        <v>H</v>
      </c>
      <c r="D170" s="45">
        <f>Parameter!E$55</f>
        <v>0</v>
      </c>
      <c r="E170" s="125">
        <f t="shared" si="25"/>
        <v>0</v>
      </c>
      <c r="F170" s="126">
        <f t="shared" si="25"/>
        <v>0</v>
      </c>
      <c r="G170" s="126">
        <f t="shared" si="25"/>
        <v>0</v>
      </c>
      <c r="H170" s="126">
        <f t="shared" si="25"/>
        <v>0</v>
      </c>
      <c r="I170" s="126">
        <f t="shared" si="25"/>
        <v>0</v>
      </c>
      <c r="J170" s="126">
        <f t="shared" si="25"/>
        <v>0</v>
      </c>
      <c r="K170" s="126">
        <f t="shared" si="25"/>
        <v>0</v>
      </c>
      <c r="L170" s="127">
        <f t="shared" si="25"/>
        <v>0</v>
      </c>
    </row>
    <row r="171" spans="3:12" ht="15.6" hidden="1">
      <c r="C171" s="39" t="str">
        <f t="shared" si="21"/>
        <v>H</v>
      </c>
      <c r="D171" s="45">
        <f>Parameter!E$56</f>
        <v>0</v>
      </c>
      <c r="E171" s="125">
        <f t="shared" si="25"/>
        <v>0</v>
      </c>
      <c r="F171" s="126">
        <f t="shared" si="25"/>
        <v>0</v>
      </c>
      <c r="G171" s="126">
        <f t="shared" si="25"/>
        <v>0</v>
      </c>
      <c r="H171" s="126">
        <f t="shared" si="25"/>
        <v>0</v>
      </c>
      <c r="I171" s="126">
        <f t="shared" si="25"/>
        <v>0</v>
      </c>
      <c r="J171" s="126">
        <f t="shared" si="25"/>
        <v>0</v>
      </c>
      <c r="K171" s="126">
        <f t="shared" si="25"/>
        <v>0</v>
      </c>
      <c r="L171" s="127">
        <f t="shared" si="25"/>
        <v>0</v>
      </c>
    </row>
    <row r="172" spans="3:12" ht="16.2" hidden="1" thickBot="1">
      <c r="C172" s="39" t="str">
        <f t="shared" si="21"/>
        <v>H</v>
      </c>
      <c r="D172" s="53" t="str">
        <f>Parameter!E$57</f>
        <v>ALL</v>
      </c>
      <c r="E172" s="128">
        <f t="shared" si="25"/>
        <v>0</v>
      </c>
      <c r="F172" s="129">
        <f t="shared" si="25"/>
        <v>0</v>
      </c>
      <c r="G172" s="129">
        <f t="shared" si="25"/>
        <v>0</v>
      </c>
      <c r="H172" s="129">
        <f t="shared" si="25"/>
        <v>0</v>
      </c>
      <c r="I172" s="129">
        <f t="shared" si="25"/>
        <v>0</v>
      </c>
      <c r="J172" s="129">
        <f t="shared" si="25"/>
        <v>0</v>
      </c>
      <c r="K172" s="129">
        <f t="shared" si="25"/>
        <v>0</v>
      </c>
      <c r="L172" s="130">
        <f t="shared" si="25"/>
        <v>0</v>
      </c>
    </row>
    <row r="173" spans="3:12" ht="15.6">
      <c r="C173" s="39" t="str">
        <f t="shared" si="21"/>
        <v/>
      </c>
      <c r="D173" s="54" t="s">
        <v>87</v>
      </c>
      <c r="E173" s="131">
        <f>SUM(E123:E172)</f>
        <v>1.2652E-2</v>
      </c>
      <c r="F173" s="132">
        <f t="shared" ref="F173:L173" si="26">SUM(F123:F172)</f>
        <v>0</v>
      </c>
      <c r="G173" s="132">
        <f t="shared" si="26"/>
        <v>0</v>
      </c>
      <c r="H173" s="132">
        <f t="shared" si="26"/>
        <v>0</v>
      </c>
      <c r="I173" s="132">
        <f t="shared" si="26"/>
        <v>0</v>
      </c>
      <c r="J173" s="132">
        <f t="shared" si="26"/>
        <v>0</v>
      </c>
      <c r="K173" s="132">
        <f t="shared" si="26"/>
        <v>0</v>
      </c>
      <c r="L173" s="133">
        <f t="shared" si="26"/>
        <v>0</v>
      </c>
    </row>
    <row r="174" spans="3:12" ht="16.2" hidden="1" thickBot="1">
      <c r="C174" s="39" t="str">
        <f t="shared" si="21"/>
        <v>H</v>
      </c>
      <c r="D174" s="46" t="s">
        <v>88</v>
      </c>
      <c r="E174" s="47"/>
      <c r="F174" s="50" t="str">
        <f t="shared" ref="F174:G174" si="27">IF(E173*F173=0, "", F173/E173-1)</f>
        <v/>
      </c>
      <c r="G174" s="50" t="str">
        <f t="shared" si="27"/>
        <v/>
      </c>
      <c r="H174" s="50" t="str">
        <f>IF(G173*H173=0, "", H173/G173-1)</f>
        <v/>
      </c>
      <c r="I174" s="50" t="str">
        <f t="shared" ref="I174:L174" si="28">IF(H173*I173=0, "", I173/H173-1)</f>
        <v/>
      </c>
      <c r="J174" s="50" t="str">
        <f t="shared" si="28"/>
        <v/>
      </c>
      <c r="K174" s="50" t="str">
        <f t="shared" si="28"/>
        <v/>
      </c>
      <c r="L174" s="51" t="str">
        <f t="shared" si="28"/>
        <v/>
      </c>
    </row>
    <row r="175" spans="3:12">
      <c r="C175"/>
    </row>
    <row r="176" spans="3:12" ht="14.4" thickBot="1">
      <c r="C176"/>
    </row>
    <row r="177" spans="3:12" ht="15" thickBot="1">
      <c r="C177"/>
      <c r="D177" s="52" t="str">
        <f>Parameter!I11</f>
        <v>1x MicroLED</v>
      </c>
    </row>
    <row r="178" spans="3:12" ht="16.2" thickBot="1">
      <c r="C178"/>
      <c r="D178" s="40" t="s">
        <v>85</v>
      </c>
      <c r="E178" s="41" t="str">
        <f t="shared" ref="E178:L178" si="29">E10</f>
        <v>2022</v>
      </c>
      <c r="F178" s="42" t="str">
        <f t="shared" si="29"/>
        <v>2023</v>
      </c>
      <c r="G178" s="42" t="str">
        <f t="shared" si="29"/>
        <v>2024</v>
      </c>
      <c r="H178" s="42">
        <f t="shared" si="29"/>
        <v>2025</v>
      </c>
      <c r="I178" s="42" t="str">
        <f t="shared" si="29"/>
        <v>2026</v>
      </c>
      <c r="J178" s="42" t="str">
        <f t="shared" si="29"/>
        <v>2027</v>
      </c>
      <c r="K178" s="42" t="str">
        <f t="shared" si="29"/>
        <v>2028</v>
      </c>
      <c r="L178" s="43" t="str">
        <f t="shared" si="29"/>
        <v>2029</v>
      </c>
    </row>
    <row r="179" spans="3:12" ht="15.6" hidden="1">
      <c r="C179" s="39" t="str">
        <f>IF(SUM(E179:L179)=0, "H", "")</f>
        <v>H</v>
      </c>
      <c r="D179" s="44" t="str">
        <f>Parameter!E$8</f>
        <v>Air</v>
      </c>
      <c r="E179" s="125">
        <f t="shared" ref="E179:L188" si="30">SUMIF(ARVR_Y_PC_PR, "AR_"&amp;E$178&amp;"_"&amp;$D$177&amp;"_"&amp;$D179, PanelQ)</f>
        <v>0</v>
      </c>
      <c r="F179" s="126">
        <f t="shared" si="30"/>
        <v>0</v>
      </c>
      <c r="G179" s="126">
        <f t="shared" si="30"/>
        <v>0</v>
      </c>
      <c r="H179" s="126">
        <f t="shared" si="30"/>
        <v>0</v>
      </c>
      <c r="I179" s="126">
        <f t="shared" si="30"/>
        <v>0</v>
      </c>
      <c r="J179" s="126">
        <f t="shared" si="30"/>
        <v>0</v>
      </c>
      <c r="K179" s="126">
        <f t="shared" si="30"/>
        <v>0</v>
      </c>
      <c r="L179" s="127">
        <f t="shared" si="30"/>
        <v>0</v>
      </c>
    </row>
    <row r="180" spans="3:12" ht="15.6" hidden="1">
      <c r="C180" s="39" t="str">
        <f t="shared" ref="C180:C230" si="31">IF(SUM(E180:L180)=0, "H", "")</f>
        <v>H</v>
      </c>
      <c r="D180" s="44" t="str">
        <f>Parameter!E$9</f>
        <v>Air 2</v>
      </c>
      <c r="E180" s="125">
        <f t="shared" si="30"/>
        <v>0</v>
      </c>
      <c r="F180" s="126">
        <f t="shared" si="30"/>
        <v>0</v>
      </c>
      <c r="G180" s="126">
        <f t="shared" si="30"/>
        <v>0</v>
      </c>
      <c r="H180" s="126">
        <f t="shared" si="30"/>
        <v>0</v>
      </c>
      <c r="I180" s="126">
        <f t="shared" si="30"/>
        <v>0</v>
      </c>
      <c r="J180" s="126">
        <f t="shared" si="30"/>
        <v>0</v>
      </c>
      <c r="K180" s="126">
        <f t="shared" si="30"/>
        <v>0</v>
      </c>
      <c r="L180" s="127">
        <f t="shared" si="30"/>
        <v>0</v>
      </c>
    </row>
    <row r="181" spans="3:12" ht="15.6" hidden="1">
      <c r="C181" s="39" t="str">
        <f t="shared" si="31"/>
        <v>H</v>
      </c>
      <c r="D181" s="45" t="str">
        <f>Parameter!E$10</f>
        <v>Air 3</v>
      </c>
      <c r="E181" s="125">
        <f t="shared" si="30"/>
        <v>0</v>
      </c>
      <c r="F181" s="126">
        <f t="shared" si="30"/>
        <v>0</v>
      </c>
      <c r="G181" s="126">
        <f t="shared" si="30"/>
        <v>0</v>
      </c>
      <c r="H181" s="126">
        <f t="shared" si="30"/>
        <v>0</v>
      </c>
      <c r="I181" s="126">
        <f t="shared" si="30"/>
        <v>0</v>
      </c>
      <c r="J181" s="126">
        <f t="shared" si="30"/>
        <v>0</v>
      </c>
      <c r="K181" s="126">
        <f t="shared" si="30"/>
        <v>0</v>
      </c>
      <c r="L181" s="127">
        <f t="shared" si="30"/>
        <v>0</v>
      </c>
    </row>
    <row r="182" spans="3:12" ht="15.6" hidden="1">
      <c r="C182" s="39" t="str">
        <f t="shared" si="31"/>
        <v>H</v>
      </c>
      <c r="D182" s="45" t="str">
        <f>Parameter!E$11</f>
        <v>Air 3s Pro</v>
      </c>
      <c r="E182" s="125">
        <f t="shared" si="30"/>
        <v>0</v>
      </c>
      <c r="F182" s="126">
        <f t="shared" si="30"/>
        <v>0</v>
      </c>
      <c r="G182" s="126">
        <f t="shared" si="30"/>
        <v>0</v>
      </c>
      <c r="H182" s="126">
        <f t="shared" si="30"/>
        <v>0</v>
      </c>
      <c r="I182" s="126">
        <f t="shared" si="30"/>
        <v>0</v>
      </c>
      <c r="J182" s="126">
        <f t="shared" si="30"/>
        <v>0</v>
      </c>
      <c r="K182" s="126">
        <f t="shared" si="30"/>
        <v>0</v>
      </c>
      <c r="L182" s="127">
        <f t="shared" si="30"/>
        <v>0</v>
      </c>
    </row>
    <row r="183" spans="3:12" ht="15.6">
      <c r="C183" s="39" t="str">
        <f t="shared" si="31"/>
        <v/>
      </c>
      <c r="D183" s="45" t="str">
        <f>Parameter!E$12</f>
        <v>Air Glass</v>
      </c>
      <c r="E183" s="125">
        <f t="shared" si="30"/>
        <v>2.7519999999999997E-3</v>
      </c>
      <c r="F183" s="126">
        <f t="shared" si="30"/>
        <v>0</v>
      </c>
      <c r="G183" s="126">
        <f t="shared" si="30"/>
        <v>0</v>
      </c>
      <c r="H183" s="126">
        <f t="shared" si="30"/>
        <v>0</v>
      </c>
      <c r="I183" s="126">
        <f t="shared" si="30"/>
        <v>0</v>
      </c>
      <c r="J183" s="126">
        <f t="shared" si="30"/>
        <v>0</v>
      </c>
      <c r="K183" s="126">
        <f t="shared" si="30"/>
        <v>0</v>
      </c>
      <c r="L183" s="127">
        <f t="shared" si="30"/>
        <v>0</v>
      </c>
    </row>
    <row r="184" spans="3:12" ht="15.6" hidden="1">
      <c r="C184" s="39" t="str">
        <f t="shared" si="31"/>
        <v>H</v>
      </c>
      <c r="D184" s="45" t="str">
        <f>Parameter!E$13</f>
        <v>Binocular MicroLED</v>
      </c>
      <c r="E184" s="125">
        <f t="shared" si="30"/>
        <v>0</v>
      </c>
      <c r="F184" s="126">
        <f t="shared" si="30"/>
        <v>0</v>
      </c>
      <c r="G184" s="126">
        <f t="shared" si="30"/>
        <v>0</v>
      </c>
      <c r="H184" s="126">
        <f t="shared" si="30"/>
        <v>0</v>
      </c>
      <c r="I184" s="126">
        <f t="shared" si="30"/>
        <v>0</v>
      </c>
      <c r="J184" s="126">
        <f t="shared" si="30"/>
        <v>0</v>
      </c>
      <c r="K184" s="126">
        <f t="shared" si="30"/>
        <v>0</v>
      </c>
      <c r="L184" s="127">
        <f t="shared" si="30"/>
        <v>0</v>
      </c>
    </row>
    <row r="185" spans="3:12" ht="15.6" hidden="1">
      <c r="C185" s="39" t="str">
        <f t="shared" si="31"/>
        <v>H</v>
      </c>
      <c r="D185" s="45" t="str">
        <f>Parameter!E$14</f>
        <v>Blade</v>
      </c>
      <c r="E185" s="125">
        <f t="shared" si="30"/>
        <v>0</v>
      </c>
      <c r="F185" s="126">
        <f t="shared" si="30"/>
        <v>0</v>
      </c>
      <c r="G185" s="126">
        <f t="shared" si="30"/>
        <v>0</v>
      </c>
      <c r="H185" s="126">
        <f t="shared" si="30"/>
        <v>0</v>
      </c>
      <c r="I185" s="126">
        <f t="shared" si="30"/>
        <v>0</v>
      </c>
      <c r="J185" s="126">
        <f t="shared" si="30"/>
        <v>0</v>
      </c>
      <c r="K185" s="126">
        <f t="shared" si="30"/>
        <v>0</v>
      </c>
      <c r="L185" s="127">
        <f t="shared" si="30"/>
        <v>0</v>
      </c>
    </row>
    <row r="186" spans="3:12" ht="15.6" hidden="1">
      <c r="C186" s="39" t="str">
        <f t="shared" si="31"/>
        <v>H</v>
      </c>
      <c r="D186" s="45" t="str">
        <f>Parameter!E$15</f>
        <v>DLP glasses</v>
      </c>
      <c r="E186" s="125">
        <f t="shared" si="30"/>
        <v>0</v>
      </c>
      <c r="F186" s="126">
        <f t="shared" si="30"/>
        <v>0</v>
      </c>
      <c r="G186" s="126">
        <f t="shared" si="30"/>
        <v>0</v>
      </c>
      <c r="H186" s="126">
        <f t="shared" si="30"/>
        <v>0</v>
      </c>
      <c r="I186" s="126">
        <f t="shared" si="30"/>
        <v>0</v>
      </c>
      <c r="J186" s="126">
        <f t="shared" si="30"/>
        <v>0</v>
      </c>
      <c r="K186" s="126">
        <f t="shared" si="30"/>
        <v>0</v>
      </c>
      <c r="L186" s="127">
        <f t="shared" si="30"/>
        <v>0</v>
      </c>
    </row>
    <row r="187" spans="3:12" ht="15.6" hidden="1">
      <c r="C187" s="39" t="str">
        <f t="shared" si="31"/>
        <v>H</v>
      </c>
      <c r="D187" s="45" t="str">
        <f>Parameter!E$16</f>
        <v>G1</v>
      </c>
      <c r="E187" s="125">
        <f t="shared" si="30"/>
        <v>0</v>
      </c>
      <c r="F187" s="126">
        <f t="shared" si="30"/>
        <v>0</v>
      </c>
      <c r="G187" s="126">
        <f t="shared" si="30"/>
        <v>0</v>
      </c>
      <c r="H187" s="126">
        <f t="shared" si="30"/>
        <v>0</v>
      </c>
      <c r="I187" s="126">
        <f t="shared" si="30"/>
        <v>0</v>
      </c>
      <c r="J187" s="126">
        <f t="shared" si="30"/>
        <v>0</v>
      </c>
      <c r="K187" s="126">
        <f t="shared" si="30"/>
        <v>0</v>
      </c>
      <c r="L187" s="127">
        <f t="shared" si="30"/>
        <v>0</v>
      </c>
    </row>
    <row r="188" spans="3:12" ht="15.6" hidden="1">
      <c r="C188" s="39" t="str">
        <f t="shared" si="31"/>
        <v>H</v>
      </c>
      <c r="D188" s="45" t="str">
        <f>Parameter!E$17</f>
        <v>Glass</v>
      </c>
      <c r="E188" s="125">
        <f t="shared" si="30"/>
        <v>0</v>
      </c>
      <c r="F188" s="126">
        <f t="shared" si="30"/>
        <v>0</v>
      </c>
      <c r="G188" s="126">
        <f t="shared" si="30"/>
        <v>0</v>
      </c>
      <c r="H188" s="126">
        <f t="shared" si="30"/>
        <v>0</v>
      </c>
      <c r="I188" s="126">
        <f t="shared" si="30"/>
        <v>0</v>
      </c>
      <c r="J188" s="126">
        <f t="shared" si="30"/>
        <v>0</v>
      </c>
      <c r="K188" s="126">
        <f t="shared" si="30"/>
        <v>0</v>
      </c>
      <c r="L188" s="127">
        <f t="shared" si="30"/>
        <v>0</v>
      </c>
    </row>
    <row r="189" spans="3:12" ht="15.6">
      <c r="C189" s="39" t="str">
        <f t="shared" si="31"/>
        <v/>
      </c>
      <c r="D189" s="45" t="str">
        <f>Parameter!E$18</f>
        <v>Glasses</v>
      </c>
      <c r="E189" s="125">
        <f t="shared" ref="E189:L198" si="32">SUMIF(ARVR_Y_PC_PR, "AR_"&amp;E$178&amp;"_"&amp;$D$177&amp;"_"&amp;$D189, PanelQ)</f>
        <v>0</v>
      </c>
      <c r="F189" s="126">
        <f t="shared" si="32"/>
        <v>0</v>
      </c>
      <c r="G189" s="126">
        <f t="shared" si="32"/>
        <v>1.6999999999999999E-3</v>
      </c>
      <c r="H189" s="126">
        <f t="shared" si="32"/>
        <v>7.8E-2</v>
      </c>
      <c r="I189" s="126">
        <f t="shared" si="32"/>
        <v>0</v>
      </c>
      <c r="J189" s="126">
        <f t="shared" si="32"/>
        <v>0</v>
      </c>
      <c r="K189" s="126">
        <f t="shared" si="32"/>
        <v>0</v>
      </c>
      <c r="L189" s="127">
        <f t="shared" si="32"/>
        <v>0</v>
      </c>
    </row>
    <row r="190" spans="3:12" ht="15.6">
      <c r="C190" s="39" t="str">
        <f t="shared" si="31"/>
        <v/>
      </c>
      <c r="D190" s="45" t="str">
        <f>Parameter!E$19</f>
        <v>Go</v>
      </c>
      <c r="E190" s="125">
        <f t="shared" si="32"/>
        <v>0</v>
      </c>
      <c r="F190" s="126">
        <f t="shared" si="32"/>
        <v>2.9700000000000004E-2</v>
      </c>
      <c r="G190" s="126">
        <f t="shared" si="32"/>
        <v>3.4100000000000003E-3</v>
      </c>
      <c r="H190" s="126">
        <f t="shared" si="32"/>
        <v>0</v>
      </c>
      <c r="I190" s="126">
        <f t="shared" si="32"/>
        <v>0</v>
      </c>
      <c r="J190" s="126">
        <f t="shared" si="32"/>
        <v>0</v>
      </c>
      <c r="K190" s="126">
        <f t="shared" si="32"/>
        <v>0</v>
      </c>
      <c r="L190" s="127">
        <f t="shared" si="32"/>
        <v>0</v>
      </c>
    </row>
    <row r="191" spans="3:12" ht="15.6">
      <c r="C191" s="39" t="str">
        <f t="shared" si="31"/>
        <v/>
      </c>
      <c r="D191" s="45" t="str">
        <f>Parameter!E$20</f>
        <v>Go 2</v>
      </c>
      <c r="E191" s="125">
        <f t="shared" si="32"/>
        <v>0</v>
      </c>
      <c r="F191" s="126">
        <f t="shared" si="32"/>
        <v>0</v>
      </c>
      <c r="G191" s="126">
        <f t="shared" si="32"/>
        <v>1.023E-2</v>
      </c>
      <c r="H191" s="126">
        <f t="shared" si="32"/>
        <v>3.0000000000000001E-3</v>
      </c>
      <c r="I191" s="126">
        <f t="shared" si="32"/>
        <v>0</v>
      </c>
      <c r="J191" s="126">
        <f t="shared" si="32"/>
        <v>0</v>
      </c>
      <c r="K191" s="126">
        <f t="shared" si="32"/>
        <v>0</v>
      </c>
      <c r="L191" s="127">
        <f t="shared" si="32"/>
        <v>0</v>
      </c>
    </row>
    <row r="192" spans="3:12" ht="15.6" hidden="1">
      <c r="C192" s="39" t="str">
        <f t="shared" si="31"/>
        <v>H</v>
      </c>
      <c r="D192" s="45" t="str">
        <f>Parameter!E$21</f>
        <v>HoloLens 2</v>
      </c>
      <c r="E192" s="125">
        <f t="shared" si="32"/>
        <v>0</v>
      </c>
      <c r="F192" s="126">
        <f t="shared" si="32"/>
        <v>0</v>
      </c>
      <c r="G192" s="126">
        <f t="shared" si="32"/>
        <v>0</v>
      </c>
      <c r="H192" s="126">
        <f t="shared" si="32"/>
        <v>0</v>
      </c>
      <c r="I192" s="126">
        <f t="shared" si="32"/>
        <v>0</v>
      </c>
      <c r="J192" s="126">
        <f t="shared" si="32"/>
        <v>0</v>
      </c>
      <c r="K192" s="126">
        <f t="shared" si="32"/>
        <v>0</v>
      </c>
      <c r="L192" s="127">
        <f t="shared" si="32"/>
        <v>0</v>
      </c>
    </row>
    <row r="193" spans="3:12" ht="15.6" hidden="1">
      <c r="C193" s="39" t="str">
        <f t="shared" si="31"/>
        <v>H</v>
      </c>
      <c r="D193" s="45" t="str">
        <f>Parameter!E$22</f>
        <v>INAIR 2</v>
      </c>
      <c r="E193" s="125">
        <f t="shared" si="32"/>
        <v>0</v>
      </c>
      <c r="F193" s="126">
        <f t="shared" si="32"/>
        <v>0</v>
      </c>
      <c r="G193" s="126">
        <f t="shared" si="32"/>
        <v>0</v>
      </c>
      <c r="H193" s="126">
        <f t="shared" si="32"/>
        <v>0</v>
      </c>
      <c r="I193" s="126">
        <f t="shared" si="32"/>
        <v>0</v>
      </c>
      <c r="J193" s="126">
        <f t="shared" si="32"/>
        <v>0</v>
      </c>
      <c r="K193" s="126">
        <f t="shared" si="32"/>
        <v>0</v>
      </c>
      <c r="L193" s="127">
        <f t="shared" si="32"/>
        <v>0</v>
      </c>
    </row>
    <row r="194" spans="3:12" ht="15.6" hidden="1">
      <c r="C194" s="39" t="str">
        <f t="shared" si="31"/>
        <v>H</v>
      </c>
      <c r="D194" s="45" t="str">
        <f>Parameter!E$23</f>
        <v>INAIR 2 Pro</v>
      </c>
      <c r="E194" s="125">
        <f t="shared" si="32"/>
        <v>0</v>
      </c>
      <c r="F194" s="126">
        <f t="shared" si="32"/>
        <v>0</v>
      </c>
      <c r="G194" s="126">
        <f t="shared" si="32"/>
        <v>0</v>
      </c>
      <c r="H194" s="126">
        <f t="shared" si="32"/>
        <v>0</v>
      </c>
      <c r="I194" s="126">
        <f t="shared" si="32"/>
        <v>0</v>
      </c>
      <c r="J194" s="126">
        <f t="shared" si="32"/>
        <v>0</v>
      </c>
      <c r="K194" s="126">
        <f t="shared" si="32"/>
        <v>0</v>
      </c>
      <c r="L194" s="127">
        <f t="shared" si="32"/>
        <v>0</v>
      </c>
    </row>
    <row r="195" spans="3:12" ht="15.6" hidden="1">
      <c r="C195" s="39" t="str">
        <f t="shared" si="31"/>
        <v>H</v>
      </c>
      <c r="D195" s="45" t="str">
        <f>Parameter!E$24</f>
        <v>LBS glasses</v>
      </c>
      <c r="E195" s="125">
        <f t="shared" si="32"/>
        <v>0</v>
      </c>
      <c r="F195" s="126">
        <f t="shared" si="32"/>
        <v>0</v>
      </c>
      <c r="G195" s="126">
        <f t="shared" si="32"/>
        <v>0</v>
      </c>
      <c r="H195" s="126">
        <f t="shared" si="32"/>
        <v>0</v>
      </c>
      <c r="I195" s="126">
        <f t="shared" si="32"/>
        <v>0</v>
      </c>
      <c r="J195" s="126">
        <f t="shared" si="32"/>
        <v>0</v>
      </c>
      <c r="K195" s="126">
        <f t="shared" si="32"/>
        <v>0</v>
      </c>
      <c r="L195" s="127">
        <f t="shared" si="32"/>
        <v>0</v>
      </c>
    </row>
    <row r="196" spans="3:12" ht="15.6" hidden="1">
      <c r="C196" s="39" t="str">
        <f t="shared" si="31"/>
        <v>H</v>
      </c>
      <c r="D196" s="45" t="str">
        <f>Parameter!E$25</f>
        <v>LCoS glasses</v>
      </c>
      <c r="E196" s="125">
        <f t="shared" si="32"/>
        <v>0</v>
      </c>
      <c r="F196" s="126">
        <f t="shared" si="32"/>
        <v>0</v>
      </c>
      <c r="G196" s="126">
        <f t="shared" si="32"/>
        <v>0</v>
      </c>
      <c r="H196" s="126">
        <f t="shared" si="32"/>
        <v>0</v>
      </c>
      <c r="I196" s="126">
        <f t="shared" si="32"/>
        <v>0</v>
      </c>
      <c r="J196" s="126">
        <f t="shared" si="32"/>
        <v>0</v>
      </c>
      <c r="K196" s="126">
        <f t="shared" si="32"/>
        <v>0</v>
      </c>
      <c r="L196" s="127">
        <f t="shared" si="32"/>
        <v>0</v>
      </c>
    </row>
    <row r="197" spans="3:12" ht="15.6" hidden="1">
      <c r="C197" s="39" t="str">
        <f t="shared" si="31"/>
        <v>H</v>
      </c>
      <c r="D197" s="45" t="str">
        <f>Parameter!E$26</f>
        <v>Lenovo Legion Glasses 2</v>
      </c>
      <c r="E197" s="125">
        <f t="shared" si="32"/>
        <v>0</v>
      </c>
      <c r="F197" s="126">
        <f t="shared" si="32"/>
        <v>0</v>
      </c>
      <c r="G197" s="126">
        <f t="shared" si="32"/>
        <v>0</v>
      </c>
      <c r="H197" s="126">
        <f t="shared" si="32"/>
        <v>0</v>
      </c>
      <c r="I197" s="126">
        <f t="shared" si="32"/>
        <v>0</v>
      </c>
      <c r="J197" s="126">
        <f t="shared" si="32"/>
        <v>0</v>
      </c>
      <c r="K197" s="126">
        <f t="shared" si="32"/>
        <v>0</v>
      </c>
      <c r="L197" s="127">
        <f t="shared" si="32"/>
        <v>0</v>
      </c>
    </row>
    <row r="198" spans="3:12" ht="15.6" hidden="1">
      <c r="C198" s="39" t="str">
        <f t="shared" si="31"/>
        <v>H</v>
      </c>
      <c r="D198" s="45" t="str">
        <f>Parameter!E$27</f>
        <v>Light</v>
      </c>
      <c r="E198" s="125">
        <f t="shared" si="32"/>
        <v>0</v>
      </c>
      <c r="F198" s="126">
        <f t="shared" si="32"/>
        <v>0</v>
      </c>
      <c r="G198" s="126">
        <f t="shared" si="32"/>
        <v>0</v>
      </c>
      <c r="H198" s="126">
        <f t="shared" si="32"/>
        <v>0</v>
      </c>
      <c r="I198" s="126">
        <f t="shared" si="32"/>
        <v>0</v>
      </c>
      <c r="J198" s="126">
        <f t="shared" si="32"/>
        <v>0</v>
      </c>
      <c r="K198" s="126">
        <f t="shared" si="32"/>
        <v>0</v>
      </c>
      <c r="L198" s="127">
        <f t="shared" si="32"/>
        <v>0</v>
      </c>
    </row>
    <row r="199" spans="3:12" ht="15.6" hidden="1">
      <c r="C199" s="39" t="str">
        <f t="shared" si="31"/>
        <v>H</v>
      </c>
      <c r="D199" s="45" t="str">
        <f>Parameter!E$28</f>
        <v>Max</v>
      </c>
      <c r="E199" s="125">
        <f t="shared" ref="E199:L208" si="33">SUMIF(ARVR_Y_PC_PR, "AR_"&amp;E$178&amp;"_"&amp;$D$177&amp;"_"&amp;$D199, PanelQ)</f>
        <v>0</v>
      </c>
      <c r="F199" s="126">
        <f t="shared" si="33"/>
        <v>0</v>
      </c>
      <c r="G199" s="126">
        <f t="shared" si="33"/>
        <v>0</v>
      </c>
      <c r="H199" s="126">
        <f t="shared" si="33"/>
        <v>0</v>
      </c>
      <c r="I199" s="126">
        <f t="shared" si="33"/>
        <v>0</v>
      </c>
      <c r="J199" s="126">
        <f t="shared" si="33"/>
        <v>0</v>
      </c>
      <c r="K199" s="126">
        <f t="shared" si="33"/>
        <v>0</v>
      </c>
      <c r="L199" s="127">
        <f t="shared" si="33"/>
        <v>0</v>
      </c>
    </row>
    <row r="200" spans="3:12" ht="15.6" hidden="1">
      <c r="C200" s="39" t="str">
        <f t="shared" si="31"/>
        <v>H</v>
      </c>
      <c r="D200" s="45" t="str">
        <f>Parameter!E$29</f>
        <v>Max 2</v>
      </c>
      <c r="E200" s="125">
        <f t="shared" si="33"/>
        <v>0</v>
      </c>
      <c r="F200" s="126">
        <f t="shared" si="33"/>
        <v>0</v>
      </c>
      <c r="G200" s="126">
        <f t="shared" si="33"/>
        <v>0</v>
      </c>
      <c r="H200" s="126">
        <f t="shared" si="33"/>
        <v>0</v>
      </c>
      <c r="I200" s="126">
        <f t="shared" si="33"/>
        <v>0</v>
      </c>
      <c r="J200" s="126">
        <f t="shared" si="33"/>
        <v>0</v>
      </c>
      <c r="K200" s="126">
        <f t="shared" si="33"/>
        <v>0</v>
      </c>
      <c r="L200" s="127">
        <f t="shared" si="33"/>
        <v>0</v>
      </c>
    </row>
    <row r="201" spans="3:12" ht="15.6">
      <c r="C201" s="39" t="str">
        <f t="shared" si="31"/>
        <v/>
      </c>
      <c r="D201" s="45" t="str">
        <f>Parameter!E$30</f>
        <v>Meizu StarV Air 2</v>
      </c>
      <c r="E201" s="125">
        <f t="shared" si="33"/>
        <v>0</v>
      </c>
      <c r="F201" s="126">
        <f t="shared" si="33"/>
        <v>0</v>
      </c>
      <c r="G201" s="126">
        <f t="shared" si="33"/>
        <v>1.6E-2</v>
      </c>
      <c r="H201" s="126">
        <f t="shared" si="33"/>
        <v>6.0000000000000005E-2</v>
      </c>
      <c r="I201" s="126">
        <f t="shared" si="33"/>
        <v>0</v>
      </c>
      <c r="J201" s="126">
        <f t="shared" si="33"/>
        <v>0</v>
      </c>
      <c r="K201" s="126">
        <f t="shared" si="33"/>
        <v>0</v>
      </c>
      <c r="L201" s="127">
        <f t="shared" si="33"/>
        <v>0</v>
      </c>
    </row>
    <row r="202" spans="3:12" ht="15.6" hidden="1">
      <c r="C202" s="39" t="str">
        <f t="shared" si="31"/>
        <v>H</v>
      </c>
      <c r="D202" s="45" t="str">
        <f>Parameter!E$31</f>
        <v>Meizu StarV View</v>
      </c>
      <c r="E202" s="125">
        <f t="shared" si="33"/>
        <v>0</v>
      </c>
      <c r="F202" s="126">
        <f t="shared" si="33"/>
        <v>0</v>
      </c>
      <c r="G202" s="126">
        <f t="shared" si="33"/>
        <v>0</v>
      </c>
      <c r="H202" s="126">
        <f t="shared" si="33"/>
        <v>0</v>
      </c>
      <c r="I202" s="126">
        <f t="shared" si="33"/>
        <v>0</v>
      </c>
      <c r="J202" s="126">
        <f t="shared" si="33"/>
        <v>0</v>
      </c>
      <c r="K202" s="126">
        <f t="shared" si="33"/>
        <v>0</v>
      </c>
      <c r="L202" s="127">
        <f t="shared" si="33"/>
        <v>0</v>
      </c>
    </row>
    <row r="203" spans="3:12" ht="15.6" hidden="1">
      <c r="C203" s="39" t="str">
        <f t="shared" si="31"/>
        <v>H</v>
      </c>
      <c r="D203" s="45" t="str">
        <f>Parameter!E$32</f>
        <v>MiRZA</v>
      </c>
      <c r="E203" s="125">
        <f t="shared" si="33"/>
        <v>0</v>
      </c>
      <c r="F203" s="126">
        <f t="shared" si="33"/>
        <v>0</v>
      </c>
      <c r="G203" s="126">
        <f t="shared" si="33"/>
        <v>0</v>
      </c>
      <c r="H203" s="126">
        <f t="shared" si="33"/>
        <v>0</v>
      </c>
      <c r="I203" s="126">
        <f t="shared" si="33"/>
        <v>0</v>
      </c>
      <c r="J203" s="126">
        <f t="shared" si="33"/>
        <v>0</v>
      </c>
      <c r="K203" s="126">
        <f t="shared" si="33"/>
        <v>0</v>
      </c>
      <c r="L203" s="127">
        <f t="shared" si="33"/>
        <v>0</v>
      </c>
    </row>
    <row r="204" spans="3:12" ht="15.6" hidden="1">
      <c r="C204" s="39" t="str">
        <f t="shared" si="31"/>
        <v>H</v>
      </c>
      <c r="D204" s="45" t="str">
        <f>Parameter!E$33</f>
        <v>ML 2</v>
      </c>
      <c r="E204" s="125">
        <f t="shared" si="33"/>
        <v>0</v>
      </c>
      <c r="F204" s="126">
        <f t="shared" si="33"/>
        <v>0</v>
      </c>
      <c r="G204" s="126">
        <f t="shared" si="33"/>
        <v>0</v>
      </c>
      <c r="H204" s="126">
        <f t="shared" si="33"/>
        <v>0</v>
      </c>
      <c r="I204" s="126">
        <f t="shared" si="33"/>
        <v>0</v>
      </c>
      <c r="J204" s="126">
        <f t="shared" si="33"/>
        <v>0</v>
      </c>
      <c r="K204" s="126">
        <f t="shared" si="33"/>
        <v>0</v>
      </c>
      <c r="L204" s="127">
        <f t="shared" si="33"/>
        <v>0</v>
      </c>
    </row>
    <row r="205" spans="3:12" ht="15.6" hidden="1">
      <c r="C205" s="39" t="str">
        <f t="shared" si="31"/>
        <v>H</v>
      </c>
      <c r="D205" s="45" t="str">
        <f>Parameter!E$34</f>
        <v>ML One</v>
      </c>
      <c r="E205" s="125">
        <f t="shared" si="33"/>
        <v>0</v>
      </c>
      <c r="F205" s="126">
        <f t="shared" si="33"/>
        <v>0</v>
      </c>
      <c r="G205" s="126">
        <f t="shared" si="33"/>
        <v>0</v>
      </c>
      <c r="H205" s="126">
        <f t="shared" si="33"/>
        <v>0</v>
      </c>
      <c r="I205" s="126">
        <f t="shared" si="33"/>
        <v>0</v>
      </c>
      <c r="J205" s="126">
        <f t="shared" si="33"/>
        <v>0</v>
      </c>
      <c r="K205" s="126">
        <f t="shared" si="33"/>
        <v>0</v>
      </c>
      <c r="L205" s="127">
        <f t="shared" si="33"/>
        <v>0</v>
      </c>
    </row>
    <row r="206" spans="3:12" ht="15.6" hidden="1">
      <c r="C206" s="39" t="str">
        <f t="shared" si="31"/>
        <v>H</v>
      </c>
      <c r="D206" s="45" t="str">
        <f>Parameter!E$35</f>
        <v>Monocular LCoS glasses</v>
      </c>
      <c r="E206" s="125">
        <f t="shared" si="33"/>
        <v>0</v>
      </c>
      <c r="F206" s="126">
        <f t="shared" si="33"/>
        <v>0</v>
      </c>
      <c r="G206" s="126">
        <f t="shared" si="33"/>
        <v>0</v>
      </c>
      <c r="H206" s="126">
        <f t="shared" si="33"/>
        <v>0</v>
      </c>
      <c r="I206" s="126">
        <f t="shared" si="33"/>
        <v>0</v>
      </c>
      <c r="J206" s="126">
        <f t="shared" si="33"/>
        <v>0</v>
      </c>
      <c r="K206" s="126">
        <f t="shared" si="33"/>
        <v>0</v>
      </c>
      <c r="L206" s="127">
        <f t="shared" si="33"/>
        <v>0</v>
      </c>
    </row>
    <row r="207" spans="3:12" ht="15.6">
      <c r="C207" s="39" t="str">
        <f t="shared" si="31"/>
        <v/>
      </c>
      <c r="D207" s="45" t="str">
        <f>Parameter!E$36</f>
        <v>Monocular MicroLED</v>
      </c>
      <c r="E207" s="125">
        <f t="shared" si="33"/>
        <v>5.5200000000000008E-4</v>
      </c>
      <c r="F207" s="126">
        <f t="shared" si="33"/>
        <v>7.6999999999999996E-4</v>
      </c>
      <c r="G207" s="126">
        <f t="shared" si="33"/>
        <v>7.0000000000000001E-3</v>
      </c>
      <c r="H207" s="126">
        <f t="shared" si="33"/>
        <v>6.93E-2</v>
      </c>
      <c r="I207" s="126">
        <f t="shared" si="33"/>
        <v>0.20349999999999999</v>
      </c>
      <c r="J207" s="126">
        <f t="shared" si="33"/>
        <v>0.70400000000000007</v>
      </c>
      <c r="K207" s="126">
        <f t="shared" si="33"/>
        <v>1.0230000000000001</v>
      </c>
      <c r="L207" s="127">
        <f t="shared" si="33"/>
        <v>1.3529999999999998</v>
      </c>
    </row>
    <row r="208" spans="3:12" ht="15.6" hidden="1">
      <c r="C208" s="39" t="str">
        <f t="shared" si="31"/>
        <v>H</v>
      </c>
      <c r="D208" s="45" t="str">
        <f>Parameter!E$37</f>
        <v>Moverio</v>
      </c>
      <c r="E208" s="125">
        <f t="shared" si="33"/>
        <v>0</v>
      </c>
      <c r="F208" s="126">
        <f t="shared" si="33"/>
        <v>0</v>
      </c>
      <c r="G208" s="126">
        <f t="shared" si="33"/>
        <v>0</v>
      </c>
      <c r="H208" s="126">
        <f t="shared" si="33"/>
        <v>0</v>
      </c>
      <c r="I208" s="126">
        <f t="shared" si="33"/>
        <v>0</v>
      </c>
      <c r="J208" s="126">
        <f t="shared" si="33"/>
        <v>0</v>
      </c>
      <c r="K208" s="126">
        <f t="shared" si="33"/>
        <v>0</v>
      </c>
      <c r="L208" s="127">
        <f t="shared" si="33"/>
        <v>0</v>
      </c>
    </row>
    <row r="209" spans="3:12" ht="15.6" hidden="1">
      <c r="C209" s="39" t="str">
        <f t="shared" si="31"/>
        <v>H</v>
      </c>
      <c r="D209" s="45" t="str">
        <f>Parameter!E$38</f>
        <v>MYVU</v>
      </c>
      <c r="E209" s="125">
        <f t="shared" ref="E209:L218" si="34">SUMIF(ARVR_Y_PC_PR, "AR_"&amp;E$178&amp;"_"&amp;$D$177&amp;"_"&amp;$D209, PanelQ)</f>
        <v>0</v>
      </c>
      <c r="F209" s="126">
        <f t="shared" si="34"/>
        <v>0</v>
      </c>
      <c r="G209" s="126">
        <f t="shared" si="34"/>
        <v>0</v>
      </c>
      <c r="H209" s="126">
        <f t="shared" si="34"/>
        <v>0</v>
      </c>
      <c r="I209" s="126">
        <f t="shared" si="34"/>
        <v>0</v>
      </c>
      <c r="J209" s="126">
        <f t="shared" si="34"/>
        <v>0</v>
      </c>
      <c r="K209" s="126">
        <f t="shared" si="34"/>
        <v>0</v>
      </c>
      <c r="L209" s="127">
        <f t="shared" si="34"/>
        <v>0</v>
      </c>
    </row>
    <row r="210" spans="3:12" ht="15.6" hidden="1">
      <c r="C210" s="39" t="str">
        <f t="shared" si="31"/>
        <v>H</v>
      </c>
      <c r="D210" s="45" t="str">
        <f>Parameter!E$39</f>
        <v>NXTWear</v>
      </c>
      <c r="E210" s="125">
        <f t="shared" si="34"/>
        <v>0</v>
      </c>
      <c r="F210" s="126">
        <f t="shared" si="34"/>
        <v>0</v>
      </c>
      <c r="G210" s="126">
        <f t="shared" si="34"/>
        <v>0</v>
      </c>
      <c r="H210" s="126">
        <f t="shared" si="34"/>
        <v>0</v>
      </c>
      <c r="I210" s="126">
        <f t="shared" si="34"/>
        <v>0</v>
      </c>
      <c r="J210" s="126">
        <f t="shared" si="34"/>
        <v>0</v>
      </c>
      <c r="K210" s="126">
        <f t="shared" si="34"/>
        <v>0</v>
      </c>
      <c r="L210" s="127">
        <f t="shared" si="34"/>
        <v>0</v>
      </c>
    </row>
    <row r="211" spans="3:12" ht="15.6" hidden="1">
      <c r="C211" s="39" t="str">
        <f t="shared" si="31"/>
        <v>H</v>
      </c>
      <c r="D211" s="45" t="str">
        <f>Parameter!E$40</f>
        <v>One</v>
      </c>
      <c r="E211" s="125">
        <f t="shared" si="34"/>
        <v>0</v>
      </c>
      <c r="F211" s="126">
        <f t="shared" si="34"/>
        <v>0</v>
      </c>
      <c r="G211" s="126">
        <f t="shared" si="34"/>
        <v>0</v>
      </c>
      <c r="H211" s="126">
        <f t="shared" si="34"/>
        <v>0</v>
      </c>
      <c r="I211" s="126">
        <f t="shared" si="34"/>
        <v>0</v>
      </c>
      <c r="J211" s="126">
        <f t="shared" si="34"/>
        <v>0</v>
      </c>
      <c r="K211" s="126">
        <f t="shared" si="34"/>
        <v>0</v>
      </c>
      <c r="L211" s="127">
        <f t="shared" si="34"/>
        <v>0</v>
      </c>
    </row>
    <row r="212" spans="3:12" ht="15.6" hidden="1">
      <c r="C212" s="39" t="str">
        <f t="shared" si="31"/>
        <v>H</v>
      </c>
      <c r="D212" s="45" t="str">
        <f>Parameter!E$41</f>
        <v>One Pro</v>
      </c>
      <c r="E212" s="125">
        <f t="shared" si="34"/>
        <v>0</v>
      </c>
      <c r="F212" s="126">
        <f t="shared" si="34"/>
        <v>0</v>
      </c>
      <c r="G212" s="126">
        <f t="shared" si="34"/>
        <v>0</v>
      </c>
      <c r="H212" s="126">
        <f t="shared" si="34"/>
        <v>0</v>
      </c>
      <c r="I212" s="126">
        <f t="shared" si="34"/>
        <v>0</v>
      </c>
      <c r="J212" s="126">
        <f t="shared" si="34"/>
        <v>0</v>
      </c>
      <c r="K212" s="126">
        <f t="shared" si="34"/>
        <v>0</v>
      </c>
      <c r="L212" s="127">
        <f t="shared" si="34"/>
        <v>0</v>
      </c>
    </row>
    <row r="213" spans="3:12" ht="15.6" hidden="1">
      <c r="C213" s="39" t="str">
        <f t="shared" si="31"/>
        <v>H</v>
      </c>
      <c r="D213" s="45" t="str">
        <f>Parameter!E$42</f>
        <v>Quark AI</v>
      </c>
      <c r="E213" s="125">
        <f t="shared" si="34"/>
        <v>0</v>
      </c>
      <c r="F213" s="126">
        <f t="shared" si="34"/>
        <v>0</v>
      </c>
      <c r="G213" s="126">
        <f t="shared" si="34"/>
        <v>0</v>
      </c>
      <c r="H213" s="126">
        <f t="shared" si="34"/>
        <v>0</v>
      </c>
      <c r="I213" s="126">
        <f t="shared" si="34"/>
        <v>0</v>
      </c>
      <c r="J213" s="126">
        <f t="shared" si="34"/>
        <v>0</v>
      </c>
      <c r="K213" s="126">
        <f t="shared" si="34"/>
        <v>0</v>
      </c>
      <c r="L213" s="127">
        <f t="shared" si="34"/>
        <v>0</v>
      </c>
    </row>
    <row r="214" spans="3:12" ht="15.6" hidden="1">
      <c r="C214" s="39" t="str">
        <f t="shared" si="31"/>
        <v>H</v>
      </c>
      <c r="D214" s="45" t="str">
        <f>Parameter!E$43</f>
        <v>Ray-Ban Meta Display</v>
      </c>
      <c r="E214" s="125">
        <f t="shared" si="34"/>
        <v>0</v>
      </c>
      <c r="F214" s="126">
        <f t="shared" si="34"/>
        <v>0</v>
      </c>
      <c r="G214" s="126">
        <f t="shared" si="34"/>
        <v>0</v>
      </c>
      <c r="H214" s="126">
        <f t="shared" si="34"/>
        <v>0</v>
      </c>
      <c r="I214" s="126">
        <f t="shared" si="34"/>
        <v>0</v>
      </c>
      <c r="J214" s="126">
        <f t="shared" si="34"/>
        <v>0</v>
      </c>
      <c r="K214" s="126">
        <f t="shared" si="34"/>
        <v>0</v>
      </c>
      <c r="L214" s="127">
        <f t="shared" si="34"/>
        <v>0</v>
      </c>
    </row>
    <row r="215" spans="3:12" ht="15.6" hidden="1">
      <c r="C215" s="39" t="str">
        <f t="shared" si="31"/>
        <v>H</v>
      </c>
      <c r="D215" s="45" t="str">
        <f>Parameter!E$44</f>
        <v>Shield</v>
      </c>
      <c r="E215" s="125">
        <f t="shared" si="34"/>
        <v>0</v>
      </c>
      <c r="F215" s="126">
        <f t="shared" si="34"/>
        <v>0</v>
      </c>
      <c r="G215" s="126">
        <f t="shared" si="34"/>
        <v>0</v>
      </c>
      <c r="H215" s="126">
        <f t="shared" si="34"/>
        <v>0</v>
      </c>
      <c r="I215" s="126">
        <f t="shared" si="34"/>
        <v>0</v>
      </c>
      <c r="J215" s="126">
        <f t="shared" si="34"/>
        <v>0</v>
      </c>
      <c r="K215" s="126">
        <f t="shared" si="34"/>
        <v>0</v>
      </c>
      <c r="L215" s="127">
        <f t="shared" si="34"/>
        <v>0</v>
      </c>
    </row>
    <row r="216" spans="3:12" ht="15.6" hidden="1">
      <c r="C216" s="39" t="str">
        <f t="shared" si="31"/>
        <v>H</v>
      </c>
      <c r="D216" s="45" t="str">
        <f>Parameter!E$45</f>
        <v>SiOLED glasses</v>
      </c>
      <c r="E216" s="125">
        <f t="shared" si="34"/>
        <v>0</v>
      </c>
      <c r="F216" s="126">
        <f t="shared" si="34"/>
        <v>0</v>
      </c>
      <c r="G216" s="126">
        <f t="shared" si="34"/>
        <v>0</v>
      </c>
      <c r="H216" s="126">
        <f t="shared" si="34"/>
        <v>0</v>
      </c>
      <c r="I216" s="126">
        <f t="shared" si="34"/>
        <v>0</v>
      </c>
      <c r="J216" s="126">
        <f t="shared" si="34"/>
        <v>0</v>
      </c>
      <c r="K216" s="126">
        <f t="shared" si="34"/>
        <v>0</v>
      </c>
      <c r="L216" s="127">
        <f t="shared" si="34"/>
        <v>0</v>
      </c>
    </row>
    <row r="217" spans="3:12" ht="15.6" hidden="1">
      <c r="C217" s="39" t="str">
        <f t="shared" si="31"/>
        <v>H</v>
      </c>
      <c r="D217" s="45" t="str">
        <f>Parameter!E$46</f>
        <v>T1</v>
      </c>
      <c r="E217" s="125">
        <f t="shared" si="34"/>
        <v>0</v>
      </c>
      <c r="F217" s="126">
        <f t="shared" si="34"/>
        <v>0</v>
      </c>
      <c r="G217" s="126">
        <f t="shared" si="34"/>
        <v>0</v>
      </c>
      <c r="H217" s="126">
        <f t="shared" si="34"/>
        <v>0</v>
      </c>
      <c r="I217" s="126">
        <f t="shared" si="34"/>
        <v>0</v>
      </c>
      <c r="J217" s="126">
        <f t="shared" si="34"/>
        <v>0</v>
      </c>
      <c r="K217" s="126">
        <f t="shared" si="34"/>
        <v>0</v>
      </c>
      <c r="L217" s="127">
        <f t="shared" si="34"/>
        <v>0</v>
      </c>
    </row>
    <row r="218" spans="3:12" ht="15.6" hidden="1">
      <c r="C218" s="39" t="str">
        <f t="shared" si="31"/>
        <v>H</v>
      </c>
      <c r="D218" s="45" t="str">
        <f>Parameter!E$47</f>
        <v>ThinkReality A3</v>
      </c>
      <c r="E218" s="125">
        <f t="shared" si="34"/>
        <v>0</v>
      </c>
      <c r="F218" s="126">
        <f t="shared" si="34"/>
        <v>0</v>
      </c>
      <c r="G218" s="126">
        <f t="shared" si="34"/>
        <v>0</v>
      </c>
      <c r="H218" s="126">
        <f t="shared" si="34"/>
        <v>0</v>
      </c>
      <c r="I218" s="126">
        <f t="shared" si="34"/>
        <v>0</v>
      </c>
      <c r="J218" s="126">
        <f t="shared" si="34"/>
        <v>0</v>
      </c>
      <c r="K218" s="126">
        <f t="shared" si="34"/>
        <v>0</v>
      </c>
      <c r="L218" s="127">
        <f t="shared" si="34"/>
        <v>0</v>
      </c>
    </row>
    <row r="219" spans="3:12" ht="15.6" hidden="1">
      <c r="C219" s="39" t="str">
        <f t="shared" si="31"/>
        <v>H</v>
      </c>
      <c r="D219" s="45" t="str">
        <f>Parameter!E$48</f>
        <v>Viture Pro</v>
      </c>
      <c r="E219" s="125">
        <f t="shared" ref="E219:L228" si="35">SUMIF(ARVR_Y_PC_PR, "AR_"&amp;E$178&amp;"_"&amp;$D$177&amp;"_"&amp;$D219, PanelQ)</f>
        <v>0</v>
      </c>
      <c r="F219" s="126">
        <f t="shared" si="35"/>
        <v>0</v>
      </c>
      <c r="G219" s="126">
        <f t="shared" si="35"/>
        <v>0</v>
      </c>
      <c r="H219" s="126">
        <f t="shared" si="35"/>
        <v>0</v>
      </c>
      <c r="I219" s="126">
        <f t="shared" si="35"/>
        <v>0</v>
      </c>
      <c r="J219" s="126">
        <f t="shared" si="35"/>
        <v>0</v>
      </c>
      <c r="K219" s="126">
        <f t="shared" si="35"/>
        <v>0</v>
      </c>
      <c r="L219" s="127">
        <f t="shared" si="35"/>
        <v>0</v>
      </c>
    </row>
    <row r="220" spans="3:12" ht="15.6" hidden="1">
      <c r="C220" s="39" t="str">
        <f t="shared" si="31"/>
        <v>H</v>
      </c>
      <c r="D220" s="45" t="str">
        <f>Parameter!E$49</f>
        <v>X3 Pro</v>
      </c>
      <c r="E220" s="125">
        <f t="shared" si="35"/>
        <v>0</v>
      </c>
      <c r="F220" s="126">
        <f t="shared" si="35"/>
        <v>0</v>
      </c>
      <c r="G220" s="126">
        <f t="shared" si="35"/>
        <v>0</v>
      </c>
      <c r="H220" s="126">
        <f t="shared" si="35"/>
        <v>0</v>
      </c>
      <c r="I220" s="126">
        <f t="shared" si="35"/>
        <v>0</v>
      </c>
      <c r="J220" s="126">
        <f t="shared" si="35"/>
        <v>0</v>
      </c>
      <c r="K220" s="126">
        <f t="shared" si="35"/>
        <v>0</v>
      </c>
      <c r="L220" s="127">
        <f t="shared" si="35"/>
        <v>0</v>
      </c>
    </row>
    <row r="221" spans="3:12" ht="16.2" thickBot="1">
      <c r="C221" s="39" t="str">
        <f t="shared" si="31"/>
        <v/>
      </c>
      <c r="D221" s="45" t="str">
        <f>Parameter!E$50</f>
        <v>Z100</v>
      </c>
      <c r="E221" s="125">
        <f t="shared" si="35"/>
        <v>0</v>
      </c>
      <c r="F221" s="126">
        <f t="shared" si="35"/>
        <v>0</v>
      </c>
      <c r="G221" s="126">
        <f t="shared" si="35"/>
        <v>1.2000000000000001E-3</v>
      </c>
      <c r="H221" s="126">
        <f t="shared" si="35"/>
        <v>1E-3</v>
      </c>
      <c r="I221" s="126">
        <f t="shared" si="35"/>
        <v>0</v>
      </c>
      <c r="J221" s="126">
        <f t="shared" si="35"/>
        <v>0</v>
      </c>
      <c r="K221" s="126">
        <f t="shared" si="35"/>
        <v>0</v>
      </c>
      <c r="L221" s="127">
        <f t="shared" si="35"/>
        <v>0</v>
      </c>
    </row>
    <row r="222" spans="3:12" ht="15.6" hidden="1">
      <c r="C222" s="39" t="str">
        <f t="shared" si="31"/>
        <v>H</v>
      </c>
      <c r="D222" s="45">
        <f>Parameter!E$51</f>
        <v>0</v>
      </c>
      <c r="E222" s="125">
        <f t="shared" si="35"/>
        <v>0</v>
      </c>
      <c r="F222" s="126">
        <f t="shared" si="35"/>
        <v>0</v>
      </c>
      <c r="G222" s="126">
        <f t="shared" si="35"/>
        <v>0</v>
      </c>
      <c r="H222" s="126">
        <f t="shared" si="35"/>
        <v>0</v>
      </c>
      <c r="I222" s="126">
        <f t="shared" si="35"/>
        <v>0</v>
      </c>
      <c r="J222" s="126">
        <f t="shared" si="35"/>
        <v>0</v>
      </c>
      <c r="K222" s="126">
        <f t="shared" si="35"/>
        <v>0</v>
      </c>
      <c r="L222" s="127">
        <f t="shared" si="35"/>
        <v>0</v>
      </c>
    </row>
    <row r="223" spans="3:12" ht="15.6" hidden="1">
      <c r="C223" s="39" t="str">
        <f t="shared" si="31"/>
        <v>H</v>
      </c>
      <c r="D223" s="45">
        <f>Parameter!E$52</f>
        <v>0</v>
      </c>
      <c r="E223" s="125">
        <f t="shared" si="35"/>
        <v>0</v>
      </c>
      <c r="F223" s="126">
        <f t="shared" si="35"/>
        <v>0</v>
      </c>
      <c r="G223" s="126">
        <f t="shared" si="35"/>
        <v>0</v>
      </c>
      <c r="H223" s="126">
        <f t="shared" si="35"/>
        <v>0</v>
      </c>
      <c r="I223" s="126">
        <f t="shared" si="35"/>
        <v>0</v>
      </c>
      <c r="J223" s="126">
        <f t="shared" si="35"/>
        <v>0</v>
      </c>
      <c r="K223" s="126">
        <f t="shared" si="35"/>
        <v>0</v>
      </c>
      <c r="L223" s="127">
        <f t="shared" si="35"/>
        <v>0</v>
      </c>
    </row>
    <row r="224" spans="3:12" ht="15.6" hidden="1">
      <c r="C224" s="39" t="str">
        <f t="shared" si="31"/>
        <v>H</v>
      </c>
      <c r="D224" s="45">
        <f>Parameter!E$53</f>
        <v>0</v>
      </c>
      <c r="E224" s="125">
        <f t="shared" si="35"/>
        <v>0</v>
      </c>
      <c r="F224" s="126">
        <f t="shared" si="35"/>
        <v>0</v>
      </c>
      <c r="G224" s="126">
        <f t="shared" si="35"/>
        <v>0</v>
      </c>
      <c r="H224" s="126">
        <f t="shared" si="35"/>
        <v>0</v>
      </c>
      <c r="I224" s="126">
        <f t="shared" si="35"/>
        <v>0</v>
      </c>
      <c r="J224" s="126">
        <f t="shared" si="35"/>
        <v>0</v>
      </c>
      <c r="K224" s="126">
        <f t="shared" si="35"/>
        <v>0</v>
      </c>
      <c r="L224" s="127">
        <f t="shared" si="35"/>
        <v>0</v>
      </c>
    </row>
    <row r="225" spans="3:12" ht="15.6" hidden="1">
      <c r="C225" s="39" t="str">
        <f t="shared" si="31"/>
        <v>H</v>
      </c>
      <c r="D225" s="45">
        <f>Parameter!E$54</f>
        <v>0</v>
      </c>
      <c r="E225" s="125">
        <f t="shared" si="35"/>
        <v>0</v>
      </c>
      <c r="F225" s="126">
        <f t="shared" si="35"/>
        <v>0</v>
      </c>
      <c r="G225" s="126">
        <f t="shared" si="35"/>
        <v>0</v>
      </c>
      <c r="H225" s="126">
        <f t="shared" si="35"/>
        <v>0</v>
      </c>
      <c r="I225" s="126">
        <f t="shared" si="35"/>
        <v>0</v>
      </c>
      <c r="J225" s="126">
        <f t="shared" si="35"/>
        <v>0</v>
      </c>
      <c r="K225" s="126">
        <f t="shared" si="35"/>
        <v>0</v>
      </c>
      <c r="L225" s="127">
        <f t="shared" si="35"/>
        <v>0</v>
      </c>
    </row>
    <row r="226" spans="3:12" ht="15.6" hidden="1">
      <c r="C226" s="39" t="str">
        <f t="shared" si="31"/>
        <v>H</v>
      </c>
      <c r="D226" s="45">
        <f>Parameter!E$55</f>
        <v>0</v>
      </c>
      <c r="E226" s="125">
        <f t="shared" si="35"/>
        <v>0</v>
      </c>
      <c r="F226" s="126">
        <f t="shared" si="35"/>
        <v>0</v>
      </c>
      <c r="G226" s="126">
        <f t="shared" si="35"/>
        <v>0</v>
      </c>
      <c r="H226" s="126">
        <f t="shared" si="35"/>
        <v>0</v>
      </c>
      <c r="I226" s="126">
        <f t="shared" si="35"/>
        <v>0</v>
      </c>
      <c r="J226" s="126">
        <f t="shared" si="35"/>
        <v>0</v>
      </c>
      <c r="K226" s="126">
        <f t="shared" si="35"/>
        <v>0</v>
      </c>
      <c r="L226" s="127">
        <f t="shared" si="35"/>
        <v>0</v>
      </c>
    </row>
    <row r="227" spans="3:12" ht="15.6" hidden="1">
      <c r="C227" s="39" t="str">
        <f t="shared" si="31"/>
        <v>H</v>
      </c>
      <c r="D227" s="45">
        <f>Parameter!E$56</f>
        <v>0</v>
      </c>
      <c r="E227" s="125">
        <f t="shared" si="35"/>
        <v>0</v>
      </c>
      <c r="F227" s="126">
        <f t="shared" si="35"/>
        <v>0</v>
      </c>
      <c r="G227" s="126">
        <f t="shared" si="35"/>
        <v>0</v>
      </c>
      <c r="H227" s="126">
        <f t="shared" si="35"/>
        <v>0</v>
      </c>
      <c r="I227" s="126">
        <f t="shared" si="35"/>
        <v>0</v>
      </c>
      <c r="J227" s="126">
        <f t="shared" si="35"/>
        <v>0</v>
      </c>
      <c r="K227" s="126">
        <f t="shared" si="35"/>
        <v>0</v>
      </c>
      <c r="L227" s="127">
        <f t="shared" si="35"/>
        <v>0</v>
      </c>
    </row>
    <row r="228" spans="3:12" ht="16.2" hidden="1" thickBot="1">
      <c r="C228" s="39" t="str">
        <f t="shared" si="31"/>
        <v>H</v>
      </c>
      <c r="D228" s="53" t="str">
        <f>Parameter!E$57</f>
        <v>ALL</v>
      </c>
      <c r="E228" s="128">
        <f t="shared" si="35"/>
        <v>0</v>
      </c>
      <c r="F228" s="129">
        <f t="shared" si="35"/>
        <v>0</v>
      </c>
      <c r="G228" s="129">
        <f t="shared" si="35"/>
        <v>0</v>
      </c>
      <c r="H228" s="129">
        <f t="shared" si="35"/>
        <v>0</v>
      </c>
      <c r="I228" s="129">
        <f t="shared" si="35"/>
        <v>0</v>
      </c>
      <c r="J228" s="129">
        <f t="shared" si="35"/>
        <v>0</v>
      </c>
      <c r="K228" s="129">
        <f t="shared" si="35"/>
        <v>0</v>
      </c>
      <c r="L228" s="130">
        <f t="shared" si="35"/>
        <v>0</v>
      </c>
    </row>
    <row r="229" spans="3:12" ht="15.6">
      <c r="C229" s="39" t="str">
        <f t="shared" si="31"/>
        <v/>
      </c>
      <c r="D229" s="54" t="s">
        <v>87</v>
      </c>
      <c r="E229" s="131">
        <f>SUM(E179:E228)</f>
        <v>3.3039999999999996E-3</v>
      </c>
      <c r="F229" s="132">
        <f t="shared" ref="F229:L229" si="36">SUM(F179:F228)</f>
        <v>3.0470000000000004E-2</v>
      </c>
      <c r="G229" s="132">
        <f t="shared" si="36"/>
        <v>3.9539999999999999E-2</v>
      </c>
      <c r="H229" s="132">
        <f t="shared" si="36"/>
        <v>0.21130000000000002</v>
      </c>
      <c r="I229" s="132">
        <f t="shared" si="36"/>
        <v>0.20349999999999999</v>
      </c>
      <c r="J229" s="132">
        <f t="shared" si="36"/>
        <v>0.70400000000000007</v>
      </c>
      <c r="K229" s="132">
        <f t="shared" si="36"/>
        <v>1.0230000000000001</v>
      </c>
      <c r="L229" s="133">
        <f t="shared" si="36"/>
        <v>1.3529999999999998</v>
      </c>
    </row>
    <row r="230" spans="3:12" ht="16.2" thickBot="1">
      <c r="C230" s="39" t="str">
        <f t="shared" si="31"/>
        <v/>
      </c>
      <c r="D230" s="46" t="s">
        <v>88</v>
      </c>
      <c r="E230" s="47"/>
      <c r="F230" s="50">
        <f t="shared" ref="F230:G230" si="37">IF(E229*F229=0, "", F229/E229-1)</f>
        <v>8.2221549636803903</v>
      </c>
      <c r="G230" s="50">
        <f t="shared" si="37"/>
        <v>0.29766983918608436</v>
      </c>
      <c r="H230" s="50">
        <f>IF(G229*H229=0, "", H229/G229-1)</f>
        <v>4.3439554881133038</v>
      </c>
      <c r="I230" s="50">
        <f t="shared" ref="I230:L230" si="38">IF(H229*I229=0, "", I229/H229-1)</f>
        <v>-3.69143398012306E-2</v>
      </c>
      <c r="J230" s="50">
        <f t="shared" si="38"/>
        <v>2.4594594594594601</v>
      </c>
      <c r="K230" s="50">
        <f t="shared" si="38"/>
        <v>0.453125</v>
      </c>
      <c r="L230" s="51">
        <f t="shared" si="38"/>
        <v>0.32258064516128981</v>
      </c>
    </row>
    <row r="231" spans="3:12">
      <c r="C231"/>
    </row>
    <row r="232" spans="3:12" ht="14.4" thickBot="1">
      <c r="C232"/>
    </row>
    <row r="233" spans="3:12" ht="15" thickBot="1">
      <c r="C233"/>
      <c r="D233" s="52" t="str">
        <f>Parameter!I12</f>
        <v>2x LBS</v>
      </c>
    </row>
    <row r="234" spans="3:12" ht="16.2" thickBot="1">
      <c r="C234"/>
      <c r="D234" s="40" t="s">
        <v>85</v>
      </c>
      <c r="E234" s="41" t="str">
        <f t="shared" ref="E234:L234" si="39">E10</f>
        <v>2022</v>
      </c>
      <c r="F234" s="42" t="str">
        <f t="shared" si="39"/>
        <v>2023</v>
      </c>
      <c r="G234" s="42" t="str">
        <f t="shared" si="39"/>
        <v>2024</v>
      </c>
      <c r="H234" s="42">
        <f t="shared" si="39"/>
        <v>2025</v>
      </c>
      <c r="I234" s="42" t="str">
        <f t="shared" si="39"/>
        <v>2026</v>
      </c>
      <c r="J234" s="42" t="str">
        <f t="shared" si="39"/>
        <v>2027</v>
      </c>
      <c r="K234" s="42" t="str">
        <f t="shared" si="39"/>
        <v>2028</v>
      </c>
      <c r="L234" s="43" t="str">
        <f t="shared" si="39"/>
        <v>2029</v>
      </c>
    </row>
    <row r="235" spans="3:12" ht="15.6" hidden="1">
      <c r="C235" s="39" t="str">
        <f>IF(SUM(E235:L235)=0, "H", "")</f>
        <v>H</v>
      </c>
      <c r="D235" s="44" t="str">
        <f>Parameter!E$8</f>
        <v>Air</v>
      </c>
      <c r="E235" s="125">
        <f t="shared" ref="E235:L244" si="40">SUMIF(ARVR_Y_PC_PR, "AR_"&amp;E$234&amp;"_"&amp;$D$233&amp;"_"&amp;$D235, PanelQ)</f>
        <v>0</v>
      </c>
      <c r="F235" s="126">
        <f t="shared" si="40"/>
        <v>0</v>
      </c>
      <c r="G235" s="126">
        <f t="shared" si="40"/>
        <v>0</v>
      </c>
      <c r="H235" s="126">
        <f t="shared" si="40"/>
        <v>0</v>
      </c>
      <c r="I235" s="126">
        <f t="shared" si="40"/>
        <v>0</v>
      </c>
      <c r="J235" s="126">
        <f t="shared" si="40"/>
        <v>0</v>
      </c>
      <c r="K235" s="126">
        <f t="shared" si="40"/>
        <v>0</v>
      </c>
      <c r="L235" s="127">
        <f t="shared" si="40"/>
        <v>0</v>
      </c>
    </row>
    <row r="236" spans="3:12" ht="15.6" hidden="1">
      <c r="C236" s="39" t="str">
        <f t="shared" ref="C236:C286" si="41">IF(SUM(E236:L236)=0, "H", "")</f>
        <v>H</v>
      </c>
      <c r="D236" s="44" t="str">
        <f>Parameter!E$9</f>
        <v>Air 2</v>
      </c>
      <c r="E236" s="125">
        <f t="shared" si="40"/>
        <v>0</v>
      </c>
      <c r="F236" s="126">
        <f t="shared" si="40"/>
        <v>0</v>
      </c>
      <c r="G236" s="126">
        <f t="shared" si="40"/>
        <v>0</v>
      </c>
      <c r="H236" s="126">
        <f t="shared" si="40"/>
        <v>0</v>
      </c>
      <c r="I236" s="126">
        <f t="shared" si="40"/>
        <v>0</v>
      </c>
      <c r="J236" s="126">
        <f t="shared" si="40"/>
        <v>0</v>
      </c>
      <c r="K236" s="126">
        <f t="shared" si="40"/>
        <v>0</v>
      </c>
      <c r="L236" s="127">
        <f t="shared" si="40"/>
        <v>0</v>
      </c>
    </row>
    <row r="237" spans="3:12" ht="15.6" hidden="1">
      <c r="C237" s="39" t="str">
        <f t="shared" si="41"/>
        <v>H</v>
      </c>
      <c r="D237" s="45" t="str">
        <f>Parameter!E$10</f>
        <v>Air 3</v>
      </c>
      <c r="E237" s="125">
        <f t="shared" si="40"/>
        <v>0</v>
      </c>
      <c r="F237" s="126">
        <f t="shared" si="40"/>
        <v>0</v>
      </c>
      <c r="G237" s="126">
        <f t="shared" si="40"/>
        <v>0</v>
      </c>
      <c r="H237" s="126">
        <f t="shared" si="40"/>
        <v>0</v>
      </c>
      <c r="I237" s="126">
        <f t="shared" si="40"/>
        <v>0</v>
      </c>
      <c r="J237" s="126">
        <f t="shared" si="40"/>
        <v>0</v>
      </c>
      <c r="K237" s="126">
        <f t="shared" si="40"/>
        <v>0</v>
      </c>
      <c r="L237" s="127">
        <f t="shared" si="40"/>
        <v>0</v>
      </c>
    </row>
    <row r="238" spans="3:12" ht="15.6" hidden="1">
      <c r="C238" s="39" t="str">
        <f t="shared" si="41"/>
        <v>H</v>
      </c>
      <c r="D238" s="45" t="str">
        <f>Parameter!E$11</f>
        <v>Air 3s Pro</v>
      </c>
      <c r="E238" s="125">
        <f t="shared" si="40"/>
        <v>0</v>
      </c>
      <c r="F238" s="126">
        <f t="shared" si="40"/>
        <v>0</v>
      </c>
      <c r="G238" s="126">
        <f t="shared" si="40"/>
        <v>0</v>
      </c>
      <c r="H238" s="126">
        <f t="shared" si="40"/>
        <v>0</v>
      </c>
      <c r="I238" s="126">
        <f t="shared" si="40"/>
        <v>0</v>
      </c>
      <c r="J238" s="126">
        <f t="shared" si="40"/>
        <v>0</v>
      </c>
      <c r="K238" s="126">
        <f t="shared" si="40"/>
        <v>0</v>
      </c>
      <c r="L238" s="127">
        <f t="shared" si="40"/>
        <v>0</v>
      </c>
    </row>
    <row r="239" spans="3:12" ht="15.6" hidden="1">
      <c r="C239" s="39" t="str">
        <f t="shared" si="41"/>
        <v>H</v>
      </c>
      <c r="D239" s="45" t="str">
        <f>Parameter!E$12</f>
        <v>Air Glass</v>
      </c>
      <c r="E239" s="125">
        <f t="shared" si="40"/>
        <v>0</v>
      </c>
      <c r="F239" s="126">
        <f t="shared" si="40"/>
        <v>0</v>
      </c>
      <c r="G239" s="126">
        <f t="shared" si="40"/>
        <v>0</v>
      </c>
      <c r="H239" s="126">
        <f t="shared" si="40"/>
        <v>0</v>
      </c>
      <c r="I239" s="126">
        <f t="shared" si="40"/>
        <v>0</v>
      </c>
      <c r="J239" s="126">
        <f t="shared" si="40"/>
        <v>0</v>
      </c>
      <c r="K239" s="126">
        <f t="shared" si="40"/>
        <v>0</v>
      </c>
      <c r="L239" s="127">
        <f t="shared" si="40"/>
        <v>0</v>
      </c>
    </row>
    <row r="240" spans="3:12" ht="15.6" hidden="1">
      <c r="C240" s="39" t="str">
        <f t="shared" si="41"/>
        <v>H</v>
      </c>
      <c r="D240" s="45" t="str">
        <f>Parameter!E$13</f>
        <v>Binocular MicroLED</v>
      </c>
      <c r="E240" s="125">
        <f t="shared" si="40"/>
        <v>0</v>
      </c>
      <c r="F240" s="126">
        <f t="shared" si="40"/>
        <v>0</v>
      </c>
      <c r="G240" s="126">
        <f t="shared" si="40"/>
        <v>0</v>
      </c>
      <c r="H240" s="126">
        <f t="shared" si="40"/>
        <v>0</v>
      </c>
      <c r="I240" s="126">
        <f t="shared" si="40"/>
        <v>0</v>
      </c>
      <c r="J240" s="126">
        <f t="shared" si="40"/>
        <v>0</v>
      </c>
      <c r="K240" s="126">
        <f t="shared" si="40"/>
        <v>0</v>
      </c>
      <c r="L240" s="127">
        <f t="shared" si="40"/>
        <v>0</v>
      </c>
    </row>
    <row r="241" spans="3:12" ht="15.6" hidden="1">
      <c r="C241" s="39" t="str">
        <f t="shared" si="41"/>
        <v>H</v>
      </c>
      <c r="D241" s="45" t="str">
        <f>Parameter!E$14</f>
        <v>Blade</v>
      </c>
      <c r="E241" s="125">
        <f t="shared" si="40"/>
        <v>0</v>
      </c>
      <c r="F241" s="126">
        <f t="shared" si="40"/>
        <v>0</v>
      </c>
      <c r="G241" s="126">
        <f t="shared" si="40"/>
        <v>0</v>
      </c>
      <c r="H241" s="126">
        <f t="shared" si="40"/>
        <v>0</v>
      </c>
      <c r="I241" s="126">
        <f t="shared" si="40"/>
        <v>0</v>
      </c>
      <c r="J241" s="126">
        <f t="shared" si="40"/>
        <v>0</v>
      </c>
      <c r="K241" s="126">
        <f t="shared" si="40"/>
        <v>0</v>
      </c>
      <c r="L241" s="127">
        <f t="shared" si="40"/>
        <v>0</v>
      </c>
    </row>
    <row r="242" spans="3:12" ht="15.6" hidden="1">
      <c r="C242" s="39" t="str">
        <f t="shared" si="41"/>
        <v>H</v>
      </c>
      <c r="D242" s="45" t="str">
        <f>Parameter!E$15</f>
        <v>DLP glasses</v>
      </c>
      <c r="E242" s="125">
        <f t="shared" si="40"/>
        <v>0</v>
      </c>
      <c r="F242" s="126">
        <f t="shared" si="40"/>
        <v>0</v>
      </c>
      <c r="G242" s="126">
        <f t="shared" si="40"/>
        <v>0</v>
      </c>
      <c r="H242" s="126">
        <f t="shared" si="40"/>
        <v>0</v>
      </c>
      <c r="I242" s="126">
        <f t="shared" si="40"/>
        <v>0</v>
      </c>
      <c r="J242" s="126">
        <f t="shared" si="40"/>
        <v>0</v>
      </c>
      <c r="K242" s="126">
        <f t="shared" si="40"/>
        <v>0</v>
      </c>
      <c r="L242" s="127">
        <f t="shared" si="40"/>
        <v>0</v>
      </c>
    </row>
    <row r="243" spans="3:12" ht="15.6" hidden="1">
      <c r="C243" s="39" t="str">
        <f t="shared" si="41"/>
        <v>H</v>
      </c>
      <c r="D243" s="45" t="str">
        <f>Parameter!E$16</f>
        <v>G1</v>
      </c>
      <c r="E243" s="125">
        <f t="shared" si="40"/>
        <v>0</v>
      </c>
      <c r="F243" s="126">
        <f t="shared" si="40"/>
        <v>0</v>
      </c>
      <c r="G243" s="126">
        <f t="shared" si="40"/>
        <v>0</v>
      </c>
      <c r="H243" s="126">
        <f t="shared" si="40"/>
        <v>0</v>
      </c>
      <c r="I243" s="126">
        <f t="shared" si="40"/>
        <v>0</v>
      </c>
      <c r="J243" s="126">
        <f t="shared" si="40"/>
        <v>0</v>
      </c>
      <c r="K243" s="126">
        <f t="shared" si="40"/>
        <v>0</v>
      </c>
      <c r="L243" s="127">
        <f t="shared" si="40"/>
        <v>0</v>
      </c>
    </row>
    <row r="244" spans="3:12" ht="15.6" hidden="1">
      <c r="C244" s="39" t="str">
        <f t="shared" si="41"/>
        <v>H</v>
      </c>
      <c r="D244" s="45" t="str">
        <f>Parameter!E$17</f>
        <v>Glass</v>
      </c>
      <c r="E244" s="125">
        <f t="shared" si="40"/>
        <v>0</v>
      </c>
      <c r="F244" s="126">
        <f t="shared" si="40"/>
        <v>0</v>
      </c>
      <c r="G244" s="126">
        <f t="shared" si="40"/>
        <v>0</v>
      </c>
      <c r="H244" s="126">
        <f t="shared" si="40"/>
        <v>0</v>
      </c>
      <c r="I244" s="126">
        <f t="shared" si="40"/>
        <v>0</v>
      </c>
      <c r="J244" s="126">
        <f t="shared" si="40"/>
        <v>0</v>
      </c>
      <c r="K244" s="126">
        <f t="shared" si="40"/>
        <v>0</v>
      </c>
      <c r="L244" s="127">
        <f t="shared" si="40"/>
        <v>0</v>
      </c>
    </row>
    <row r="245" spans="3:12" ht="15.6" hidden="1">
      <c r="C245" s="39" t="str">
        <f t="shared" si="41"/>
        <v>H</v>
      </c>
      <c r="D245" s="45" t="str">
        <f>Parameter!E$18</f>
        <v>Glasses</v>
      </c>
      <c r="E245" s="125">
        <f t="shared" ref="E245:L254" si="42">SUMIF(ARVR_Y_PC_PR, "AR_"&amp;E$234&amp;"_"&amp;$D$233&amp;"_"&amp;$D245, PanelQ)</f>
        <v>0</v>
      </c>
      <c r="F245" s="126">
        <f t="shared" si="42"/>
        <v>0</v>
      </c>
      <c r="G245" s="126">
        <f t="shared" si="42"/>
        <v>0</v>
      </c>
      <c r="H245" s="126">
        <f t="shared" si="42"/>
        <v>0</v>
      </c>
      <c r="I245" s="126">
        <f t="shared" si="42"/>
        <v>0</v>
      </c>
      <c r="J245" s="126">
        <f t="shared" si="42"/>
        <v>0</v>
      </c>
      <c r="K245" s="126">
        <f t="shared" si="42"/>
        <v>0</v>
      </c>
      <c r="L245" s="127">
        <f t="shared" si="42"/>
        <v>0</v>
      </c>
    </row>
    <row r="246" spans="3:12" ht="15.6" hidden="1">
      <c r="C246" s="39" t="str">
        <f t="shared" si="41"/>
        <v>H</v>
      </c>
      <c r="D246" s="45" t="str">
        <f>Parameter!E$19</f>
        <v>Go</v>
      </c>
      <c r="E246" s="125">
        <f t="shared" si="42"/>
        <v>0</v>
      </c>
      <c r="F246" s="126">
        <f t="shared" si="42"/>
        <v>0</v>
      </c>
      <c r="G246" s="126">
        <f t="shared" si="42"/>
        <v>0</v>
      </c>
      <c r="H246" s="126">
        <f t="shared" si="42"/>
        <v>0</v>
      </c>
      <c r="I246" s="126">
        <f t="shared" si="42"/>
        <v>0</v>
      </c>
      <c r="J246" s="126">
        <f t="shared" si="42"/>
        <v>0</v>
      </c>
      <c r="K246" s="126">
        <f t="shared" si="42"/>
        <v>0</v>
      </c>
      <c r="L246" s="127">
        <f t="shared" si="42"/>
        <v>0</v>
      </c>
    </row>
    <row r="247" spans="3:12" ht="15.6" hidden="1">
      <c r="C247" s="39" t="str">
        <f t="shared" si="41"/>
        <v>H</v>
      </c>
      <c r="D247" s="45" t="str">
        <f>Parameter!E$20</f>
        <v>Go 2</v>
      </c>
      <c r="E247" s="125">
        <f t="shared" si="42"/>
        <v>0</v>
      </c>
      <c r="F247" s="126">
        <f t="shared" si="42"/>
        <v>0</v>
      </c>
      <c r="G247" s="126">
        <f t="shared" si="42"/>
        <v>0</v>
      </c>
      <c r="H247" s="126">
        <f t="shared" si="42"/>
        <v>0</v>
      </c>
      <c r="I247" s="126">
        <f t="shared" si="42"/>
        <v>0</v>
      </c>
      <c r="J247" s="126">
        <f t="shared" si="42"/>
        <v>0</v>
      </c>
      <c r="K247" s="126">
        <f t="shared" si="42"/>
        <v>0</v>
      </c>
      <c r="L247" s="127">
        <f t="shared" si="42"/>
        <v>0</v>
      </c>
    </row>
    <row r="248" spans="3:12" ht="15.6">
      <c r="C248" s="39" t="str">
        <f t="shared" si="41"/>
        <v/>
      </c>
      <c r="D248" s="45" t="str">
        <f>Parameter!E$21</f>
        <v>HoloLens 2</v>
      </c>
      <c r="E248" s="125">
        <f t="shared" si="42"/>
        <v>2.75E-2</v>
      </c>
      <c r="F248" s="126">
        <f t="shared" si="42"/>
        <v>0</v>
      </c>
      <c r="G248" s="126">
        <f t="shared" si="42"/>
        <v>0</v>
      </c>
      <c r="H248" s="126">
        <f t="shared" si="42"/>
        <v>0</v>
      </c>
      <c r="I248" s="126">
        <f t="shared" si="42"/>
        <v>0</v>
      </c>
      <c r="J248" s="126">
        <f t="shared" si="42"/>
        <v>0</v>
      </c>
      <c r="K248" s="126">
        <f t="shared" si="42"/>
        <v>0</v>
      </c>
      <c r="L248" s="127">
        <f t="shared" si="42"/>
        <v>0</v>
      </c>
    </row>
    <row r="249" spans="3:12" ht="15.6" hidden="1">
      <c r="C249" s="39" t="str">
        <f t="shared" si="41"/>
        <v>H</v>
      </c>
      <c r="D249" s="45" t="str">
        <f>Parameter!E$22</f>
        <v>INAIR 2</v>
      </c>
      <c r="E249" s="125">
        <f t="shared" si="42"/>
        <v>0</v>
      </c>
      <c r="F249" s="126">
        <f t="shared" si="42"/>
        <v>0</v>
      </c>
      <c r="G249" s="126">
        <f t="shared" si="42"/>
        <v>0</v>
      </c>
      <c r="H249" s="126">
        <f t="shared" si="42"/>
        <v>0</v>
      </c>
      <c r="I249" s="126">
        <f t="shared" si="42"/>
        <v>0</v>
      </c>
      <c r="J249" s="126">
        <f t="shared" si="42"/>
        <v>0</v>
      </c>
      <c r="K249" s="126">
        <f t="shared" si="42"/>
        <v>0</v>
      </c>
      <c r="L249" s="127">
        <f t="shared" si="42"/>
        <v>0</v>
      </c>
    </row>
    <row r="250" spans="3:12" ht="15.6" hidden="1">
      <c r="C250" s="39" t="str">
        <f t="shared" si="41"/>
        <v>H</v>
      </c>
      <c r="D250" s="45" t="str">
        <f>Parameter!E$23</f>
        <v>INAIR 2 Pro</v>
      </c>
      <c r="E250" s="125">
        <f t="shared" si="42"/>
        <v>0</v>
      </c>
      <c r="F250" s="126">
        <f t="shared" si="42"/>
        <v>0</v>
      </c>
      <c r="G250" s="126">
        <f t="shared" si="42"/>
        <v>0</v>
      </c>
      <c r="H250" s="126">
        <f t="shared" si="42"/>
        <v>0</v>
      </c>
      <c r="I250" s="126">
        <f t="shared" si="42"/>
        <v>0</v>
      </c>
      <c r="J250" s="126">
        <f t="shared" si="42"/>
        <v>0</v>
      </c>
      <c r="K250" s="126">
        <f t="shared" si="42"/>
        <v>0</v>
      </c>
      <c r="L250" s="127">
        <f t="shared" si="42"/>
        <v>0</v>
      </c>
    </row>
    <row r="251" spans="3:12" ht="16.2" thickBot="1">
      <c r="C251" s="39" t="str">
        <f t="shared" si="41"/>
        <v/>
      </c>
      <c r="D251" s="45" t="str">
        <f>Parameter!E$24</f>
        <v>LBS glasses</v>
      </c>
      <c r="E251" s="125">
        <f t="shared" si="42"/>
        <v>3.3E-3</v>
      </c>
      <c r="F251" s="126">
        <f t="shared" si="42"/>
        <v>0</v>
      </c>
      <c r="G251" s="126">
        <f t="shared" si="42"/>
        <v>0</v>
      </c>
      <c r="H251" s="126">
        <f t="shared" si="42"/>
        <v>0</v>
      </c>
      <c r="I251" s="126">
        <f t="shared" si="42"/>
        <v>0</v>
      </c>
      <c r="J251" s="126">
        <f t="shared" si="42"/>
        <v>0</v>
      </c>
      <c r="K251" s="126">
        <f t="shared" si="42"/>
        <v>0</v>
      </c>
      <c r="L251" s="127">
        <f t="shared" si="42"/>
        <v>0</v>
      </c>
    </row>
    <row r="252" spans="3:12" ht="15.6" hidden="1">
      <c r="C252" s="39" t="str">
        <f t="shared" si="41"/>
        <v>H</v>
      </c>
      <c r="D252" s="45" t="str">
        <f>Parameter!E$25</f>
        <v>LCoS glasses</v>
      </c>
      <c r="E252" s="125">
        <f t="shared" si="42"/>
        <v>0</v>
      </c>
      <c r="F252" s="126">
        <f t="shared" si="42"/>
        <v>0</v>
      </c>
      <c r="G252" s="126">
        <f t="shared" si="42"/>
        <v>0</v>
      </c>
      <c r="H252" s="126">
        <f t="shared" si="42"/>
        <v>0</v>
      </c>
      <c r="I252" s="126">
        <f t="shared" si="42"/>
        <v>0</v>
      </c>
      <c r="J252" s="126">
        <f t="shared" si="42"/>
        <v>0</v>
      </c>
      <c r="K252" s="126">
        <f t="shared" si="42"/>
        <v>0</v>
      </c>
      <c r="L252" s="127">
        <f t="shared" si="42"/>
        <v>0</v>
      </c>
    </row>
    <row r="253" spans="3:12" ht="15.6" hidden="1">
      <c r="C253" s="39" t="str">
        <f t="shared" si="41"/>
        <v>H</v>
      </c>
      <c r="D253" s="45" t="str">
        <f>Parameter!E$26</f>
        <v>Lenovo Legion Glasses 2</v>
      </c>
      <c r="E253" s="125">
        <f t="shared" si="42"/>
        <v>0</v>
      </c>
      <c r="F253" s="126">
        <f t="shared" si="42"/>
        <v>0</v>
      </c>
      <c r="G253" s="126">
        <f t="shared" si="42"/>
        <v>0</v>
      </c>
      <c r="H253" s="126">
        <f t="shared" si="42"/>
        <v>0</v>
      </c>
      <c r="I253" s="126">
        <f t="shared" si="42"/>
        <v>0</v>
      </c>
      <c r="J253" s="126">
        <f t="shared" si="42"/>
        <v>0</v>
      </c>
      <c r="K253" s="126">
        <f t="shared" si="42"/>
        <v>0</v>
      </c>
      <c r="L253" s="127">
        <f t="shared" si="42"/>
        <v>0</v>
      </c>
    </row>
    <row r="254" spans="3:12" ht="15.6" hidden="1">
      <c r="C254" s="39" t="str">
        <f t="shared" si="41"/>
        <v>H</v>
      </c>
      <c r="D254" s="45" t="str">
        <f>Parameter!E$27</f>
        <v>Light</v>
      </c>
      <c r="E254" s="125">
        <f t="shared" si="42"/>
        <v>0</v>
      </c>
      <c r="F254" s="126">
        <f t="shared" si="42"/>
        <v>0</v>
      </c>
      <c r="G254" s="126">
        <f t="shared" si="42"/>
        <v>0</v>
      </c>
      <c r="H254" s="126">
        <f t="shared" si="42"/>
        <v>0</v>
      </c>
      <c r="I254" s="126">
        <f t="shared" si="42"/>
        <v>0</v>
      </c>
      <c r="J254" s="126">
        <f t="shared" si="42"/>
        <v>0</v>
      </c>
      <c r="K254" s="126">
        <f t="shared" si="42"/>
        <v>0</v>
      </c>
      <c r="L254" s="127">
        <f t="shared" si="42"/>
        <v>0</v>
      </c>
    </row>
    <row r="255" spans="3:12" ht="15.6" hidden="1">
      <c r="C255" s="39" t="str">
        <f t="shared" si="41"/>
        <v>H</v>
      </c>
      <c r="D255" s="45" t="str">
        <f>Parameter!E$28</f>
        <v>Max</v>
      </c>
      <c r="E255" s="125">
        <f t="shared" ref="E255:L264" si="43">SUMIF(ARVR_Y_PC_PR, "AR_"&amp;E$234&amp;"_"&amp;$D$233&amp;"_"&amp;$D255, PanelQ)</f>
        <v>0</v>
      </c>
      <c r="F255" s="126">
        <f t="shared" si="43"/>
        <v>0</v>
      </c>
      <c r="G255" s="126">
        <f t="shared" si="43"/>
        <v>0</v>
      </c>
      <c r="H255" s="126">
        <f t="shared" si="43"/>
        <v>0</v>
      </c>
      <c r="I255" s="126">
        <f t="shared" si="43"/>
        <v>0</v>
      </c>
      <c r="J255" s="126">
        <f t="shared" si="43"/>
        <v>0</v>
      </c>
      <c r="K255" s="126">
        <f t="shared" si="43"/>
        <v>0</v>
      </c>
      <c r="L255" s="127">
        <f t="shared" si="43"/>
        <v>0</v>
      </c>
    </row>
    <row r="256" spans="3:12" ht="15.6" hidden="1">
      <c r="C256" s="39" t="str">
        <f t="shared" si="41"/>
        <v>H</v>
      </c>
      <c r="D256" s="45" t="str">
        <f>Parameter!E$29</f>
        <v>Max 2</v>
      </c>
      <c r="E256" s="125">
        <f t="shared" si="43"/>
        <v>0</v>
      </c>
      <c r="F256" s="126">
        <f t="shared" si="43"/>
        <v>0</v>
      </c>
      <c r="G256" s="126">
        <f t="shared" si="43"/>
        <v>0</v>
      </c>
      <c r="H256" s="126">
        <f t="shared" si="43"/>
        <v>0</v>
      </c>
      <c r="I256" s="126">
        <f t="shared" si="43"/>
        <v>0</v>
      </c>
      <c r="J256" s="126">
        <f t="shared" si="43"/>
        <v>0</v>
      </c>
      <c r="K256" s="126">
        <f t="shared" si="43"/>
        <v>0</v>
      </c>
      <c r="L256" s="127">
        <f t="shared" si="43"/>
        <v>0</v>
      </c>
    </row>
    <row r="257" spans="3:12" ht="15.6" hidden="1">
      <c r="C257" s="39" t="str">
        <f t="shared" si="41"/>
        <v>H</v>
      </c>
      <c r="D257" s="45" t="str">
        <f>Parameter!E$30</f>
        <v>Meizu StarV Air 2</v>
      </c>
      <c r="E257" s="125">
        <f t="shared" si="43"/>
        <v>0</v>
      </c>
      <c r="F257" s="126">
        <f t="shared" si="43"/>
        <v>0</v>
      </c>
      <c r="G257" s="126">
        <f t="shared" si="43"/>
        <v>0</v>
      </c>
      <c r="H257" s="126">
        <f t="shared" si="43"/>
        <v>0</v>
      </c>
      <c r="I257" s="126">
        <f t="shared" si="43"/>
        <v>0</v>
      </c>
      <c r="J257" s="126">
        <f t="shared" si="43"/>
        <v>0</v>
      </c>
      <c r="K257" s="126">
        <f t="shared" si="43"/>
        <v>0</v>
      </c>
      <c r="L257" s="127">
        <f t="shared" si="43"/>
        <v>0</v>
      </c>
    </row>
    <row r="258" spans="3:12" ht="15.6" hidden="1">
      <c r="C258" s="39" t="str">
        <f t="shared" si="41"/>
        <v>H</v>
      </c>
      <c r="D258" s="45" t="str">
        <f>Parameter!E$31</f>
        <v>Meizu StarV View</v>
      </c>
      <c r="E258" s="125">
        <f t="shared" si="43"/>
        <v>0</v>
      </c>
      <c r="F258" s="126">
        <f t="shared" si="43"/>
        <v>0</v>
      </c>
      <c r="G258" s="126">
        <f t="shared" si="43"/>
        <v>0</v>
      </c>
      <c r="H258" s="126">
        <f t="shared" si="43"/>
        <v>0</v>
      </c>
      <c r="I258" s="126">
        <f t="shared" si="43"/>
        <v>0</v>
      </c>
      <c r="J258" s="126">
        <f t="shared" si="43"/>
        <v>0</v>
      </c>
      <c r="K258" s="126">
        <f t="shared" si="43"/>
        <v>0</v>
      </c>
      <c r="L258" s="127">
        <f t="shared" si="43"/>
        <v>0</v>
      </c>
    </row>
    <row r="259" spans="3:12" ht="15.6" hidden="1">
      <c r="C259" s="39" t="str">
        <f t="shared" si="41"/>
        <v>H</v>
      </c>
      <c r="D259" s="45" t="str">
        <f>Parameter!E$32</f>
        <v>MiRZA</v>
      </c>
      <c r="E259" s="125">
        <f t="shared" si="43"/>
        <v>0</v>
      </c>
      <c r="F259" s="126">
        <f t="shared" si="43"/>
        <v>0</v>
      </c>
      <c r="G259" s="126">
        <f t="shared" si="43"/>
        <v>0</v>
      </c>
      <c r="H259" s="126">
        <f t="shared" si="43"/>
        <v>0</v>
      </c>
      <c r="I259" s="126">
        <f t="shared" si="43"/>
        <v>0</v>
      </c>
      <c r="J259" s="126">
        <f t="shared" si="43"/>
        <v>0</v>
      </c>
      <c r="K259" s="126">
        <f t="shared" si="43"/>
        <v>0</v>
      </c>
      <c r="L259" s="127">
        <f t="shared" si="43"/>
        <v>0</v>
      </c>
    </row>
    <row r="260" spans="3:12" ht="15.6" hidden="1">
      <c r="C260" s="39" t="str">
        <f t="shared" si="41"/>
        <v>H</v>
      </c>
      <c r="D260" s="45" t="str">
        <f>Parameter!E$33</f>
        <v>ML 2</v>
      </c>
      <c r="E260" s="125">
        <f t="shared" si="43"/>
        <v>0</v>
      </c>
      <c r="F260" s="126">
        <f t="shared" si="43"/>
        <v>0</v>
      </c>
      <c r="G260" s="126">
        <f t="shared" si="43"/>
        <v>0</v>
      </c>
      <c r="H260" s="126">
        <f t="shared" si="43"/>
        <v>0</v>
      </c>
      <c r="I260" s="126">
        <f t="shared" si="43"/>
        <v>0</v>
      </c>
      <c r="J260" s="126">
        <f t="shared" si="43"/>
        <v>0</v>
      </c>
      <c r="K260" s="126">
        <f t="shared" si="43"/>
        <v>0</v>
      </c>
      <c r="L260" s="127">
        <f t="shared" si="43"/>
        <v>0</v>
      </c>
    </row>
    <row r="261" spans="3:12" ht="15.6" hidden="1">
      <c r="C261" s="39" t="str">
        <f t="shared" si="41"/>
        <v>H</v>
      </c>
      <c r="D261" s="45" t="str">
        <f>Parameter!E$34</f>
        <v>ML One</v>
      </c>
      <c r="E261" s="125">
        <f t="shared" si="43"/>
        <v>0</v>
      </c>
      <c r="F261" s="126">
        <f t="shared" si="43"/>
        <v>0</v>
      </c>
      <c r="G261" s="126">
        <f t="shared" si="43"/>
        <v>0</v>
      </c>
      <c r="H261" s="126">
        <f t="shared" si="43"/>
        <v>0</v>
      </c>
      <c r="I261" s="126">
        <f t="shared" si="43"/>
        <v>0</v>
      </c>
      <c r="J261" s="126">
        <f t="shared" si="43"/>
        <v>0</v>
      </c>
      <c r="K261" s="126">
        <f t="shared" si="43"/>
        <v>0</v>
      </c>
      <c r="L261" s="127">
        <f t="shared" si="43"/>
        <v>0</v>
      </c>
    </row>
    <row r="262" spans="3:12" ht="15.6" hidden="1">
      <c r="C262" s="39" t="str">
        <f t="shared" si="41"/>
        <v>H</v>
      </c>
      <c r="D262" s="45" t="str">
        <f>Parameter!E$35</f>
        <v>Monocular LCoS glasses</v>
      </c>
      <c r="E262" s="125">
        <f t="shared" si="43"/>
        <v>0</v>
      </c>
      <c r="F262" s="126">
        <f t="shared" si="43"/>
        <v>0</v>
      </c>
      <c r="G262" s="126">
        <f t="shared" si="43"/>
        <v>0</v>
      </c>
      <c r="H262" s="126">
        <f t="shared" si="43"/>
        <v>0</v>
      </c>
      <c r="I262" s="126">
        <f t="shared" si="43"/>
        <v>0</v>
      </c>
      <c r="J262" s="126">
        <f t="shared" si="43"/>
        <v>0</v>
      </c>
      <c r="K262" s="126">
        <f t="shared" si="43"/>
        <v>0</v>
      </c>
      <c r="L262" s="127">
        <f t="shared" si="43"/>
        <v>0</v>
      </c>
    </row>
    <row r="263" spans="3:12" ht="15.6" hidden="1">
      <c r="C263" s="39" t="str">
        <f t="shared" si="41"/>
        <v>H</v>
      </c>
      <c r="D263" s="45" t="str">
        <f>Parameter!E$36</f>
        <v>Monocular MicroLED</v>
      </c>
      <c r="E263" s="125">
        <f t="shared" si="43"/>
        <v>0</v>
      </c>
      <c r="F263" s="126">
        <f t="shared" si="43"/>
        <v>0</v>
      </c>
      <c r="G263" s="126">
        <f t="shared" si="43"/>
        <v>0</v>
      </c>
      <c r="H263" s="126">
        <f t="shared" si="43"/>
        <v>0</v>
      </c>
      <c r="I263" s="126">
        <f t="shared" si="43"/>
        <v>0</v>
      </c>
      <c r="J263" s="126">
        <f t="shared" si="43"/>
        <v>0</v>
      </c>
      <c r="K263" s="126">
        <f t="shared" si="43"/>
        <v>0</v>
      </c>
      <c r="L263" s="127">
        <f t="shared" si="43"/>
        <v>0</v>
      </c>
    </row>
    <row r="264" spans="3:12" ht="15.6" hidden="1">
      <c r="C264" s="39" t="str">
        <f t="shared" si="41"/>
        <v>H</v>
      </c>
      <c r="D264" s="45" t="str">
        <f>Parameter!E$37</f>
        <v>Moverio</v>
      </c>
      <c r="E264" s="125">
        <f t="shared" si="43"/>
        <v>0</v>
      </c>
      <c r="F264" s="126">
        <f t="shared" si="43"/>
        <v>0</v>
      </c>
      <c r="G264" s="126">
        <f t="shared" si="43"/>
        <v>0</v>
      </c>
      <c r="H264" s="126">
        <f t="shared" si="43"/>
        <v>0</v>
      </c>
      <c r="I264" s="126">
        <f t="shared" si="43"/>
        <v>0</v>
      </c>
      <c r="J264" s="126">
        <f t="shared" si="43"/>
        <v>0</v>
      </c>
      <c r="K264" s="126">
        <f t="shared" si="43"/>
        <v>0</v>
      </c>
      <c r="L264" s="127">
        <f t="shared" si="43"/>
        <v>0</v>
      </c>
    </row>
    <row r="265" spans="3:12" ht="15.6" hidden="1">
      <c r="C265" s="39" t="str">
        <f t="shared" si="41"/>
        <v>H</v>
      </c>
      <c r="D265" s="45" t="str">
        <f>Parameter!E$38</f>
        <v>MYVU</v>
      </c>
      <c r="E265" s="125">
        <f t="shared" ref="E265:L274" si="44">SUMIF(ARVR_Y_PC_PR, "AR_"&amp;E$234&amp;"_"&amp;$D$233&amp;"_"&amp;$D265, PanelQ)</f>
        <v>0</v>
      </c>
      <c r="F265" s="126">
        <f t="shared" si="44"/>
        <v>0</v>
      </c>
      <c r="G265" s="126">
        <f t="shared" si="44"/>
        <v>0</v>
      </c>
      <c r="H265" s="126">
        <f t="shared" si="44"/>
        <v>0</v>
      </c>
      <c r="I265" s="126">
        <f t="shared" si="44"/>
        <v>0</v>
      </c>
      <c r="J265" s="126">
        <f t="shared" si="44"/>
        <v>0</v>
      </c>
      <c r="K265" s="126">
        <f t="shared" si="44"/>
        <v>0</v>
      </c>
      <c r="L265" s="127">
        <f t="shared" si="44"/>
        <v>0</v>
      </c>
    </row>
    <row r="266" spans="3:12" ht="15.6" hidden="1">
      <c r="C266" s="39" t="str">
        <f t="shared" si="41"/>
        <v>H</v>
      </c>
      <c r="D266" s="45" t="str">
        <f>Parameter!E$39</f>
        <v>NXTWear</v>
      </c>
      <c r="E266" s="125">
        <f t="shared" si="44"/>
        <v>0</v>
      </c>
      <c r="F266" s="126">
        <f t="shared" si="44"/>
        <v>0</v>
      </c>
      <c r="G266" s="126">
        <f t="shared" si="44"/>
        <v>0</v>
      </c>
      <c r="H266" s="126">
        <f t="shared" si="44"/>
        <v>0</v>
      </c>
      <c r="I266" s="126">
        <f t="shared" si="44"/>
        <v>0</v>
      </c>
      <c r="J266" s="126">
        <f t="shared" si="44"/>
        <v>0</v>
      </c>
      <c r="K266" s="126">
        <f t="shared" si="44"/>
        <v>0</v>
      </c>
      <c r="L266" s="127">
        <f t="shared" si="44"/>
        <v>0</v>
      </c>
    </row>
    <row r="267" spans="3:12" ht="15.6" hidden="1">
      <c r="C267" s="39" t="str">
        <f t="shared" si="41"/>
        <v>H</v>
      </c>
      <c r="D267" s="45" t="str">
        <f>Parameter!E$40</f>
        <v>One</v>
      </c>
      <c r="E267" s="125">
        <f t="shared" si="44"/>
        <v>0</v>
      </c>
      <c r="F267" s="126">
        <f t="shared" si="44"/>
        <v>0</v>
      </c>
      <c r="G267" s="126">
        <f t="shared" si="44"/>
        <v>0</v>
      </c>
      <c r="H267" s="126">
        <f t="shared" si="44"/>
        <v>0</v>
      </c>
      <c r="I267" s="126">
        <f t="shared" si="44"/>
        <v>0</v>
      </c>
      <c r="J267" s="126">
        <f t="shared" si="44"/>
        <v>0</v>
      </c>
      <c r="K267" s="126">
        <f t="shared" si="44"/>
        <v>0</v>
      </c>
      <c r="L267" s="127">
        <f t="shared" si="44"/>
        <v>0</v>
      </c>
    </row>
    <row r="268" spans="3:12" ht="15.6" hidden="1">
      <c r="C268" s="39" t="str">
        <f t="shared" si="41"/>
        <v>H</v>
      </c>
      <c r="D268" s="45" t="str">
        <f>Parameter!E$41</f>
        <v>One Pro</v>
      </c>
      <c r="E268" s="125">
        <f t="shared" si="44"/>
        <v>0</v>
      </c>
      <c r="F268" s="126">
        <f t="shared" si="44"/>
        <v>0</v>
      </c>
      <c r="G268" s="126">
        <f t="shared" si="44"/>
        <v>0</v>
      </c>
      <c r="H268" s="126">
        <f t="shared" si="44"/>
        <v>0</v>
      </c>
      <c r="I268" s="126">
        <f t="shared" si="44"/>
        <v>0</v>
      </c>
      <c r="J268" s="126">
        <f t="shared" si="44"/>
        <v>0</v>
      </c>
      <c r="K268" s="126">
        <f t="shared" si="44"/>
        <v>0</v>
      </c>
      <c r="L268" s="127">
        <f t="shared" si="44"/>
        <v>0</v>
      </c>
    </row>
    <row r="269" spans="3:12" ht="15.6" hidden="1">
      <c r="C269" s="39" t="str">
        <f t="shared" si="41"/>
        <v>H</v>
      </c>
      <c r="D269" s="45" t="str">
        <f>Parameter!E$42</f>
        <v>Quark AI</v>
      </c>
      <c r="E269" s="125">
        <f t="shared" si="44"/>
        <v>0</v>
      </c>
      <c r="F269" s="126">
        <f t="shared" si="44"/>
        <v>0</v>
      </c>
      <c r="G269" s="126">
        <f t="shared" si="44"/>
        <v>0</v>
      </c>
      <c r="H269" s="126">
        <f t="shared" si="44"/>
        <v>0</v>
      </c>
      <c r="I269" s="126">
        <f t="shared" si="44"/>
        <v>0</v>
      </c>
      <c r="J269" s="126">
        <f t="shared" si="44"/>
        <v>0</v>
      </c>
      <c r="K269" s="126">
        <f t="shared" si="44"/>
        <v>0</v>
      </c>
      <c r="L269" s="127">
        <f t="shared" si="44"/>
        <v>0</v>
      </c>
    </row>
    <row r="270" spans="3:12" ht="15.6" hidden="1">
      <c r="C270" s="39" t="str">
        <f t="shared" si="41"/>
        <v>H</v>
      </c>
      <c r="D270" s="45" t="str">
        <f>Parameter!E$43</f>
        <v>Ray-Ban Meta Display</v>
      </c>
      <c r="E270" s="125">
        <f t="shared" si="44"/>
        <v>0</v>
      </c>
      <c r="F270" s="126">
        <f t="shared" si="44"/>
        <v>0</v>
      </c>
      <c r="G270" s="126">
        <f t="shared" si="44"/>
        <v>0</v>
      </c>
      <c r="H270" s="126">
        <f t="shared" si="44"/>
        <v>0</v>
      </c>
      <c r="I270" s="126">
        <f t="shared" si="44"/>
        <v>0</v>
      </c>
      <c r="J270" s="126">
        <f t="shared" si="44"/>
        <v>0</v>
      </c>
      <c r="K270" s="126">
        <f t="shared" si="44"/>
        <v>0</v>
      </c>
      <c r="L270" s="127">
        <f t="shared" si="44"/>
        <v>0</v>
      </c>
    </row>
    <row r="271" spans="3:12" ht="15.6" hidden="1">
      <c r="C271" s="39" t="str">
        <f t="shared" si="41"/>
        <v>H</v>
      </c>
      <c r="D271" s="45" t="str">
        <f>Parameter!E$44</f>
        <v>Shield</v>
      </c>
      <c r="E271" s="125">
        <f t="shared" si="44"/>
        <v>0</v>
      </c>
      <c r="F271" s="126">
        <f t="shared" si="44"/>
        <v>0</v>
      </c>
      <c r="G271" s="126">
        <f t="shared" si="44"/>
        <v>0</v>
      </c>
      <c r="H271" s="126">
        <f t="shared" si="44"/>
        <v>0</v>
      </c>
      <c r="I271" s="126">
        <f t="shared" si="44"/>
        <v>0</v>
      </c>
      <c r="J271" s="126">
        <f t="shared" si="44"/>
        <v>0</v>
      </c>
      <c r="K271" s="126">
        <f t="shared" si="44"/>
        <v>0</v>
      </c>
      <c r="L271" s="127">
        <f t="shared" si="44"/>
        <v>0</v>
      </c>
    </row>
    <row r="272" spans="3:12" ht="15.6" hidden="1">
      <c r="C272" s="39" t="str">
        <f t="shared" si="41"/>
        <v>H</v>
      </c>
      <c r="D272" s="45" t="str">
        <f>Parameter!E$45</f>
        <v>SiOLED glasses</v>
      </c>
      <c r="E272" s="125">
        <f t="shared" si="44"/>
        <v>0</v>
      </c>
      <c r="F272" s="126">
        <f t="shared" si="44"/>
        <v>0</v>
      </c>
      <c r="G272" s="126">
        <f t="shared" si="44"/>
        <v>0</v>
      </c>
      <c r="H272" s="126">
        <f t="shared" si="44"/>
        <v>0</v>
      </c>
      <c r="I272" s="126">
        <f t="shared" si="44"/>
        <v>0</v>
      </c>
      <c r="J272" s="126">
        <f t="shared" si="44"/>
        <v>0</v>
      </c>
      <c r="K272" s="126">
        <f t="shared" si="44"/>
        <v>0</v>
      </c>
      <c r="L272" s="127">
        <f t="shared" si="44"/>
        <v>0</v>
      </c>
    </row>
    <row r="273" spans="3:12" ht="15.6" hidden="1">
      <c r="C273" s="39" t="str">
        <f t="shared" si="41"/>
        <v>H</v>
      </c>
      <c r="D273" s="45" t="str">
        <f>Parameter!E$46</f>
        <v>T1</v>
      </c>
      <c r="E273" s="125">
        <f t="shared" si="44"/>
        <v>0</v>
      </c>
      <c r="F273" s="126">
        <f t="shared" si="44"/>
        <v>0</v>
      </c>
      <c r="G273" s="126">
        <f t="shared" si="44"/>
        <v>0</v>
      </c>
      <c r="H273" s="126">
        <f t="shared" si="44"/>
        <v>0</v>
      </c>
      <c r="I273" s="126">
        <f t="shared" si="44"/>
        <v>0</v>
      </c>
      <c r="J273" s="126">
        <f t="shared" si="44"/>
        <v>0</v>
      </c>
      <c r="K273" s="126">
        <f t="shared" si="44"/>
        <v>0</v>
      </c>
      <c r="L273" s="127">
        <f t="shared" si="44"/>
        <v>0</v>
      </c>
    </row>
    <row r="274" spans="3:12" ht="15.6" hidden="1">
      <c r="C274" s="39" t="str">
        <f t="shared" si="41"/>
        <v>H</v>
      </c>
      <c r="D274" s="45" t="str">
        <f>Parameter!E$47</f>
        <v>ThinkReality A3</v>
      </c>
      <c r="E274" s="125">
        <f t="shared" si="44"/>
        <v>0</v>
      </c>
      <c r="F274" s="126">
        <f t="shared" si="44"/>
        <v>0</v>
      </c>
      <c r="G274" s="126">
        <f t="shared" si="44"/>
        <v>0</v>
      </c>
      <c r="H274" s="126">
        <f t="shared" si="44"/>
        <v>0</v>
      </c>
      <c r="I274" s="126">
        <f t="shared" si="44"/>
        <v>0</v>
      </c>
      <c r="J274" s="126">
        <f t="shared" si="44"/>
        <v>0</v>
      </c>
      <c r="K274" s="126">
        <f t="shared" si="44"/>
        <v>0</v>
      </c>
      <c r="L274" s="127">
        <f t="shared" si="44"/>
        <v>0</v>
      </c>
    </row>
    <row r="275" spans="3:12" ht="15.6" hidden="1">
      <c r="C275" s="39" t="str">
        <f t="shared" si="41"/>
        <v>H</v>
      </c>
      <c r="D275" s="45" t="str">
        <f>Parameter!E$48</f>
        <v>Viture Pro</v>
      </c>
      <c r="E275" s="125">
        <f t="shared" ref="E275:L284" si="45">SUMIF(ARVR_Y_PC_PR, "AR_"&amp;E$234&amp;"_"&amp;$D$233&amp;"_"&amp;$D275, PanelQ)</f>
        <v>0</v>
      </c>
      <c r="F275" s="126">
        <f t="shared" si="45"/>
        <v>0</v>
      </c>
      <c r="G275" s="126">
        <f t="shared" si="45"/>
        <v>0</v>
      </c>
      <c r="H275" s="126">
        <f t="shared" si="45"/>
        <v>0</v>
      </c>
      <c r="I275" s="126">
        <f t="shared" si="45"/>
        <v>0</v>
      </c>
      <c r="J275" s="126">
        <f t="shared" si="45"/>
        <v>0</v>
      </c>
      <c r="K275" s="126">
        <f t="shared" si="45"/>
        <v>0</v>
      </c>
      <c r="L275" s="127">
        <f t="shared" si="45"/>
        <v>0</v>
      </c>
    </row>
    <row r="276" spans="3:12" ht="15.6" hidden="1">
      <c r="C276" s="39" t="str">
        <f t="shared" si="41"/>
        <v>H</v>
      </c>
      <c r="D276" s="45" t="str">
        <f>Parameter!E$49</f>
        <v>X3 Pro</v>
      </c>
      <c r="E276" s="125">
        <f t="shared" si="45"/>
        <v>0</v>
      </c>
      <c r="F276" s="126">
        <f t="shared" si="45"/>
        <v>0</v>
      </c>
      <c r="G276" s="126">
        <f t="shared" si="45"/>
        <v>0</v>
      </c>
      <c r="H276" s="126">
        <f t="shared" si="45"/>
        <v>0</v>
      </c>
      <c r="I276" s="126">
        <f t="shared" si="45"/>
        <v>0</v>
      </c>
      <c r="J276" s="126">
        <f t="shared" si="45"/>
        <v>0</v>
      </c>
      <c r="K276" s="126">
        <f t="shared" si="45"/>
        <v>0</v>
      </c>
      <c r="L276" s="127">
        <f t="shared" si="45"/>
        <v>0</v>
      </c>
    </row>
    <row r="277" spans="3:12" ht="15.6" hidden="1">
      <c r="C277" s="39" t="str">
        <f t="shared" si="41"/>
        <v>H</v>
      </c>
      <c r="D277" s="45" t="str">
        <f>Parameter!E$50</f>
        <v>Z100</v>
      </c>
      <c r="E277" s="125">
        <f t="shared" si="45"/>
        <v>0</v>
      </c>
      <c r="F277" s="126">
        <f t="shared" si="45"/>
        <v>0</v>
      </c>
      <c r="G277" s="126">
        <f t="shared" si="45"/>
        <v>0</v>
      </c>
      <c r="H277" s="126">
        <f t="shared" si="45"/>
        <v>0</v>
      </c>
      <c r="I277" s="126">
        <f t="shared" si="45"/>
        <v>0</v>
      </c>
      <c r="J277" s="126">
        <f t="shared" si="45"/>
        <v>0</v>
      </c>
      <c r="K277" s="126">
        <f t="shared" si="45"/>
        <v>0</v>
      </c>
      <c r="L277" s="127">
        <f t="shared" si="45"/>
        <v>0</v>
      </c>
    </row>
    <row r="278" spans="3:12" ht="15.6" hidden="1">
      <c r="C278" s="39" t="str">
        <f t="shared" si="41"/>
        <v>H</v>
      </c>
      <c r="D278" s="45">
        <f>Parameter!E$51</f>
        <v>0</v>
      </c>
      <c r="E278" s="125">
        <f t="shared" si="45"/>
        <v>0</v>
      </c>
      <c r="F278" s="126">
        <f t="shared" si="45"/>
        <v>0</v>
      </c>
      <c r="G278" s="126">
        <f t="shared" si="45"/>
        <v>0</v>
      </c>
      <c r="H278" s="126">
        <f t="shared" si="45"/>
        <v>0</v>
      </c>
      <c r="I278" s="126">
        <f t="shared" si="45"/>
        <v>0</v>
      </c>
      <c r="J278" s="126">
        <f t="shared" si="45"/>
        <v>0</v>
      </c>
      <c r="K278" s="126">
        <f t="shared" si="45"/>
        <v>0</v>
      </c>
      <c r="L278" s="127">
        <f t="shared" si="45"/>
        <v>0</v>
      </c>
    </row>
    <row r="279" spans="3:12" ht="15.6" hidden="1">
      <c r="C279" s="39" t="str">
        <f t="shared" si="41"/>
        <v>H</v>
      </c>
      <c r="D279" s="45">
        <f>Parameter!E$52</f>
        <v>0</v>
      </c>
      <c r="E279" s="125">
        <f t="shared" si="45"/>
        <v>0</v>
      </c>
      <c r="F279" s="126">
        <f t="shared" si="45"/>
        <v>0</v>
      </c>
      <c r="G279" s="126">
        <f t="shared" si="45"/>
        <v>0</v>
      </c>
      <c r="H279" s="126">
        <f t="shared" si="45"/>
        <v>0</v>
      </c>
      <c r="I279" s="126">
        <f t="shared" si="45"/>
        <v>0</v>
      </c>
      <c r="J279" s="126">
        <f t="shared" si="45"/>
        <v>0</v>
      </c>
      <c r="K279" s="126">
        <f t="shared" si="45"/>
        <v>0</v>
      </c>
      <c r="L279" s="127">
        <f t="shared" si="45"/>
        <v>0</v>
      </c>
    </row>
    <row r="280" spans="3:12" ht="15.6" hidden="1">
      <c r="C280" s="39" t="str">
        <f t="shared" si="41"/>
        <v>H</v>
      </c>
      <c r="D280" s="45">
        <f>Parameter!E$53</f>
        <v>0</v>
      </c>
      <c r="E280" s="125">
        <f t="shared" si="45"/>
        <v>0</v>
      </c>
      <c r="F280" s="126">
        <f t="shared" si="45"/>
        <v>0</v>
      </c>
      <c r="G280" s="126">
        <f t="shared" si="45"/>
        <v>0</v>
      </c>
      <c r="H280" s="126">
        <f t="shared" si="45"/>
        <v>0</v>
      </c>
      <c r="I280" s="126">
        <f t="shared" si="45"/>
        <v>0</v>
      </c>
      <c r="J280" s="126">
        <f t="shared" si="45"/>
        <v>0</v>
      </c>
      <c r="K280" s="126">
        <f t="shared" si="45"/>
        <v>0</v>
      </c>
      <c r="L280" s="127">
        <f t="shared" si="45"/>
        <v>0</v>
      </c>
    </row>
    <row r="281" spans="3:12" ht="15.6" hidden="1">
      <c r="C281" s="39" t="str">
        <f t="shared" si="41"/>
        <v>H</v>
      </c>
      <c r="D281" s="45">
        <f>Parameter!E$54</f>
        <v>0</v>
      </c>
      <c r="E281" s="125">
        <f t="shared" si="45"/>
        <v>0</v>
      </c>
      <c r="F281" s="126">
        <f t="shared" si="45"/>
        <v>0</v>
      </c>
      <c r="G281" s="126">
        <f t="shared" si="45"/>
        <v>0</v>
      </c>
      <c r="H281" s="126">
        <f t="shared" si="45"/>
        <v>0</v>
      </c>
      <c r="I281" s="126">
        <f t="shared" si="45"/>
        <v>0</v>
      </c>
      <c r="J281" s="126">
        <f t="shared" si="45"/>
        <v>0</v>
      </c>
      <c r="K281" s="126">
        <f t="shared" si="45"/>
        <v>0</v>
      </c>
      <c r="L281" s="127">
        <f t="shared" si="45"/>
        <v>0</v>
      </c>
    </row>
    <row r="282" spans="3:12" ht="15.6" hidden="1">
      <c r="C282" s="39" t="str">
        <f t="shared" si="41"/>
        <v>H</v>
      </c>
      <c r="D282" s="45">
        <f>Parameter!E$55</f>
        <v>0</v>
      </c>
      <c r="E282" s="125">
        <f t="shared" si="45"/>
        <v>0</v>
      </c>
      <c r="F282" s="126">
        <f t="shared" si="45"/>
        <v>0</v>
      </c>
      <c r="G282" s="126">
        <f t="shared" si="45"/>
        <v>0</v>
      </c>
      <c r="H282" s="126">
        <f t="shared" si="45"/>
        <v>0</v>
      </c>
      <c r="I282" s="126">
        <f t="shared" si="45"/>
        <v>0</v>
      </c>
      <c r="J282" s="126">
        <f t="shared" si="45"/>
        <v>0</v>
      </c>
      <c r="K282" s="126">
        <f t="shared" si="45"/>
        <v>0</v>
      </c>
      <c r="L282" s="127">
        <f t="shared" si="45"/>
        <v>0</v>
      </c>
    </row>
    <row r="283" spans="3:12" ht="15.6" hidden="1">
      <c r="C283" s="39" t="str">
        <f t="shared" si="41"/>
        <v>H</v>
      </c>
      <c r="D283" s="45">
        <f>Parameter!E$56</f>
        <v>0</v>
      </c>
      <c r="E283" s="125">
        <f t="shared" si="45"/>
        <v>0</v>
      </c>
      <c r="F283" s="126">
        <f t="shared" si="45"/>
        <v>0</v>
      </c>
      <c r="G283" s="126">
        <f t="shared" si="45"/>
        <v>0</v>
      </c>
      <c r="H283" s="126">
        <f t="shared" si="45"/>
        <v>0</v>
      </c>
      <c r="I283" s="126">
        <f t="shared" si="45"/>
        <v>0</v>
      </c>
      <c r="J283" s="126">
        <f t="shared" si="45"/>
        <v>0</v>
      </c>
      <c r="K283" s="126">
        <f t="shared" si="45"/>
        <v>0</v>
      </c>
      <c r="L283" s="127">
        <f t="shared" si="45"/>
        <v>0</v>
      </c>
    </row>
    <row r="284" spans="3:12" ht="16.2" hidden="1" thickBot="1">
      <c r="C284" s="39" t="str">
        <f t="shared" si="41"/>
        <v>H</v>
      </c>
      <c r="D284" s="53" t="str">
        <f>Parameter!E$57</f>
        <v>ALL</v>
      </c>
      <c r="E284" s="128">
        <f t="shared" si="45"/>
        <v>0</v>
      </c>
      <c r="F284" s="129">
        <f t="shared" si="45"/>
        <v>0</v>
      </c>
      <c r="G284" s="129">
        <f t="shared" si="45"/>
        <v>0</v>
      </c>
      <c r="H284" s="129">
        <f t="shared" si="45"/>
        <v>0</v>
      </c>
      <c r="I284" s="129">
        <f t="shared" si="45"/>
        <v>0</v>
      </c>
      <c r="J284" s="129">
        <f t="shared" si="45"/>
        <v>0</v>
      </c>
      <c r="K284" s="129">
        <f t="shared" si="45"/>
        <v>0</v>
      </c>
      <c r="L284" s="130">
        <f t="shared" si="45"/>
        <v>0</v>
      </c>
    </row>
    <row r="285" spans="3:12" ht="15.6">
      <c r="C285" s="39" t="str">
        <f t="shared" si="41"/>
        <v/>
      </c>
      <c r="D285" s="54" t="s">
        <v>87</v>
      </c>
      <c r="E285" s="131">
        <f>SUM(E235:E284)</f>
        <v>3.0800000000000001E-2</v>
      </c>
      <c r="F285" s="132">
        <f t="shared" ref="F285:L285" si="46">SUM(F235:F284)</f>
        <v>0</v>
      </c>
      <c r="G285" s="132">
        <f t="shared" si="46"/>
        <v>0</v>
      </c>
      <c r="H285" s="132">
        <f t="shared" si="46"/>
        <v>0</v>
      </c>
      <c r="I285" s="132">
        <f t="shared" si="46"/>
        <v>0</v>
      </c>
      <c r="J285" s="132">
        <f t="shared" si="46"/>
        <v>0</v>
      </c>
      <c r="K285" s="132">
        <f t="shared" si="46"/>
        <v>0</v>
      </c>
      <c r="L285" s="133">
        <f t="shared" si="46"/>
        <v>0</v>
      </c>
    </row>
    <row r="286" spans="3:12" ht="16.2" hidden="1" thickBot="1">
      <c r="C286" s="39" t="str">
        <f t="shared" si="41"/>
        <v>H</v>
      </c>
      <c r="D286" s="46" t="s">
        <v>88</v>
      </c>
      <c r="E286" s="47"/>
      <c r="F286" s="50" t="str">
        <f t="shared" ref="F286:G286" si="47">IF(E285*F285=0, "", F285/E285-1)</f>
        <v/>
      </c>
      <c r="G286" s="50" t="str">
        <f t="shared" si="47"/>
        <v/>
      </c>
      <c r="H286" s="50" t="str">
        <f>IF(G285*H285=0, "", H285/G285-1)</f>
        <v/>
      </c>
      <c r="I286" s="50" t="str">
        <f t="shared" ref="I286:L286" si="48">IF(H285*I285=0, "", I285/H285-1)</f>
        <v/>
      </c>
      <c r="J286" s="50" t="str">
        <f t="shared" si="48"/>
        <v/>
      </c>
      <c r="K286" s="50" t="str">
        <f t="shared" si="48"/>
        <v/>
      </c>
      <c r="L286" s="51" t="str">
        <f t="shared" si="48"/>
        <v/>
      </c>
    </row>
    <row r="287" spans="3:12">
      <c r="C287"/>
    </row>
    <row r="288" spans="3:12" ht="14.4" thickBot="1">
      <c r="C288"/>
    </row>
    <row r="289" spans="3:12" ht="15" thickBot="1">
      <c r="C289"/>
      <c r="D289" s="52" t="str">
        <f>Parameter!I13</f>
        <v>2x LCoS</v>
      </c>
    </row>
    <row r="290" spans="3:12" ht="16.2" thickBot="1">
      <c r="C290"/>
      <c r="D290" s="40" t="s">
        <v>85</v>
      </c>
      <c r="E290" s="41" t="str">
        <f t="shared" ref="E290:L290" si="49">E10</f>
        <v>2022</v>
      </c>
      <c r="F290" s="42" t="str">
        <f t="shared" si="49"/>
        <v>2023</v>
      </c>
      <c r="G290" s="42" t="str">
        <f t="shared" si="49"/>
        <v>2024</v>
      </c>
      <c r="H290" s="42">
        <f t="shared" si="49"/>
        <v>2025</v>
      </c>
      <c r="I290" s="42" t="str">
        <f t="shared" si="49"/>
        <v>2026</v>
      </c>
      <c r="J290" s="42" t="str">
        <f t="shared" si="49"/>
        <v>2027</v>
      </c>
      <c r="K290" s="42" t="str">
        <f t="shared" si="49"/>
        <v>2028</v>
      </c>
      <c r="L290" s="43" t="str">
        <f t="shared" si="49"/>
        <v>2029</v>
      </c>
    </row>
    <row r="291" spans="3:12" ht="15.6" hidden="1">
      <c r="C291" s="39" t="str">
        <f>IF(SUM(E291:L291)=0, "H", "")</f>
        <v>H</v>
      </c>
      <c r="D291" s="44" t="str">
        <f>Parameter!E$8</f>
        <v>Air</v>
      </c>
      <c r="E291" s="125">
        <f t="shared" ref="E291:L300" si="50">SUMIF(ARVR_Y_PC_PR, "AR_"&amp;E$290&amp;"_"&amp;$D$289&amp;"_"&amp;$D291, PanelQ)</f>
        <v>0</v>
      </c>
      <c r="F291" s="126">
        <f t="shared" si="50"/>
        <v>0</v>
      </c>
      <c r="G291" s="126">
        <f t="shared" si="50"/>
        <v>0</v>
      </c>
      <c r="H291" s="126">
        <f t="shared" si="50"/>
        <v>0</v>
      </c>
      <c r="I291" s="126">
        <f t="shared" si="50"/>
        <v>0</v>
      </c>
      <c r="J291" s="126">
        <f t="shared" si="50"/>
        <v>0</v>
      </c>
      <c r="K291" s="126">
        <f t="shared" si="50"/>
        <v>0</v>
      </c>
      <c r="L291" s="127">
        <f t="shared" si="50"/>
        <v>0</v>
      </c>
    </row>
    <row r="292" spans="3:12" ht="15.6" hidden="1">
      <c r="C292" s="39" t="str">
        <f t="shared" ref="C292:C342" si="51">IF(SUM(E292:L292)=0, "H", "")</f>
        <v>H</v>
      </c>
      <c r="D292" s="44" t="str">
        <f>Parameter!E$9</f>
        <v>Air 2</v>
      </c>
      <c r="E292" s="125">
        <f t="shared" si="50"/>
        <v>0</v>
      </c>
      <c r="F292" s="126">
        <f t="shared" si="50"/>
        <v>0</v>
      </c>
      <c r="G292" s="126">
        <f t="shared" si="50"/>
        <v>0</v>
      </c>
      <c r="H292" s="126">
        <f t="shared" si="50"/>
        <v>0</v>
      </c>
      <c r="I292" s="126">
        <f t="shared" si="50"/>
        <v>0</v>
      </c>
      <c r="J292" s="126">
        <f t="shared" si="50"/>
        <v>0</v>
      </c>
      <c r="K292" s="126">
        <f t="shared" si="50"/>
        <v>0</v>
      </c>
      <c r="L292" s="127">
        <f t="shared" si="50"/>
        <v>0</v>
      </c>
    </row>
    <row r="293" spans="3:12" ht="15.6" hidden="1">
      <c r="C293" s="39" t="str">
        <f t="shared" si="51"/>
        <v>H</v>
      </c>
      <c r="D293" s="45" t="str">
        <f>Parameter!E$10</f>
        <v>Air 3</v>
      </c>
      <c r="E293" s="125">
        <f t="shared" si="50"/>
        <v>0</v>
      </c>
      <c r="F293" s="126">
        <f t="shared" si="50"/>
        <v>0</v>
      </c>
      <c r="G293" s="126">
        <f t="shared" si="50"/>
        <v>0</v>
      </c>
      <c r="H293" s="126">
        <f t="shared" si="50"/>
        <v>0</v>
      </c>
      <c r="I293" s="126">
        <f t="shared" si="50"/>
        <v>0</v>
      </c>
      <c r="J293" s="126">
        <f t="shared" si="50"/>
        <v>0</v>
      </c>
      <c r="K293" s="126">
        <f t="shared" si="50"/>
        <v>0</v>
      </c>
      <c r="L293" s="127">
        <f t="shared" si="50"/>
        <v>0</v>
      </c>
    </row>
    <row r="294" spans="3:12" ht="15.6" hidden="1">
      <c r="C294" s="39" t="str">
        <f t="shared" si="51"/>
        <v>H</v>
      </c>
      <c r="D294" s="45" t="str">
        <f>Parameter!E$11</f>
        <v>Air 3s Pro</v>
      </c>
      <c r="E294" s="125">
        <f t="shared" si="50"/>
        <v>0</v>
      </c>
      <c r="F294" s="126">
        <f t="shared" si="50"/>
        <v>0</v>
      </c>
      <c r="G294" s="126">
        <f t="shared" si="50"/>
        <v>0</v>
      </c>
      <c r="H294" s="126">
        <f t="shared" si="50"/>
        <v>0</v>
      </c>
      <c r="I294" s="126">
        <f t="shared" si="50"/>
        <v>0</v>
      </c>
      <c r="J294" s="126">
        <f t="shared" si="50"/>
        <v>0</v>
      </c>
      <c r="K294" s="126">
        <f t="shared" si="50"/>
        <v>0</v>
      </c>
      <c r="L294" s="127">
        <f t="shared" si="50"/>
        <v>0</v>
      </c>
    </row>
    <row r="295" spans="3:12" ht="15.6" hidden="1">
      <c r="C295" s="39" t="str">
        <f t="shared" si="51"/>
        <v>H</v>
      </c>
      <c r="D295" s="45" t="str">
        <f>Parameter!E$12</f>
        <v>Air Glass</v>
      </c>
      <c r="E295" s="125">
        <f t="shared" si="50"/>
        <v>0</v>
      </c>
      <c r="F295" s="126">
        <f t="shared" si="50"/>
        <v>0</v>
      </c>
      <c r="G295" s="126">
        <f t="shared" si="50"/>
        <v>0</v>
      </c>
      <c r="H295" s="126">
        <f t="shared" si="50"/>
        <v>0</v>
      </c>
      <c r="I295" s="126">
        <f t="shared" si="50"/>
        <v>0</v>
      </c>
      <c r="J295" s="126">
        <f t="shared" si="50"/>
        <v>0</v>
      </c>
      <c r="K295" s="126">
        <f t="shared" si="50"/>
        <v>0</v>
      </c>
      <c r="L295" s="127">
        <f t="shared" si="50"/>
        <v>0</v>
      </c>
    </row>
    <row r="296" spans="3:12" ht="15.6" hidden="1">
      <c r="C296" s="39" t="str">
        <f t="shared" si="51"/>
        <v>H</v>
      </c>
      <c r="D296" s="45" t="str">
        <f>Parameter!E$13</f>
        <v>Binocular MicroLED</v>
      </c>
      <c r="E296" s="125">
        <f t="shared" si="50"/>
        <v>0</v>
      </c>
      <c r="F296" s="126">
        <f t="shared" si="50"/>
        <v>0</v>
      </c>
      <c r="G296" s="126">
        <f t="shared" si="50"/>
        <v>0</v>
      </c>
      <c r="H296" s="126">
        <f t="shared" si="50"/>
        <v>0</v>
      </c>
      <c r="I296" s="126">
        <f t="shared" si="50"/>
        <v>0</v>
      </c>
      <c r="J296" s="126">
        <f t="shared" si="50"/>
        <v>0</v>
      </c>
      <c r="K296" s="126">
        <f t="shared" si="50"/>
        <v>0</v>
      </c>
      <c r="L296" s="127">
        <f t="shared" si="50"/>
        <v>0</v>
      </c>
    </row>
    <row r="297" spans="3:12" ht="15.6" hidden="1">
      <c r="C297" s="39" t="str">
        <f t="shared" si="51"/>
        <v>H</v>
      </c>
      <c r="D297" s="45" t="str">
        <f>Parameter!E$14</f>
        <v>Blade</v>
      </c>
      <c r="E297" s="125">
        <f t="shared" si="50"/>
        <v>0</v>
      </c>
      <c r="F297" s="126">
        <f t="shared" si="50"/>
        <v>0</v>
      </c>
      <c r="G297" s="126">
        <f t="shared" si="50"/>
        <v>0</v>
      </c>
      <c r="H297" s="126">
        <f t="shared" si="50"/>
        <v>0</v>
      </c>
      <c r="I297" s="126">
        <f t="shared" si="50"/>
        <v>0</v>
      </c>
      <c r="J297" s="126">
        <f t="shared" si="50"/>
        <v>0</v>
      </c>
      <c r="K297" s="126">
        <f t="shared" si="50"/>
        <v>0</v>
      </c>
      <c r="L297" s="127">
        <f t="shared" si="50"/>
        <v>0</v>
      </c>
    </row>
    <row r="298" spans="3:12" ht="15.6" hidden="1">
      <c r="C298" s="39" t="str">
        <f t="shared" si="51"/>
        <v>H</v>
      </c>
      <c r="D298" s="45" t="str">
        <f>Parameter!E$15</f>
        <v>DLP glasses</v>
      </c>
      <c r="E298" s="125">
        <f t="shared" si="50"/>
        <v>0</v>
      </c>
      <c r="F298" s="126">
        <f t="shared" si="50"/>
        <v>0</v>
      </c>
      <c r="G298" s="126">
        <f t="shared" si="50"/>
        <v>0</v>
      </c>
      <c r="H298" s="126">
        <f t="shared" si="50"/>
        <v>0</v>
      </c>
      <c r="I298" s="126">
        <f t="shared" si="50"/>
        <v>0</v>
      </c>
      <c r="J298" s="126">
        <f t="shared" si="50"/>
        <v>0</v>
      </c>
      <c r="K298" s="126">
        <f t="shared" si="50"/>
        <v>0</v>
      </c>
      <c r="L298" s="127">
        <f t="shared" si="50"/>
        <v>0</v>
      </c>
    </row>
    <row r="299" spans="3:12" ht="15.6" hidden="1">
      <c r="C299" s="39" t="str">
        <f t="shared" si="51"/>
        <v>H</v>
      </c>
      <c r="D299" s="45" t="str">
        <f>Parameter!E$16</f>
        <v>G1</v>
      </c>
      <c r="E299" s="125">
        <f t="shared" si="50"/>
        <v>0</v>
      </c>
      <c r="F299" s="126">
        <f t="shared" si="50"/>
        <v>0</v>
      </c>
      <c r="G299" s="126">
        <f t="shared" si="50"/>
        <v>0</v>
      </c>
      <c r="H299" s="126">
        <f t="shared" si="50"/>
        <v>0</v>
      </c>
      <c r="I299" s="126">
        <f t="shared" si="50"/>
        <v>0</v>
      </c>
      <c r="J299" s="126">
        <f t="shared" si="50"/>
        <v>0</v>
      </c>
      <c r="K299" s="126">
        <f t="shared" si="50"/>
        <v>0</v>
      </c>
      <c r="L299" s="127">
        <f t="shared" si="50"/>
        <v>0</v>
      </c>
    </row>
    <row r="300" spans="3:12" ht="15.6" hidden="1">
      <c r="C300" s="39" t="str">
        <f t="shared" si="51"/>
        <v>H</v>
      </c>
      <c r="D300" s="45" t="str">
        <f>Parameter!E$17</f>
        <v>Glass</v>
      </c>
      <c r="E300" s="125">
        <f t="shared" si="50"/>
        <v>0</v>
      </c>
      <c r="F300" s="126">
        <f t="shared" si="50"/>
        <v>0</v>
      </c>
      <c r="G300" s="126">
        <f t="shared" si="50"/>
        <v>0</v>
      </c>
      <c r="H300" s="126">
        <f t="shared" si="50"/>
        <v>0</v>
      </c>
      <c r="I300" s="126">
        <f t="shared" si="50"/>
        <v>0</v>
      </c>
      <c r="J300" s="126">
        <f t="shared" si="50"/>
        <v>0</v>
      </c>
      <c r="K300" s="126">
        <f t="shared" si="50"/>
        <v>0</v>
      </c>
      <c r="L300" s="127">
        <f t="shared" si="50"/>
        <v>0</v>
      </c>
    </row>
    <row r="301" spans="3:12" ht="15.6" hidden="1">
      <c r="C301" s="39" t="str">
        <f t="shared" si="51"/>
        <v>H</v>
      </c>
      <c r="D301" s="45" t="str">
        <f>Parameter!E$18</f>
        <v>Glasses</v>
      </c>
      <c r="E301" s="125">
        <f t="shared" ref="E301:L310" si="52">SUMIF(ARVR_Y_PC_PR, "AR_"&amp;E$290&amp;"_"&amp;$D$289&amp;"_"&amp;$D301, PanelQ)</f>
        <v>0</v>
      </c>
      <c r="F301" s="126">
        <f t="shared" si="52"/>
        <v>0</v>
      </c>
      <c r="G301" s="126">
        <f t="shared" si="52"/>
        <v>0</v>
      </c>
      <c r="H301" s="126">
        <f t="shared" si="52"/>
        <v>0</v>
      </c>
      <c r="I301" s="126">
        <f t="shared" si="52"/>
        <v>0</v>
      </c>
      <c r="J301" s="126">
        <f t="shared" si="52"/>
        <v>0</v>
      </c>
      <c r="K301" s="126">
        <f t="shared" si="52"/>
        <v>0</v>
      </c>
      <c r="L301" s="127">
        <f t="shared" si="52"/>
        <v>0</v>
      </c>
    </row>
    <row r="302" spans="3:12" ht="15.6" hidden="1">
      <c r="C302" s="39" t="str">
        <f t="shared" si="51"/>
        <v>H</v>
      </c>
      <c r="D302" s="45" t="str">
        <f>Parameter!E$19</f>
        <v>Go</v>
      </c>
      <c r="E302" s="125">
        <f t="shared" si="52"/>
        <v>0</v>
      </c>
      <c r="F302" s="126">
        <f t="shared" si="52"/>
        <v>0</v>
      </c>
      <c r="G302" s="126">
        <f t="shared" si="52"/>
        <v>0</v>
      </c>
      <c r="H302" s="126">
        <f t="shared" si="52"/>
        <v>0</v>
      </c>
      <c r="I302" s="126">
        <f t="shared" si="52"/>
        <v>0</v>
      </c>
      <c r="J302" s="126">
        <f t="shared" si="52"/>
        <v>0</v>
      </c>
      <c r="K302" s="126">
        <f t="shared" si="52"/>
        <v>0</v>
      </c>
      <c r="L302" s="127">
        <f t="shared" si="52"/>
        <v>0</v>
      </c>
    </row>
    <row r="303" spans="3:12" ht="15.6" hidden="1">
      <c r="C303" s="39" t="str">
        <f t="shared" si="51"/>
        <v>H</v>
      </c>
      <c r="D303" s="45" t="str">
        <f>Parameter!E$20</f>
        <v>Go 2</v>
      </c>
      <c r="E303" s="125">
        <f t="shared" si="52"/>
        <v>0</v>
      </c>
      <c r="F303" s="126">
        <f t="shared" si="52"/>
        <v>0</v>
      </c>
      <c r="G303" s="126">
        <f t="shared" si="52"/>
        <v>0</v>
      </c>
      <c r="H303" s="126">
        <f t="shared" si="52"/>
        <v>0</v>
      </c>
      <c r="I303" s="126">
        <f t="shared" si="52"/>
        <v>0</v>
      </c>
      <c r="J303" s="126">
        <f t="shared" si="52"/>
        <v>0</v>
      </c>
      <c r="K303" s="126">
        <f t="shared" si="52"/>
        <v>0</v>
      </c>
      <c r="L303" s="127">
        <f t="shared" si="52"/>
        <v>0</v>
      </c>
    </row>
    <row r="304" spans="3:12" ht="15.6" hidden="1">
      <c r="C304" s="39" t="str">
        <f t="shared" si="51"/>
        <v>H</v>
      </c>
      <c r="D304" s="45" t="str">
        <f>Parameter!E$21</f>
        <v>HoloLens 2</v>
      </c>
      <c r="E304" s="125">
        <f t="shared" si="52"/>
        <v>0</v>
      </c>
      <c r="F304" s="126">
        <f t="shared" si="52"/>
        <v>0</v>
      </c>
      <c r="G304" s="126">
        <f t="shared" si="52"/>
        <v>0</v>
      </c>
      <c r="H304" s="126">
        <f t="shared" si="52"/>
        <v>0</v>
      </c>
      <c r="I304" s="126">
        <f t="shared" si="52"/>
        <v>0</v>
      </c>
      <c r="J304" s="126">
        <f t="shared" si="52"/>
        <v>0</v>
      </c>
      <c r="K304" s="126">
        <f t="shared" si="52"/>
        <v>0</v>
      </c>
      <c r="L304" s="127">
        <f t="shared" si="52"/>
        <v>0</v>
      </c>
    </row>
    <row r="305" spans="3:12" ht="15.6" hidden="1">
      <c r="C305" s="39" t="str">
        <f t="shared" si="51"/>
        <v>H</v>
      </c>
      <c r="D305" s="45" t="str">
        <f>Parameter!E$22</f>
        <v>INAIR 2</v>
      </c>
      <c r="E305" s="125">
        <f t="shared" si="52"/>
        <v>0</v>
      </c>
      <c r="F305" s="126">
        <f t="shared" si="52"/>
        <v>0</v>
      </c>
      <c r="G305" s="126">
        <f t="shared" si="52"/>
        <v>0</v>
      </c>
      <c r="H305" s="126">
        <f t="shared" si="52"/>
        <v>0</v>
      </c>
      <c r="I305" s="126">
        <f t="shared" si="52"/>
        <v>0</v>
      </c>
      <c r="J305" s="126">
        <f t="shared" si="52"/>
        <v>0</v>
      </c>
      <c r="K305" s="126">
        <f t="shared" si="52"/>
        <v>0</v>
      </c>
      <c r="L305" s="127">
        <f t="shared" si="52"/>
        <v>0</v>
      </c>
    </row>
    <row r="306" spans="3:12" ht="15.6" hidden="1">
      <c r="C306" s="39" t="str">
        <f t="shared" si="51"/>
        <v>H</v>
      </c>
      <c r="D306" s="45" t="str">
        <f>Parameter!E$23</f>
        <v>INAIR 2 Pro</v>
      </c>
      <c r="E306" s="125">
        <f t="shared" si="52"/>
        <v>0</v>
      </c>
      <c r="F306" s="126">
        <f t="shared" si="52"/>
        <v>0</v>
      </c>
      <c r="G306" s="126">
        <f t="shared" si="52"/>
        <v>0</v>
      </c>
      <c r="H306" s="126">
        <f t="shared" si="52"/>
        <v>0</v>
      </c>
      <c r="I306" s="126">
        <f t="shared" si="52"/>
        <v>0</v>
      </c>
      <c r="J306" s="126">
        <f t="shared" si="52"/>
        <v>0</v>
      </c>
      <c r="K306" s="126">
        <f t="shared" si="52"/>
        <v>0</v>
      </c>
      <c r="L306" s="127">
        <f t="shared" si="52"/>
        <v>0</v>
      </c>
    </row>
    <row r="307" spans="3:12" ht="15.6" hidden="1">
      <c r="C307" s="39" t="str">
        <f t="shared" si="51"/>
        <v>H</v>
      </c>
      <c r="D307" s="45" t="str">
        <f>Parameter!E$24</f>
        <v>LBS glasses</v>
      </c>
      <c r="E307" s="125">
        <f t="shared" si="52"/>
        <v>0</v>
      </c>
      <c r="F307" s="126">
        <f t="shared" si="52"/>
        <v>0</v>
      </c>
      <c r="G307" s="126">
        <f t="shared" si="52"/>
        <v>0</v>
      </c>
      <c r="H307" s="126">
        <f t="shared" si="52"/>
        <v>0</v>
      </c>
      <c r="I307" s="126">
        <f t="shared" si="52"/>
        <v>0</v>
      </c>
      <c r="J307" s="126">
        <f t="shared" si="52"/>
        <v>0</v>
      </c>
      <c r="K307" s="126">
        <f t="shared" si="52"/>
        <v>0</v>
      </c>
      <c r="L307" s="127">
        <f t="shared" si="52"/>
        <v>0</v>
      </c>
    </row>
    <row r="308" spans="3:12" ht="15.6">
      <c r="C308" s="39" t="str">
        <f t="shared" si="51"/>
        <v/>
      </c>
      <c r="D308" s="45" t="str">
        <f>Parameter!E$25</f>
        <v>LCoS glasses</v>
      </c>
      <c r="E308" s="125">
        <f t="shared" si="52"/>
        <v>1.6500000000000001E-2</v>
      </c>
      <c r="F308" s="126">
        <f t="shared" si="52"/>
        <v>1.32E-2</v>
      </c>
      <c r="G308" s="126">
        <f t="shared" si="52"/>
        <v>4.8400000000000006E-3</v>
      </c>
      <c r="H308" s="126">
        <f t="shared" si="52"/>
        <v>3.5199999999999995E-2</v>
      </c>
      <c r="I308" s="126">
        <f t="shared" si="52"/>
        <v>0.187</v>
      </c>
      <c r="J308" s="126">
        <f t="shared" si="52"/>
        <v>0.187</v>
      </c>
      <c r="K308" s="126">
        <f t="shared" si="52"/>
        <v>1.056</v>
      </c>
      <c r="L308" s="127">
        <f t="shared" si="52"/>
        <v>1.232</v>
      </c>
    </row>
    <row r="309" spans="3:12" ht="15.6" hidden="1">
      <c r="C309" s="39" t="str">
        <f t="shared" si="51"/>
        <v>H</v>
      </c>
      <c r="D309" s="45" t="str">
        <f>Parameter!E$26</f>
        <v>Lenovo Legion Glasses 2</v>
      </c>
      <c r="E309" s="125">
        <f t="shared" si="52"/>
        <v>0</v>
      </c>
      <c r="F309" s="126">
        <f t="shared" si="52"/>
        <v>0</v>
      </c>
      <c r="G309" s="126">
        <f t="shared" si="52"/>
        <v>0</v>
      </c>
      <c r="H309" s="126">
        <f t="shared" si="52"/>
        <v>0</v>
      </c>
      <c r="I309" s="126">
        <f t="shared" si="52"/>
        <v>0</v>
      </c>
      <c r="J309" s="126">
        <f t="shared" si="52"/>
        <v>0</v>
      </c>
      <c r="K309" s="126">
        <f t="shared" si="52"/>
        <v>0</v>
      </c>
      <c r="L309" s="127">
        <f t="shared" si="52"/>
        <v>0</v>
      </c>
    </row>
    <row r="310" spans="3:12" ht="15.6" hidden="1">
      <c r="C310" s="39" t="str">
        <f t="shared" si="51"/>
        <v>H</v>
      </c>
      <c r="D310" s="45" t="str">
        <f>Parameter!E$27</f>
        <v>Light</v>
      </c>
      <c r="E310" s="125">
        <f t="shared" si="52"/>
        <v>0</v>
      </c>
      <c r="F310" s="126">
        <f t="shared" si="52"/>
        <v>0</v>
      </c>
      <c r="G310" s="126">
        <f t="shared" si="52"/>
        <v>0</v>
      </c>
      <c r="H310" s="126">
        <f t="shared" si="52"/>
        <v>0</v>
      </c>
      <c r="I310" s="126">
        <f t="shared" si="52"/>
        <v>0</v>
      </c>
      <c r="J310" s="126">
        <f t="shared" si="52"/>
        <v>0</v>
      </c>
      <c r="K310" s="126">
        <f t="shared" si="52"/>
        <v>0</v>
      </c>
      <c r="L310" s="127">
        <f t="shared" si="52"/>
        <v>0</v>
      </c>
    </row>
    <row r="311" spans="3:12" ht="15.6" hidden="1">
      <c r="C311" s="39" t="str">
        <f t="shared" si="51"/>
        <v>H</v>
      </c>
      <c r="D311" s="45" t="str">
        <f>Parameter!E$28</f>
        <v>Max</v>
      </c>
      <c r="E311" s="125">
        <f t="shared" ref="E311:L320" si="53">SUMIF(ARVR_Y_PC_PR, "AR_"&amp;E$290&amp;"_"&amp;$D$289&amp;"_"&amp;$D311, PanelQ)</f>
        <v>0</v>
      </c>
      <c r="F311" s="126">
        <f t="shared" si="53"/>
        <v>0</v>
      </c>
      <c r="G311" s="126">
        <f t="shared" si="53"/>
        <v>0</v>
      </c>
      <c r="H311" s="126">
        <f t="shared" si="53"/>
        <v>0</v>
      </c>
      <c r="I311" s="126">
        <f t="shared" si="53"/>
        <v>0</v>
      </c>
      <c r="J311" s="126">
        <f t="shared" si="53"/>
        <v>0</v>
      </c>
      <c r="K311" s="126">
        <f t="shared" si="53"/>
        <v>0</v>
      </c>
      <c r="L311" s="127">
        <f t="shared" si="53"/>
        <v>0</v>
      </c>
    </row>
    <row r="312" spans="3:12" ht="15.6" hidden="1">
      <c r="C312" s="39" t="str">
        <f t="shared" si="51"/>
        <v>H</v>
      </c>
      <c r="D312" s="45" t="str">
        <f>Parameter!E$29</f>
        <v>Max 2</v>
      </c>
      <c r="E312" s="125">
        <f t="shared" si="53"/>
        <v>0</v>
      </c>
      <c r="F312" s="126">
        <f t="shared" si="53"/>
        <v>0</v>
      </c>
      <c r="G312" s="126">
        <f t="shared" si="53"/>
        <v>0</v>
      </c>
      <c r="H312" s="126">
        <f t="shared" si="53"/>
        <v>0</v>
      </c>
      <c r="I312" s="126">
        <f t="shared" si="53"/>
        <v>0</v>
      </c>
      <c r="J312" s="126">
        <f t="shared" si="53"/>
        <v>0</v>
      </c>
      <c r="K312" s="126">
        <f t="shared" si="53"/>
        <v>0</v>
      </c>
      <c r="L312" s="127">
        <f t="shared" si="53"/>
        <v>0</v>
      </c>
    </row>
    <row r="313" spans="3:12" ht="15.6" hidden="1">
      <c r="C313" s="39" t="str">
        <f t="shared" si="51"/>
        <v>H</v>
      </c>
      <c r="D313" s="45" t="str">
        <f>Parameter!E$30</f>
        <v>Meizu StarV Air 2</v>
      </c>
      <c r="E313" s="125">
        <f t="shared" si="53"/>
        <v>0</v>
      </c>
      <c r="F313" s="126">
        <f t="shared" si="53"/>
        <v>0</v>
      </c>
      <c r="G313" s="126">
        <f t="shared" si="53"/>
        <v>0</v>
      </c>
      <c r="H313" s="126">
        <f t="shared" si="53"/>
        <v>0</v>
      </c>
      <c r="I313" s="126">
        <f t="shared" si="53"/>
        <v>0</v>
      </c>
      <c r="J313" s="126">
        <f t="shared" si="53"/>
        <v>0</v>
      </c>
      <c r="K313" s="126">
        <f t="shared" si="53"/>
        <v>0</v>
      </c>
      <c r="L313" s="127">
        <f t="shared" si="53"/>
        <v>0</v>
      </c>
    </row>
    <row r="314" spans="3:12" ht="15.6" hidden="1">
      <c r="C314" s="39" t="str">
        <f t="shared" si="51"/>
        <v>H</v>
      </c>
      <c r="D314" s="45" t="str">
        <f>Parameter!E$31</f>
        <v>Meizu StarV View</v>
      </c>
      <c r="E314" s="125">
        <f t="shared" si="53"/>
        <v>0</v>
      </c>
      <c r="F314" s="126">
        <f t="shared" si="53"/>
        <v>0</v>
      </c>
      <c r="G314" s="126">
        <f t="shared" si="53"/>
        <v>0</v>
      </c>
      <c r="H314" s="126">
        <f t="shared" si="53"/>
        <v>0</v>
      </c>
      <c r="I314" s="126">
        <f t="shared" si="53"/>
        <v>0</v>
      </c>
      <c r="J314" s="126">
        <f t="shared" si="53"/>
        <v>0</v>
      </c>
      <c r="K314" s="126">
        <f t="shared" si="53"/>
        <v>0</v>
      </c>
      <c r="L314" s="127">
        <f t="shared" si="53"/>
        <v>0</v>
      </c>
    </row>
    <row r="315" spans="3:12" ht="15.6" hidden="1">
      <c r="C315" s="39" t="str">
        <f t="shared" si="51"/>
        <v>H</v>
      </c>
      <c r="D315" s="45" t="str">
        <f>Parameter!E$32</f>
        <v>MiRZA</v>
      </c>
      <c r="E315" s="125">
        <f t="shared" si="53"/>
        <v>0</v>
      </c>
      <c r="F315" s="126">
        <f t="shared" si="53"/>
        <v>0</v>
      </c>
      <c r="G315" s="126">
        <f t="shared" si="53"/>
        <v>0</v>
      </c>
      <c r="H315" s="126">
        <f t="shared" si="53"/>
        <v>0</v>
      </c>
      <c r="I315" s="126">
        <f t="shared" si="53"/>
        <v>0</v>
      </c>
      <c r="J315" s="126">
        <f t="shared" si="53"/>
        <v>0</v>
      </c>
      <c r="K315" s="126">
        <f t="shared" si="53"/>
        <v>0</v>
      </c>
      <c r="L315" s="127">
        <f t="shared" si="53"/>
        <v>0</v>
      </c>
    </row>
    <row r="316" spans="3:12" ht="16.2" thickBot="1">
      <c r="C316" s="39" t="str">
        <f t="shared" si="51"/>
        <v/>
      </c>
      <c r="D316" s="45" t="str">
        <f>Parameter!E$33</f>
        <v>ML 2</v>
      </c>
      <c r="E316" s="125">
        <f t="shared" si="53"/>
        <v>2.1999999999999999E-2</v>
      </c>
      <c r="F316" s="126">
        <f t="shared" si="53"/>
        <v>7.9639999999999989E-3</v>
      </c>
      <c r="G316" s="126">
        <f t="shared" si="53"/>
        <v>0</v>
      </c>
      <c r="H316" s="126">
        <f t="shared" si="53"/>
        <v>0</v>
      </c>
      <c r="I316" s="126">
        <f t="shared" si="53"/>
        <v>0</v>
      </c>
      <c r="J316" s="126">
        <f t="shared" si="53"/>
        <v>0</v>
      </c>
      <c r="K316" s="126">
        <f t="shared" si="53"/>
        <v>0</v>
      </c>
      <c r="L316" s="127">
        <f t="shared" si="53"/>
        <v>0</v>
      </c>
    </row>
    <row r="317" spans="3:12" ht="15.6" hidden="1">
      <c r="C317" s="39" t="str">
        <f t="shared" si="51"/>
        <v>H</v>
      </c>
      <c r="D317" s="45" t="str">
        <f>Parameter!E$34</f>
        <v>ML One</v>
      </c>
      <c r="E317" s="125">
        <f t="shared" si="53"/>
        <v>0</v>
      </c>
      <c r="F317" s="126">
        <f t="shared" si="53"/>
        <v>0</v>
      </c>
      <c r="G317" s="126">
        <f t="shared" si="53"/>
        <v>0</v>
      </c>
      <c r="H317" s="126">
        <f t="shared" si="53"/>
        <v>0</v>
      </c>
      <c r="I317" s="126">
        <f t="shared" si="53"/>
        <v>0</v>
      </c>
      <c r="J317" s="126">
        <f t="shared" si="53"/>
        <v>0</v>
      </c>
      <c r="K317" s="126">
        <f t="shared" si="53"/>
        <v>0</v>
      </c>
      <c r="L317" s="127">
        <f t="shared" si="53"/>
        <v>0</v>
      </c>
    </row>
    <row r="318" spans="3:12" ht="15.6" hidden="1">
      <c r="C318" s="39" t="str">
        <f t="shared" si="51"/>
        <v>H</v>
      </c>
      <c r="D318" s="45" t="str">
        <f>Parameter!E$35</f>
        <v>Monocular LCoS glasses</v>
      </c>
      <c r="E318" s="125">
        <f t="shared" si="53"/>
        <v>0</v>
      </c>
      <c r="F318" s="126">
        <f t="shared" si="53"/>
        <v>0</v>
      </c>
      <c r="G318" s="126">
        <f t="shared" si="53"/>
        <v>0</v>
      </c>
      <c r="H318" s="126">
        <f t="shared" si="53"/>
        <v>0</v>
      </c>
      <c r="I318" s="126">
        <f t="shared" si="53"/>
        <v>0</v>
      </c>
      <c r="J318" s="126">
        <f t="shared" si="53"/>
        <v>0</v>
      </c>
      <c r="K318" s="126">
        <f t="shared" si="53"/>
        <v>0</v>
      </c>
      <c r="L318" s="127">
        <f t="shared" si="53"/>
        <v>0</v>
      </c>
    </row>
    <row r="319" spans="3:12" ht="15.6" hidden="1">
      <c r="C319" s="39" t="str">
        <f t="shared" si="51"/>
        <v>H</v>
      </c>
      <c r="D319" s="45" t="str">
        <f>Parameter!E$36</f>
        <v>Monocular MicroLED</v>
      </c>
      <c r="E319" s="125">
        <f t="shared" si="53"/>
        <v>0</v>
      </c>
      <c r="F319" s="126">
        <f t="shared" si="53"/>
        <v>0</v>
      </c>
      <c r="G319" s="126">
        <f t="shared" si="53"/>
        <v>0</v>
      </c>
      <c r="H319" s="126">
        <f t="shared" si="53"/>
        <v>0</v>
      </c>
      <c r="I319" s="126">
        <f t="shared" si="53"/>
        <v>0</v>
      </c>
      <c r="J319" s="126">
        <f t="shared" si="53"/>
        <v>0</v>
      </c>
      <c r="K319" s="126">
        <f t="shared" si="53"/>
        <v>0</v>
      </c>
      <c r="L319" s="127">
        <f t="shared" si="53"/>
        <v>0</v>
      </c>
    </row>
    <row r="320" spans="3:12" ht="15.6" hidden="1">
      <c r="C320" s="39" t="str">
        <f t="shared" si="51"/>
        <v>H</v>
      </c>
      <c r="D320" s="45" t="str">
        <f>Parameter!E$37</f>
        <v>Moverio</v>
      </c>
      <c r="E320" s="125">
        <f t="shared" si="53"/>
        <v>0</v>
      </c>
      <c r="F320" s="126">
        <f t="shared" si="53"/>
        <v>0</v>
      </c>
      <c r="G320" s="126">
        <f t="shared" si="53"/>
        <v>0</v>
      </c>
      <c r="H320" s="126">
        <f t="shared" si="53"/>
        <v>0</v>
      </c>
      <c r="I320" s="126">
        <f t="shared" si="53"/>
        <v>0</v>
      </c>
      <c r="J320" s="126">
        <f t="shared" si="53"/>
        <v>0</v>
      </c>
      <c r="K320" s="126">
        <f t="shared" si="53"/>
        <v>0</v>
      </c>
      <c r="L320" s="127">
        <f t="shared" si="53"/>
        <v>0</v>
      </c>
    </row>
    <row r="321" spans="3:12" ht="15.6" hidden="1">
      <c r="C321" s="39" t="str">
        <f t="shared" si="51"/>
        <v>H</v>
      </c>
      <c r="D321" s="45" t="str">
        <f>Parameter!E$38</f>
        <v>MYVU</v>
      </c>
      <c r="E321" s="125">
        <f t="shared" ref="E321:L330" si="54">SUMIF(ARVR_Y_PC_PR, "AR_"&amp;E$290&amp;"_"&amp;$D$289&amp;"_"&amp;$D321, PanelQ)</f>
        <v>0</v>
      </c>
      <c r="F321" s="126">
        <f t="shared" si="54"/>
        <v>0</v>
      </c>
      <c r="G321" s="126">
        <f t="shared" si="54"/>
        <v>0</v>
      </c>
      <c r="H321" s="126">
        <f t="shared" si="54"/>
        <v>0</v>
      </c>
      <c r="I321" s="126">
        <f t="shared" si="54"/>
        <v>0</v>
      </c>
      <c r="J321" s="126">
        <f t="shared" si="54"/>
        <v>0</v>
      </c>
      <c r="K321" s="126">
        <f t="shared" si="54"/>
        <v>0</v>
      </c>
      <c r="L321" s="127">
        <f t="shared" si="54"/>
        <v>0</v>
      </c>
    </row>
    <row r="322" spans="3:12" ht="15.6" hidden="1">
      <c r="C322" s="39" t="str">
        <f t="shared" si="51"/>
        <v>H</v>
      </c>
      <c r="D322" s="45" t="str">
        <f>Parameter!E$39</f>
        <v>NXTWear</v>
      </c>
      <c r="E322" s="125">
        <f t="shared" si="54"/>
        <v>0</v>
      </c>
      <c r="F322" s="126">
        <f t="shared" si="54"/>
        <v>0</v>
      </c>
      <c r="G322" s="126">
        <f t="shared" si="54"/>
        <v>0</v>
      </c>
      <c r="H322" s="126">
        <f t="shared" si="54"/>
        <v>0</v>
      </c>
      <c r="I322" s="126">
        <f t="shared" si="54"/>
        <v>0</v>
      </c>
      <c r="J322" s="126">
        <f t="shared" si="54"/>
        <v>0</v>
      </c>
      <c r="K322" s="126">
        <f t="shared" si="54"/>
        <v>0</v>
      </c>
      <c r="L322" s="127">
        <f t="shared" si="54"/>
        <v>0</v>
      </c>
    </row>
    <row r="323" spans="3:12" ht="15.6" hidden="1">
      <c r="C323" s="39" t="str">
        <f t="shared" si="51"/>
        <v>H</v>
      </c>
      <c r="D323" s="45" t="str">
        <f>Parameter!E$40</f>
        <v>One</v>
      </c>
      <c r="E323" s="125">
        <f t="shared" si="54"/>
        <v>0</v>
      </c>
      <c r="F323" s="126">
        <f t="shared" si="54"/>
        <v>0</v>
      </c>
      <c r="G323" s="126">
        <f t="shared" si="54"/>
        <v>0</v>
      </c>
      <c r="H323" s="126">
        <f t="shared" si="54"/>
        <v>0</v>
      </c>
      <c r="I323" s="126">
        <f t="shared" si="54"/>
        <v>0</v>
      </c>
      <c r="J323" s="126">
        <f t="shared" si="54"/>
        <v>0</v>
      </c>
      <c r="K323" s="126">
        <f t="shared" si="54"/>
        <v>0</v>
      </c>
      <c r="L323" s="127">
        <f t="shared" si="54"/>
        <v>0</v>
      </c>
    </row>
    <row r="324" spans="3:12" ht="15.6" hidden="1">
      <c r="C324" s="39" t="str">
        <f t="shared" si="51"/>
        <v>H</v>
      </c>
      <c r="D324" s="45" t="str">
        <f>Parameter!E$41</f>
        <v>One Pro</v>
      </c>
      <c r="E324" s="125">
        <f t="shared" si="54"/>
        <v>0</v>
      </c>
      <c r="F324" s="126">
        <f t="shared" si="54"/>
        <v>0</v>
      </c>
      <c r="G324" s="126">
        <f t="shared" si="54"/>
        <v>0</v>
      </c>
      <c r="H324" s="126">
        <f t="shared" si="54"/>
        <v>0</v>
      </c>
      <c r="I324" s="126">
        <f t="shared" si="54"/>
        <v>0</v>
      </c>
      <c r="J324" s="126">
        <f t="shared" si="54"/>
        <v>0</v>
      </c>
      <c r="K324" s="126">
        <f t="shared" si="54"/>
        <v>0</v>
      </c>
      <c r="L324" s="127">
        <f t="shared" si="54"/>
        <v>0</v>
      </c>
    </row>
    <row r="325" spans="3:12" ht="15.6" hidden="1">
      <c r="C325" s="39" t="str">
        <f t="shared" si="51"/>
        <v>H</v>
      </c>
      <c r="D325" s="45" t="str">
        <f>Parameter!E$42</f>
        <v>Quark AI</v>
      </c>
      <c r="E325" s="125">
        <f t="shared" si="54"/>
        <v>0</v>
      </c>
      <c r="F325" s="126">
        <f t="shared" si="54"/>
        <v>0</v>
      </c>
      <c r="G325" s="126">
        <f t="shared" si="54"/>
        <v>0</v>
      </c>
      <c r="H325" s="126">
        <f t="shared" si="54"/>
        <v>0</v>
      </c>
      <c r="I325" s="126">
        <f t="shared" si="54"/>
        <v>0</v>
      </c>
      <c r="J325" s="126">
        <f t="shared" si="54"/>
        <v>0</v>
      </c>
      <c r="K325" s="126">
        <f t="shared" si="54"/>
        <v>0</v>
      </c>
      <c r="L325" s="127">
        <f t="shared" si="54"/>
        <v>0</v>
      </c>
    </row>
    <row r="326" spans="3:12" ht="15.6" hidden="1">
      <c r="C326" s="39" t="str">
        <f t="shared" si="51"/>
        <v>H</v>
      </c>
      <c r="D326" s="45" t="str">
        <f>Parameter!E$43</f>
        <v>Ray-Ban Meta Display</v>
      </c>
      <c r="E326" s="125">
        <f t="shared" si="54"/>
        <v>0</v>
      </c>
      <c r="F326" s="126">
        <f t="shared" si="54"/>
        <v>0</v>
      </c>
      <c r="G326" s="126">
        <f t="shared" si="54"/>
        <v>0</v>
      </c>
      <c r="H326" s="126">
        <f t="shared" si="54"/>
        <v>0</v>
      </c>
      <c r="I326" s="126">
        <f t="shared" si="54"/>
        <v>0</v>
      </c>
      <c r="J326" s="126">
        <f t="shared" si="54"/>
        <v>0</v>
      </c>
      <c r="K326" s="126">
        <f t="shared" si="54"/>
        <v>0</v>
      </c>
      <c r="L326" s="127">
        <f t="shared" si="54"/>
        <v>0</v>
      </c>
    </row>
    <row r="327" spans="3:12" ht="15.6" hidden="1">
      <c r="C327" s="39" t="str">
        <f t="shared" si="51"/>
        <v>H</v>
      </c>
      <c r="D327" s="45" t="str">
        <f>Parameter!E$44</f>
        <v>Shield</v>
      </c>
      <c r="E327" s="125">
        <f t="shared" si="54"/>
        <v>0</v>
      </c>
      <c r="F327" s="126">
        <f t="shared" si="54"/>
        <v>0</v>
      </c>
      <c r="G327" s="126">
        <f t="shared" si="54"/>
        <v>0</v>
      </c>
      <c r="H327" s="126">
        <f t="shared" si="54"/>
        <v>0</v>
      </c>
      <c r="I327" s="126">
        <f t="shared" si="54"/>
        <v>0</v>
      </c>
      <c r="J327" s="126">
        <f t="shared" si="54"/>
        <v>0</v>
      </c>
      <c r="K327" s="126">
        <f t="shared" si="54"/>
        <v>0</v>
      </c>
      <c r="L327" s="127">
        <f t="shared" si="54"/>
        <v>0</v>
      </c>
    </row>
    <row r="328" spans="3:12" ht="15.6" hidden="1">
      <c r="C328" s="39" t="str">
        <f t="shared" si="51"/>
        <v>H</v>
      </c>
      <c r="D328" s="45" t="str">
        <f>Parameter!E$45</f>
        <v>SiOLED glasses</v>
      </c>
      <c r="E328" s="125">
        <f t="shared" si="54"/>
        <v>0</v>
      </c>
      <c r="F328" s="126">
        <f t="shared" si="54"/>
        <v>0</v>
      </c>
      <c r="G328" s="126">
        <f t="shared" si="54"/>
        <v>0</v>
      </c>
      <c r="H328" s="126">
        <f t="shared" si="54"/>
        <v>0</v>
      </c>
      <c r="I328" s="126">
        <f t="shared" si="54"/>
        <v>0</v>
      </c>
      <c r="J328" s="126">
        <f t="shared" si="54"/>
        <v>0</v>
      </c>
      <c r="K328" s="126">
        <f t="shared" si="54"/>
        <v>0</v>
      </c>
      <c r="L328" s="127">
        <f t="shared" si="54"/>
        <v>0</v>
      </c>
    </row>
    <row r="329" spans="3:12" ht="15.6" hidden="1">
      <c r="C329" s="39" t="str">
        <f t="shared" si="51"/>
        <v>H</v>
      </c>
      <c r="D329" s="45" t="str">
        <f>Parameter!E$46</f>
        <v>T1</v>
      </c>
      <c r="E329" s="125">
        <f t="shared" si="54"/>
        <v>0</v>
      </c>
      <c r="F329" s="126">
        <f t="shared" si="54"/>
        <v>0</v>
      </c>
      <c r="G329" s="126">
        <f t="shared" si="54"/>
        <v>0</v>
      </c>
      <c r="H329" s="126">
        <f t="shared" si="54"/>
        <v>0</v>
      </c>
      <c r="I329" s="126">
        <f t="shared" si="54"/>
        <v>0</v>
      </c>
      <c r="J329" s="126">
        <f t="shared" si="54"/>
        <v>0</v>
      </c>
      <c r="K329" s="126">
        <f t="shared" si="54"/>
        <v>0</v>
      </c>
      <c r="L329" s="127">
        <f t="shared" si="54"/>
        <v>0</v>
      </c>
    </row>
    <row r="330" spans="3:12" ht="15.6" hidden="1">
      <c r="C330" s="39" t="str">
        <f t="shared" si="51"/>
        <v>H</v>
      </c>
      <c r="D330" s="45" t="str">
        <f>Parameter!E$47</f>
        <v>ThinkReality A3</v>
      </c>
      <c r="E330" s="125">
        <f t="shared" si="54"/>
        <v>0</v>
      </c>
      <c r="F330" s="126">
        <f t="shared" si="54"/>
        <v>0</v>
      </c>
      <c r="G330" s="126">
        <f t="shared" si="54"/>
        <v>0</v>
      </c>
      <c r="H330" s="126">
        <f t="shared" si="54"/>
        <v>0</v>
      </c>
      <c r="I330" s="126">
        <f t="shared" si="54"/>
        <v>0</v>
      </c>
      <c r="J330" s="126">
        <f t="shared" si="54"/>
        <v>0</v>
      </c>
      <c r="K330" s="126">
        <f t="shared" si="54"/>
        <v>0</v>
      </c>
      <c r="L330" s="127">
        <f t="shared" si="54"/>
        <v>0</v>
      </c>
    </row>
    <row r="331" spans="3:12" ht="15.6" hidden="1">
      <c r="C331" s="39" t="str">
        <f t="shared" si="51"/>
        <v>H</v>
      </c>
      <c r="D331" s="45" t="str">
        <f>Parameter!E$48</f>
        <v>Viture Pro</v>
      </c>
      <c r="E331" s="125">
        <f t="shared" ref="E331:L340" si="55">SUMIF(ARVR_Y_PC_PR, "AR_"&amp;E$290&amp;"_"&amp;$D$289&amp;"_"&amp;$D331, PanelQ)</f>
        <v>0</v>
      </c>
      <c r="F331" s="126">
        <f t="shared" si="55"/>
        <v>0</v>
      </c>
      <c r="G331" s="126">
        <f t="shared" si="55"/>
        <v>0</v>
      </c>
      <c r="H331" s="126">
        <f t="shared" si="55"/>
        <v>0</v>
      </c>
      <c r="I331" s="126">
        <f t="shared" si="55"/>
        <v>0</v>
      </c>
      <c r="J331" s="126">
        <f t="shared" si="55"/>
        <v>0</v>
      </c>
      <c r="K331" s="126">
        <f t="shared" si="55"/>
        <v>0</v>
      </c>
      <c r="L331" s="127">
        <f t="shared" si="55"/>
        <v>0</v>
      </c>
    </row>
    <row r="332" spans="3:12" ht="15.6" hidden="1">
      <c r="C332" s="39" t="str">
        <f t="shared" si="51"/>
        <v>H</v>
      </c>
      <c r="D332" s="45" t="str">
        <f>Parameter!E$49</f>
        <v>X3 Pro</v>
      </c>
      <c r="E332" s="125">
        <f t="shared" si="55"/>
        <v>0</v>
      </c>
      <c r="F332" s="126">
        <f t="shared" si="55"/>
        <v>0</v>
      </c>
      <c r="G332" s="126">
        <f t="shared" si="55"/>
        <v>0</v>
      </c>
      <c r="H332" s="126">
        <f t="shared" si="55"/>
        <v>0</v>
      </c>
      <c r="I332" s="126">
        <f t="shared" si="55"/>
        <v>0</v>
      </c>
      <c r="J332" s="126">
        <f t="shared" si="55"/>
        <v>0</v>
      </c>
      <c r="K332" s="126">
        <f t="shared" si="55"/>
        <v>0</v>
      </c>
      <c r="L332" s="127">
        <f t="shared" si="55"/>
        <v>0</v>
      </c>
    </row>
    <row r="333" spans="3:12" ht="15.6" hidden="1">
      <c r="C333" s="39" t="str">
        <f t="shared" si="51"/>
        <v>H</v>
      </c>
      <c r="D333" s="45" t="str">
        <f>Parameter!E$50</f>
        <v>Z100</v>
      </c>
      <c r="E333" s="125">
        <f t="shared" si="55"/>
        <v>0</v>
      </c>
      <c r="F333" s="126">
        <f t="shared" si="55"/>
        <v>0</v>
      </c>
      <c r="G333" s="126">
        <f t="shared" si="55"/>
        <v>0</v>
      </c>
      <c r="H333" s="126">
        <f t="shared" si="55"/>
        <v>0</v>
      </c>
      <c r="I333" s="126">
        <f t="shared" si="55"/>
        <v>0</v>
      </c>
      <c r="J333" s="126">
        <f t="shared" si="55"/>
        <v>0</v>
      </c>
      <c r="K333" s="126">
        <f t="shared" si="55"/>
        <v>0</v>
      </c>
      <c r="L333" s="127">
        <f t="shared" si="55"/>
        <v>0</v>
      </c>
    </row>
    <row r="334" spans="3:12" ht="15.6" hidden="1">
      <c r="C334" s="39" t="str">
        <f t="shared" si="51"/>
        <v>H</v>
      </c>
      <c r="D334" s="45">
        <f>Parameter!E$51</f>
        <v>0</v>
      </c>
      <c r="E334" s="125">
        <f t="shared" si="55"/>
        <v>0</v>
      </c>
      <c r="F334" s="126">
        <f t="shared" si="55"/>
        <v>0</v>
      </c>
      <c r="G334" s="126">
        <f t="shared" si="55"/>
        <v>0</v>
      </c>
      <c r="H334" s="126">
        <f t="shared" si="55"/>
        <v>0</v>
      </c>
      <c r="I334" s="126">
        <f t="shared" si="55"/>
        <v>0</v>
      </c>
      <c r="J334" s="126">
        <f t="shared" si="55"/>
        <v>0</v>
      </c>
      <c r="K334" s="126">
        <f t="shared" si="55"/>
        <v>0</v>
      </c>
      <c r="L334" s="127">
        <f t="shared" si="55"/>
        <v>0</v>
      </c>
    </row>
    <row r="335" spans="3:12" ht="15.6" hidden="1">
      <c r="C335" s="39" t="str">
        <f t="shared" si="51"/>
        <v>H</v>
      </c>
      <c r="D335" s="45">
        <f>Parameter!E$52</f>
        <v>0</v>
      </c>
      <c r="E335" s="125">
        <f t="shared" si="55"/>
        <v>0</v>
      </c>
      <c r="F335" s="126">
        <f t="shared" si="55"/>
        <v>0</v>
      </c>
      <c r="G335" s="126">
        <f t="shared" si="55"/>
        <v>0</v>
      </c>
      <c r="H335" s="126">
        <f t="shared" si="55"/>
        <v>0</v>
      </c>
      <c r="I335" s="126">
        <f t="shared" si="55"/>
        <v>0</v>
      </c>
      <c r="J335" s="126">
        <f t="shared" si="55"/>
        <v>0</v>
      </c>
      <c r="K335" s="126">
        <f t="shared" si="55"/>
        <v>0</v>
      </c>
      <c r="L335" s="127">
        <f t="shared" si="55"/>
        <v>0</v>
      </c>
    </row>
    <row r="336" spans="3:12" ht="15.6" hidden="1">
      <c r="C336" s="39" t="str">
        <f t="shared" si="51"/>
        <v>H</v>
      </c>
      <c r="D336" s="45">
        <f>Parameter!E$53</f>
        <v>0</v>
      </c>
      <c r="E336" s="125">
        <f t="shared" si="55"/>
        <v>0</v>
      </c>
      <c r="F336" s="126">
        <f t="shared" si="55"/>
        <v>0</v>
      </c>
      <c r="G336" s="126">
        <f t="shared" si="55"/>
        <v>0</v>
      </c>
      <c r="H336" s="126">
        <f t="shared" si="55"/>
        <v>0</v>
      </c>
      <c r="I336" s="126">
        <f t="shared" si="55"/>
        <v>0</v>
      </c>
      <c r="J336" s="126">
        <f t="shared" si="55"/>
        <v>0</v>
      </c>
      <c r="K336" s="126">
        <f t="shared" si="55"/>
        <v>0</v>
      </c>
      <c r="L336" s="127">
        <f t="shared" si="55"/>
        <v>0</v>
      </c>
    </row>
    <row r="337" spans="3:12" ht="15.6" hidden="1">
      <c r="C337" s="39" t="str">
        <f t="shared" si="51"/>
        <v>H</v>
      </c>
      <c r="D337" s="45">
        <f>Parameter!E$54</f>
        <v>0</v>
      </c>
      <c r="E337" s="125">
        <f t="shared" si="55"/>
        <v>0</v>
      </c>
      <c r="F337" s="126">
        <f t="shared" si="55"/>
        <v>0</v>
      </c>
      <c r="G337" s="126">
        <f t="shared" si="55"/>
        <v>0</v>
      </c>
      <c r="H337" s="126">
        <f t="shared" si="55"/>
        <v>0</v>
      </c>
      <c r="I337" s="126">
        <f t="shared" si="55"/>
        <v>0</v>
      </c>
      <c r="J337" s="126">
        <f t="shared" si="55"/>
        <v>0</v>
      </c>
      <c r="K337" s="126">
        <f t="shared" si="55"/>
        <v>0</v>
      </c>
      <c r="L337" s="127">
        <f t="shared" si="55"/>
        <v>0</v>
      </c>
    </row>
    <row r="338" spans="3:12" ht="15.6" hidden="1">
      <c r="C338" s="39" t="str">
        <f t="shared" si="51"/>
        <v>H</v>
      </c>
      <c r="D338" s="45">
        <f>Parameter!E$55</f>
        <v>0</v>
      </c>
      <c r="E338" s="125">
        <f t="shared" si="55"/>
        <v>0</v>
      </c>
      <c r="F338" s="126">
        <f t="shared" si="55"/>
        <v>0</v>
      </c>
      <c r="G338" s="126">
        <f t="shared" si="55"/>
        <v>0</v>
      </c>
      <c r="H338" s="126">
        <f t="shared" si="55"/>
        <v>0</v>
      </c>
      <c r="I338" s="126">
        <f t="shared" si="55"/>
        <v>0</v>
      </c>
      <c r="J338" s="126">
        <f t="shared" si="55"/>
        <v>0</v>
      </c>
      <c r="K338" s="126">
        <f t="shared" si="55"/>
        <v>0</v>
      </c>
      <c r="L338" s="127">
        <f t="shared" si="55"/>
        <v>0</v>
      </c>
    </row>
    <row r="339" spans="3:12" ht="15.6" hidden="1">
      <c r="C339" s="39" t="str">
        <f t="shared" si="51"/>
        <v>H</v>
      </c>
      <c r="D339" s="45">
        <f>Parameter!E$56</f>
        <v>0</v>
      </c>
      <c r="E339" s="125">
        <f t="shared" si="55"/>
        <v>0</v>
      </c>
      <c r="F339" s="126">
        <f t="shared" si="55"/>
        <v>0</v>
      </c>
      <c r="G339" s="126">
        <f t="shared" si="55"/>
        <v>0</v>
      </c>
      <c r="H339" s="126">
        <f t="shared" si="55"/>
        <v>0</v>
      </c>
      <c r="I339" s="126">
        <f t="shared" si="55"/>
        <v>0</v>
      </c>
      <c r="J339" s="126">
        <f t="shared" si="55"/>
        <v>0</v>
      </c>
      <c r="K339" s="126">
        <f t="shared" si="55"/>
        <v>0</v>
      </c>
      <c r="L339" s="127">
        <f t="shared" si="55"/>
        <v>0</v>
      </c>
    </row>
    <row r="340" spans="3:12" ht="16.2" hidden="1" thickBot="1">
      <c r="C340" s="39" t="str">
        <f t="shared" si="51"/>
        <v>H</v>
      </c>
      <c r="D340" s="53" t="str">
        <f>Parameter!E$57</f>
        <v>ALL</v>
      </c>
      <c r="E340" s="128">
        <f t="shared" si="55"/>
        <v>0</v>
      </c>
      <c r="F340" s="129">
        <f t="shared" si="55"/>
        <v>0</v>
      </c>
      <c r="G340" s="129">
        <f t="shared" si="55"/>
        <v>0</v>
      </c>
      <c r="H340" s="129">
        <f t="shared" si="55"/>
        <v>0</v>
      </c>
      <c r="I340" s="129">
        <f t="shared" si="55"/>
        <v>0</v>
      </c>
      <c r="J340" s="129">
        <f t="shared" si="55"/>
        <v>0</v>
      </c>
      <c r="K340" s="129">
        <f t="shared" si="55"/>
        <v>0</v>
      </c>
      <c r="L340" s="130">
        <f t="shared" si="55"/>
        <v>0</v>
      </c>
    </row>
    <row r="341" spans="3:12" ht="15.6">
      <c r="C341" s="39" t="str">
        <f t="shared" si="51"/>
        <v/>
      </c>
      <c r="D341" s="54" t="s">
        <v>87</v>
      </c>
      <c r="E341" s="131">
        <f>SUM(E291:E340)</f>
        <v>3.85E-2</v>
      </c>
      <c r="F341" s="132">
        <f t="shared" ref="F341:L341" si="56">SUM(F291:F340)</f>
        <v>2.1163999999999999E-2</v>
      </c>
      <c r="G341" s="132">
        <f t="shared" si="56"/>
        <v>4.8400000000000006E-3</v>
      </c>
      <c r="H341" s="132">
        <f t="shared" si="56"/>
        <v>3.5199999999999995E-2</v>
      </c>
      <c r="I341" s="132">
        <f t="shared" si="56"/>
        <v>0.187</v>
      </c>
      <c r="J341" s="132">
        <f t="shared" si="56"/>
        <v>0.187</v>
      </c>
      <c r="K341" s="132">
        <f t="shared" si="56"/>
        <v>1.056</v>
      </c>
      <c r="L341" s="133">
        <f t="shared" si="56"/>
        <v>1.232</v>
      </c>
    </row>
    <row r="342" spans="3:12" ht="16.2" thickBot="1">
      <c r="C342" s="39" t="str">
        <f t="shared" si="51"/>
        <v/>
      </c>
      <c r="D342" s="46" t="s">
        <v>88</v>
      </c>
      <c r="E342" s="47"/>
      <c r="F342" s="50">
        <f t="shared" ref="F342:G342" si="57">IF(E341*F341=0, "", F341/E341-1)</f>
        <v>-0.45028571428571429</v>
      </c>
      <c r="G342" s="50">
        <f t="shared" si="57"/>
        <v>-0.7713097713097713</v>
      </c>
      <c r="H342" s="50">
        <f>IF(G341*H341=0, "", H341/G341-1)</f>
        <v>6.2727272727272707</v>
      </c>
      <c r="I342" s="50">
        <f t="shared" ref="I342:L342" si="58">IF(H341*I341=0, "", I341/H341-1)</f>
        <v>4.3125000000000009</v>
      </c>
      <c r="J342" s="50">
        <f t="shared" si="58"/>
        <v>0</v>
      </c>
      <c r="K342" s="50">
        <f t="shared" si="58"/>
        <v>4.6470588235294121</v>
      </c>
      <c r="L342" s="51">
        <f t="shared" si="58"/>
        <v>0.16666666666666652</v>
      </c>
    </row>
    <row r="343" spans="3:12">
      <c r="C343"/>
    </row>
    <row r="344" spans="3:12" ht="14.4" thickBot="1">
      <c r="C344"/>
    </row>
    <row r="345" spans="3:12" ht="15" thickBot="1">
      <c r="C345"/>
      <c r="D345" s="52" t="str">
        <f>Parameter!I14</f>
        <v>2x MicroLED</v>
      </c>
    </row>
    <row r="346" spans="3:12" ht="16.2" thickBot="1">
      <c r="C346"/>
      <c r="D346" s="40" t="s">
        <v>85</v>
      </c>
      <c r="E346" s="41" t="str">
        <f>E10</f>
        <v>2022</v>
      </c>
      <c r="F346" s="42" t="str">
        <f t="shared" ref="F346:L346" si="59">F10</f>
        <v>2023</v>
      </c>
      <c r="G346" s="42" t="str">
        <f t="shared" si="59"/>
        <v>2024</v>
      </c>
      <c r="H346" s="42">
        <f t="shared" si="59"/>
        <v>2025</v>
      </c>
      <c r="I346" s="42" t="str">
        <f t="shared" si="59"/>
        <v>2026</v>
      </c>
      <c r="J346" s="42" t="str">
        <f t="shared" si="59"/>
        <v>2027</v>
      </c>
      <c r="K346" s="42" t="str">
        <f t="shared" si="59"/>
        <v>2028</v>
      </c>
      <c r="L346" s="43" t="str">
        <f t="shared" si="59"/>
        <v>2029</v>
      </c>
    </row>
    <row r="347" spans="3:12" ht="15.6" hidden="1">
      <c r="C347" s="39" t="str">
        <f>IF(SUM(E347:L347)=0, "H", "")</f>
        <v>H</v>
      </c>
      <c r="D347" s="44" t="str">
        <f>Parameter!E$8</f>
        <v>Air</v>
      </c>
      <c r="E347" s="125">
        <f t="shared" ref="E347:L356" si="60">SUMIF(ARVR_Y_PC_PR, "AR_"&amp;E$346&amp;"_"&amp;$D$345&amp;"_"&amp;$D347, PanelQ)</f>
        <v>0</v>
      </c>
      <c r="F347" s="126">
        <f t="shared" si="60"/>
        <v>0</v>
      </c>
      <c r="G347" s="126">
        <f t="shared" si="60"/>
        <v>0</v>
      </c>
      <c r="H347" s="126">
        <f t="shared" si="60"/>
        <v>0</v>
      </c>
      <c r="I347" s="126">
        <f t="shared" si="60"/>
        <v>0</v>
      </c>
      <c r="J347" s="126">
        <f t="shared" si="60"/>
        <v>0</v>
      </c>
      <c r="K347" s="126">
        <f t="shared" si="60"/>
        <v>0</v>
      </c>
      <c r="L347" s="127">
        <f t="shared" si="60"/>
        <v>0</v>
      </c>
    </row>
    <row r="348" spans="3:12" ht="15.6" hidden="1">
      <c r="C348" s="39" t="str">
        <f t="shared" ref="C348:C411" si="61">IF(SUM(E348:L348)=0, "H", "")</f>
        <v>H</v>
      </c>
      <c r="D348" s="44" t="str">
        <f>Parameter!E$9</f>
        <v>Air 2</v>
      </c>
      <c r="E348" s="125">
        <f t="shared" si="60"/>
        <v>0</v>
      </c>
      <c r="F348" s="126">
        <f t="shared" si="60"/>
        <v>0</v>
      </c>
      <c r="G348" s="126">
        <f t="shared" si="60"/>
        <v>0</v>
      </c>
      <c r="H348" s="126">
        <f t="shared" si="60"/>
        <v>0</v>
      </c>
      <c r="I348" s="126">
        <f t="shared" si="60"/>
        <v>0</v>
      </c>
      <c r="J348" s="126">
        <f t="shared" si="60"/>
        <v>0</v>
      </c>
      <c r="K348" s="126">
        <f t="shared" si="60"/>
        <v>0</v>
      </c>
      <c r="L348" s="127">
        <f t="shared" si="60"/>
        <v>0</v>
      </c>
    </row>
    <row r="349" spans="3:12" ht="15.6" hidden="1">
      <c r="C349" s="39" t="str">
        <f t="shared" si="61"/>
        <v>H</v>
      </c>
      <c r="D349" s="45" t="str">
        <f>Parameter!E$10</f>
        <v>Air 3</v>
      </c>
      <c r="E349" s="125">
        <f t="shared" si="60"/>
        <v>0</v>
      </c>
      <c r="F349" s="126">
        <f t="shared" si="60"/>
        <v>0</v>
      </c>
      <c r="G349" s="126">
        <f t="shared" si="60"/>
        <v>0</v>
      </c>
      <c r="H349" s="126">
        <f t="shared" si="60"/>
        <v>0</v>
      </c>
      <c r="I349" s="126">
        <f t="shared" si="60"/>
        <v>0</v>
      </c>
      <c r="J349" s="126">
        <f t="shared" si="60"/>
        <v>0</v>
      </c>
      <c r="K349" s="126">
        <f t="shared" si="60"/>
        <v>0</v>
      </c>
      <c r="L349" s="127">
        <f t="shared" si="60"/>
        <v>0</v>
      </c>
    </row>
    <row r="350" spans="3:12" ht="15.6" hidden="1">
      <c r="C350" s="39" t="str">
        <f t="shared" si="61"/>
        <v>H</v>
      </c>
      <c r="D350" s="45" t="str">
        <f>Parameter!E$11</f>
        <v>Air 3s Pro</v>
      </c>
      <c r="E350" s="125">
        <f t="shared" si="60"/>
        <v>0</v>
      </c>
      <c r="F350" s="126">
        <f t="shared" si="60"/>
        <v>0</v>
      </c>
      <c r="G350" s="126">
        <f t="shared" si="60"/>
        <v>0</v>
      </c>
      <c r="H350" s="126">
        <f t="shared" si="60"/>
        <v>0</v>
      </c>
      <c r="I350" s="126">
        <f t="shared" si="60"/>
        <v>0</v>
      </c>
      <c r="J350" s="126">
        <f t="shared" si="60"/>
        <v>0</v>
      </c>
      <c r="K350" s="126">
        <f t="shared" si="60"/>
        <v>0</v>
      </c>
      <c r="L350" s="127">
        <f t="shared" si="60"/>
        <v>0</v>
      </c>
    </row>
    <row r="351" spans="3:12" ht="15.6" hidden="1">
      <c r="C351" s="39" t="str">
        <f t="shared" si="61"/>
        <v>H</v>
      </c>
      <c r="D351" s="45" t="str">
        <f>Parameter!E$12</f>
        <v>Air Glass</v>
      </c>
      <c r="E351" s="125">
        <f t="shared" si="60"/>
        <v>0</v>
      </c>
      <c r="F351" s="126">
        <f t="shared" si="60"/>
        <v>0</v>
      </c>
      <c r="G351" s="126">
        <f t="shared" si="60"/>
        <v>0</v>
      </c>
      <c r="H351" s="126">
        <f t="shared" si="60"/>
        <v>0</v>
      </c>
      <c r="I351" s="126">
        <f t="shared" si="60"/>
        <v>0</v>
      </c>
      <c r="J351" s="126">
        <f t="shared" si="60"/>
        <v>0</v>
      </c>
      <c r="K351" s="126">
        <f t="shared" si="60"/>
        <v>0</v>
      </c>
      <c r="L351" s="127">
        <f t="shared" si="60"/>
        <v>0</v>
      </c>
    </row>
    <row r="352" spans="3:12" ht="15.6">
      <c r="C352" s="39" t="str">
        <f t="shared" si="61"/>
        <v/>
      </c>
      <c r="D352" s="45" t="str">
        <f>Parameter!E$13</f>
        <v>Binocular MicroLED</v>
      </c>
      <c r="E352" s="125">
        <f t="shared" si="60"/>
        <v>1.1000000000000001E-3</v>
      </c>
      <c r="F352" s="126">
        <f t="shared" si="60"/>
        <v>1.6719999999999999E-2</v>
      </c>
      <c r="G352" s="126">
        <f t="shared" si="60"/>
        <v>2.6400000000000004E-3</v>
      </c>
      <c r="H352" s="126">
        <f t="shared" si="60"/>
        <v>4.3999999999999997E-2</v>
      </c>
      <c r="I352" s="126">
        <f t="shared" si="60"/>
        <v>0.19359999999999999</v>
      </c>
      <c r="J352" s="126">
        <f t="shared" si="60"/>
        <v>0.30139999999999995</v>
      </c>
      <c r="K352" s="126">
        <f t="shared" si="60"/>
        <v>0.70399999999999996</v>
      </c>
      <c r="L352" s="127">
        <f t="shared" si="60"/>
        <v>1.232</v>
      </c>
    </row>
    <row r="353" spans="3:12" ht="15.6" hidden="1">
      <c r="C353" s="39" t="str">
        <f t="shared" si="61"/>
        <v>H</v>
      </c>
      <c r="D353" s="45" t="str">
        <f>Parameter!E$14</f>
        <v>Blade</v>
      </c>
      <c r="E353" s="125">
        <f t="shared" si="60"/>
        <v>0</v>
      </c>
      <c r="F353" s="126">
        <f t="shared" si="60"/>
        <v>0</v>
      </c>
      <c r="G353" s="126">
        <f t="shared" si="60"/>
        <v>0</v>
      </c>
      <c r="H353" s="126">
        <f t="shared" si="60"/>
        <v>0</v>
      </c>
      <c r="I353" s="126">
        <f t="shared" si="60"/>
        <v>0</v>
      </c>
      <c r="J353" s="126">
        <f t="shared" si="60"/>
        <v>0</v>
      </c>
      <c r="K353" s="126">
        <f t="shared" si="60"/>
        <v>0</v>
      </c>
      <c r="L353" s="127">
        <f t="shared" si="60"/>
        <v>0</v>
      </c>
    </row>
    <row r="354" spans="3:12" ht="15.6" hidden="1">
      <c r="C354" s="39" t="str">
        <f t="shared" si="61"/>
        <v>H</v>
      </c>
      <c r="D354" s="45" t="str">
        <f>Parameter!E$15</f>
        <v>DLP glasses</v>
      </c>
      <c r="E354" s="125">
        <f t="shared" si="60"/>
        <v>0</v>
      </c>
      <c r="F354" s="126">
        <f t="shared" si="60"/>
        <v>0</v>
      </c>
      <c r="G354" s="126">
        <f t="shared" si="60"/>
        <v>0</v>
      </c>
      <c r="H354" s="126">
        <f t="shared" si="60"/>
        <v>0</v>
      </c>
      <c r="I354" s="126">
        <f t="shared" si="60"/>
        <v>0</v>
      </c>
      <c r="J354" s="126">
        <f t="shared" si="60"/>
        <v>0</v>
      </c>
      <c r="K354" s="126">
        <f t="shared" si="60"/>
        <v>0</v>
      </c>
      <c r="L354" s="127">
        <f t="shared" si="60"/>
        <v>0</v>
      </c>
    </row>
    <row r="355" spans="3:12" ht="15.6">
      <c r="C355" s="39" t="str">
        <f t="shared" si="61"/>
        <v/>
      </c>
      <c r="D355" s="45" t="str">
        <f>Parameter!E$16</f>
        <v>G1</v>
      </c>
      <c r="E355" s="125">
        <f t="shared" si="60"/>
        <v>0</v>
      </c>
      <c r="F355" s="126">
        <f t="shared" si="60"/>
        <v>0</v>
      </c>
      <c r="G355" s="126">
        <f t="shared" si="60"/>
        <v>4.0999999999999995E-2</v>
      </c>
      <c r="H355" s="126">
        <f t="shared" si="60"/>
        <v>6.9999999999999993E-2</v>
      </c>
      <c r="I355" s="126">
        <f t="shared" si="60"/>
        <v>0</v>
      </c>
      <c r="J355" s="126">
        <f t="shared" si="60"/>
        <v>0</v>
      </c>
      <c r="K355" s="126">
        <f t="shared" si="60"/>
        <v>0</v>
      </c>
      <c r="L355" s="127">
        <f t="shared" si="60"/>
        <v>0</v>
      </c>
    </row>
    <row r="356" spans="3:12" ht="15.6" hidden="1">
      <c r="C356" s="39" t="str">
        <f t="shared" si="61"/>
        <v>H</v>
      </c>
      <c r="D356" s="45" t="str">
        <f>Parameter!E$17</f>
        <v>Glass</v>
      </c>
      <c r="E356" s="125">
        <f t="shared" si="60"/>
        <v>0</v>
      </c>
      <c r="F356" s="126">
        <f t="shared" si="60"/>
        <v>0</v>
      </c>
      <c r="G356" s="126">
        <f t="shared" si="60"/>
        <v>0</v>
      </c>
      <c r="H356" s="126">
        <f t="shared" si="60"/>
        <v>0</v>
      </c>
      <c r="I356" s="126">
        <f t="shared" si="60"/>
        <v>0</v>
      </c>
      <c r="J356" s="126">
        <f t="shared" si="60"/>
        <v>0</v>
      </c>
      <c r="K356" s="126">
        <f t="shared" si="60"/>
        <v>0</v>
      </c>
      <c r="L356" s="127">
        <f t="shared" si="60"/>
        <v>0</v>
      </c>
    </row>
    <row r="357" spans="3:12" ht="15.6" hidden="1">
      <c r="C357" s="39" t="str">
        <f t="shared" si="61"/>
        <v>H</v>
      </c>
      <c r="D357" s="45" t="str">
        <f>Parameter!E$18</f>
        <v>Glasses</v>
      </c>
      <c r="E357" s="125">
        <f t="shared" ref="E357:L366" si="62">SUMIF(ARVR_Y_PC_PR, "AR_"&amp;E$346&amp;"_"&amp;$D$345&amp;"_"&amp;$D357, PanelQ)</f>
        <v>0</v>
      </c>
      <c r="F357" s="126">
        <f t="shared" si="62"/>
        <v>0</v>
      </c>
      <c r="G357" s="126">
        <f t="shared" si="62"/>
        <v>0</v>
      </c>
      <c r="H357" s="126">
        <f t="shared" si="62"/>
        <v>0</v>
      </c>
      <c r="I357" s="126">
        <f t="shared" si="62"/>
        <v>0</v>
      </c>
      <c r="J357" s="126">
        <f t="shared" si="62"/>
        <v>0</v>
      </c>
      <c r="K357" s="126">
        <f t="shared" si="62"/>
        <v>0</v>
      </c>
      <c r="L357" s="127">
        <f t="shared" si="62"/>
        <v>0</v>
      </c>
    </row>
    <row r="358" spans="3:12" ht="15.6" hidden="1">
      <c r="C358" s="39" t="str">
        <f t="shared" si="61"/>
        <v>H</v>
      </c>
      <c r="D358" s="45" t="str">
        <f>Parameter!E$19</f>
        <v>Go</v>
      </c>
      <c r="E358" s="125">
        <f t="shared" si="62"/>
        <v>0</v>
      </c>
      <c r="F358" s="126">
        <f t="shared" si="62"/>
        <v>0</v>
      </c>
      <c r="G358" s="126">
        <f t="shared" si="62"/>
        <v>0</v>
      </c>
      <c r="H358" s="126">
        <f t="shared" si="62"/>
        <v>0</v>
      </c>
      <c r="I358" s="126">
        <f t="shared" si="62"/>
        <v>0</v>
      </c>
      <c r="J358" s="126">
        <f t="shared" si="62"/>
        <v>0</v>
      </c>
      <c r="K358" s="126">
        <f t="shared" si="62"/>
        <v>0</v>
      </c>
      <c r="L358" s="127">
        <f t="shared" si="62"/>
        <v>0</v>
      </c>
    </row>
    <row r="359" spans="3:12" ht="15.6" hidden="1">
      <c r="C359" s="39" t="str">
        <f t="shared" si="61"/>
        <v>H</v>
      </c>
      <c r="D359" s="45" t="str">
        <f>Parameter!E$20</f>
        <v>Go 2</v>
      </c>
      <c r="E359" s="125">
        <f t="shared" si="62"/>
        <v>0</v>
      </c>
      <c r="F359" s="126">
        <f t="shared" si="62"/>
        <v>0</v>
      </c>
      <c r="G359" s="126">
        <f t="shared" si="62"/>
        <v>0</v>
      </c>
      <c r="H359" s="126">
        <f t="shared" si="62"/>
        <v>0</v>
      </c>
      <c r="I359" s="126">
        <f t="shared" si="62"/>
        <v>0</v>
      </c>
      <c r="J359" s="126">
        <f t="shared" si="62"/>
        <v>0</v>
      </c>
      <c r="K359" s="126">
        <f t="shared" si="62"/>
        <v>0</v>
      </c>
      <c r="L359" s="127">
        <f t="shared" si="62"/>
        <v>0</v>
      </c>
    </row>
    <row r="360" spans="3:12" ht="15.6" hidden="1">
      <c r="C360" s="39" t="str">
        <f t="shared" si="61"/>
        <v>H</v>
      </c>
      <c r="D360" s="45" t="str">
        <f>Parameter!E$21</f>
        <v>HoloLens 2</v>
      </c>
      <c r="E360" s="125">
        <f t="shared" si="62"/>
        <v>0</v>
      </c>
      <c r="F360" s="126">
        <f t="shared" si="62"/>
        <v>0</v>
      </c>
      <c r="G360" s="126">
        <f t="shared" si="62"/>
        <v>0</v>
      </c>
      <c r="H360" s="126">
        <f t="shared" si="62"/>
        <v>0</v>
      </c>
      <c r="I360" s="126">
        <f t="shared" si="62"/>
        <v>0</v>
      </c>
      <c r="J360" s="126">
        <f t="shared" si="62"/>
        <v>0</v>
      </c>
      <c r="K360" s="126">
        <f t="shared" si="62"/>
        <v>0</v>
      </c>
      <c r="L360" s="127">
        <f t="shared" si="62"/>
        <v>0</v>
      </c>
    </row>
    <row r="361" spans="3:12" ht="15.6" hidden="1">
      <c r="C361" s="39" t="str">
        <f t="shared" si="61"/>
        <v>H</v>
      </c>
      <c r="D361" s="45" t="str">
        <f>Parameter!E$22</f>
        <v>INAIR 2</v>
      </c>
      <c r="E361" s="125">
        <f t="shared" si="62"/>
        <v>0</v>
      </c>
      <c r="F361" s="126">
        <f t="shared" si="62"/>
        <v>0</v>
      </c>
      <c r="G361" s="126">
        <f t="shared" si="62"/>
        <v>0</v>
      </c>
      <c r="H361" s="126">
        <f t="shared" si="62"/>
        <v>0</v>
      </c>
      <c r="I361" s="126">
        <f t="shared" si="62"/>
        <v>0</v>
      </c>
      <c r="J361" s="126">
        <f t="shared" si="62"/>
        <v>0</v>
      </c>
      <c r="K361" s="126">
        <f t="shared" si="62"/>
        <v>0</v>
      </c>
      <c r="L361" s="127">
        <f t="shared" si="62"/>
        <v>0</v>
      </c>
    </row>
    <row r="362" spans="3:12" ht="15.6" hidden="1">
      <c r="C362" s="39" t="str">
        <f t="shared" si="61"/>
        <v>H</v>
      </c>
      <c r="D362" s="45" t="str">
        <f>Parameter!E$23</f>
        <v>INAIR 2 Pro</v>
      </c>
      <c r="E362" s="125">
        <f t="shared" si="62"/>
        <v>0</v>
      </c>
      <c r="F362" s="126">
        <f t="shared" si="62"/>
        <v>0</v>
      </c>
      <c r="G362" s="126">
        <f t="shared" si="62"/>
        <v>0</v>
      </c>
      <c r="H362" s="126">
        <f t="shared" si="62"/>
        <v>0</v>
      </c>
      <c r="I362" s="126">
        <f t="shared" si="62"/>
        <v>0</v>
      </c>
      <c r="J362" s="126">
        <f t="shared" si="62"/>
        <v>0</v>
      </c>
      <c r="K362" s="126">
        <f t="shared" si="62"/>
        <v>0</v>
      </c>
      <c r="L362" s="127">
        <f t="shared" si="62"/>
        <v>0</v>
      </c>
    </row>
    <row r="363" spans="3:12" ht="15.6" hidden="1">
      <c r="C363" s="39" t="str">
        <f t="shared" si="61"/>
        <v>H</v>
      </c>
      <c r="D363" s="45" t="str">
        <f>Parameter!E$24</f>
        <v>LBS glasses</v>
      </c>
      <c r="E363" s="125">
        <f t="shared" si="62"/>
        <v>0</v>
      </c>
      <c r="F363" s="126">
        <f t="shared" si="62"/>
        <v>0</v>
      </c>
      <c r="G363" s="126">
        <f t="shared" si="62"/>
        <v>0</v>
      </c>
      <c r="H363" s="126">
        <f t="shared" si="62"/>
        <v>0</v>
      </c>
      <c r="I363" s="126">
        <f t="shared" si="62"/>
        <v>0</v>
      </c>
      <c r="J363" s="126">
        <f t="shared" si="62"/>
        <v>0</v>
      </c>
      <c r="K363" s="126">
        <f t="shared" si="62"/>
        <v>0</v>
      </c>
      <c r="L363" s="127">
        <f t="shared" si="62"/>
        <v>0</v>
      </c>
    </row>
    <row r="364" spans="3:12" ht="15.6" hidden="1">
      <c r="C364" s="39" t="str">
        <f t="shared" si="61"/>
        <v>H</v>
      </c>
      <c r="D364" s="45" t="str">
        <f>Parameter!E$25</f>
        <v>LCoS glasses</v>
      </c>
      <c r="E364" s="125">
        <f t="shared" si="62"/>
        <v>0</v>
      </c>
      <c r="F364" s="126">
        <f t="shared" si="62"/>
        <v>0</v>
      </c>
      <c r="G364" s="126">
        <f t="shared" si="62"/>
        <v>0</v>
      </c>
      <c r="H364" s="126">
        <f t="shared" si="62"/>
        <v>0</v>
      </c>
      <c r="I364" s="126">
        <f t="shared" si="62"/>
        <v>0</v>
      </c>
      <c r="J364" s="126">
        <f t="shared" si="62"/>
        <v>0</v>
      </c>
      <c r="K364" s="126">
        <f t="shared" si="62"/>
        <v>0</v>
      </c>
      <c r="L364" s="127">
        <f t="shared" si="62"/>
        <v>0</v>
      </c>
    </row>
    <row r="365" spans="3:12" ht="15.6" hidden="1">
      <c r="C365" s="39" t="str">
        <f t="shared" si="61"/>
        <v>H</v>
      </c>
      <c r="D365" s="45" t="str">
        <f>Parameter!E$26</f>
        <v>Lenovo Legion Glasses 2</v>
      </c>
      <c r="E365" s="125">
        <f t="shared" si="62"/>
        <v>0</v>
      </c>
      <c r="F365" s="126">
        <f t="shared" si="62"/>
        <v>0</v>
      </c>
      <c r="G365" s="126">
        <f t="shared" si="62"/>
        <v>0</v>
      </c>
      <c r="H365" s="126">
        <f t="shared" si="62"/>
        <v>0</v>
      </c>
      <c r="I365" s="126">
        <f t="shared" si="62"/>
        <v>0</v>
      </c>
      <c r="J365" s="126">
        <f t="shared" si="62"/>
        <v>0</v>
      </c>
      <c r="K365" s="126">
        <f t="shared" si="62"/>
        <v>0</v>
      </c>
      <c r="L365" s="127">
        <f t="shared" si="62"/>
        <v>0</v>
      </c>
    </row>
    <row r="366" spans="3:12" ht="15.6" hidden="1">
      <c r="C366" s="39" t="str">
        <f t="shared" si="61"/>
        <v>H</v>
      </c>
      <c r="D366" s="45" t="str">
        <f>Parameter!E$27</f>
        <v>Light</v>
      </c>
      <c r="E366" s="125">
        <f t="shared" si="62"/>
        <v>0</v>
      </c>
      <c r="F366" s="126">
        <f t="shared" si="62"/>
        <v>0</v>
      </c>
      <c r="G366" s="126">
        <f t="shared" si="62"/>
        <v>0</v>
      </c>
      <c r="H366" s="126">
        <f t="shared" si="62"/>
        <v>0</v>
      </c>
      <c r="I366" s="126">
        <f t="shared" si="62"/>
        <v>0</v>
      </c>
      <c r="J366" s="126">
        <f t="shared" si="62"/>
        <v>0</v>
      </c>
      <c r="K366" s="126">
        <f t="shared" si="62"/>
        <v>0</v>
      </c>
      <c r="L366" s="127">
        <f t="shared" si="62"/>
        <v>0</v>
      </c>
    </row>
    <row r="367" spans="3:12" ht="15.6" hidden="1">
      <c r="C367" s="39" t="str">
        <f t="shared" si="61"/>
        <v>H</v>
      </c>
      <c r="D367" s="45" t="str">
        <f>Parameter!E$28</f>
        <v>Max</v>
      </c>
      <c r="E367" s="125">
        <f t="shared" ref="E367:L376" si="63">SUMIF(ARVR_Y_PC_PR, "AR_"&amp;E$346&amp;"_"&amp;$D$345&amp;"_"&amp;$D367, PanelQ)</f>
        <v>0</v>
      </c>
      <c r="F367" s="126">
        <f t="shared" si="63"/>
        <v>0</v>
      </c>
      <c r="G367" s="126">
        <f t="shared" si="63"/>
        <v>0</v>
      </c>
      <c r="H367" s="126">
        <f t="shared" si="63"/>
        <v>0</v>
      </c>
      <c r="I367" s="126">
        <f t="shared" si="63"/>
        <v>0</v>
      </c>
      <c r="J367" s="126">
        <f t="shared" si="63"/>
        <v>0</v>
      </c>
      <c r="K367" s="126">
        <f t="shared" si="63"/>
        <v>0</v>
      </c>
      <c r="L367" s="127">
        <f t="shared" si="63"/>
        <v>0</v>
      </c>
    </row>
    <row r="368" spans="3:12" ht="15.6" hidden="1">
      <c r="C368" s="39" t="str">
        <f t="shared" si="61"/>
        <v>H</v>
      </c>
      <c r="D368" s="45" t="str">
        <f>Parameter!E$29</f>
        <v>Max 2</v>
      </c>
      <c r="E368" s="125">
        <f t="shared" si="63"/>
        <v>0</v>
      </c>
      <c r="F368" s="126">
        <f t="shared" si="63"/>
        <v>0</v>
      </c>
      <c r="G368" s="126">
        <f t="shared" si="63"/>
        <v>0</v>
      </c>
      <c r="H368" s="126">
        <f t="shared" si="63"/>
        <v>0</v>
      </c>
      <c r="I368" s="126">
        <f t="shared" si="63"/>
        <v>0</v>
      </c>
      <c r="J368" s="126">
        <f t="shared" si="63"/>
        <v>0</v>
      </c>
      <c r="K368" s="126">
        <f t="shared" si="63"/>
        <v>0</v>
      </c>
      <c r="L368" s="127">
        <f t="shared" si="63"/>
        <v>0</v>
      </c>
    </row>
    <row r="369" spans="3:12" ht="15.6" hidden="1">
      <c r="C369" s="39" t="str">
        <f t="shared" si="61"/>
        <v>H</v>
      </c>
      <c r="D369" s="45" t="str">
        <f>Parameter!E$30</f>
        <v>Meizu StarV Air 2</v>
      </c>
      <c r="E369" s="125">
        <f t="shared" si="63"/>
        <v>0</v>
      </c>
      <c r="F369" s="126">
        <f t="shared" si="63"/>
        <v>0</v>
      </c>
      <c r="G369" s="126">
        <f t="shared" si="63"/>
        <v>0</v>
      </c>
      <c r="H369" s="126">
        <f t="shared" si="63"/>
        <v>0</v>
      </c>
      <c r="I369" s="126">
        <f t="shared" si="63"/>
        <v>0</v>
      </c>
      <c r="J369" s="126">
        <f t="shared" si="63"/>
        <v>0</v>
      </c>
      <c r="K369" s="126">
        <f t="shared" si="63"/>
        <v>0</v>
      </c>
      <c r="L369" s="127">
        <f t="shared" si="63"/>
        <v>0</v>
      </c>
    </row>
    <row r="370" spans="3:12" ht="15.6" hidden="1">
      <c r="C370" s="39" t="str">
        <f t="shared" si="61"/>
        <v>H</v>
      </c>
      <c r="D370" s="45" t="str">
        <f>Parameter!E$31</f>
        <v>Meizu StarV View</v>
      </c>
      <c r="E370" s="125">
        <f t="shared" si="63"/>
        <v>0</v>
      </c>
      <c r="F370" s="126">
        <f t="shared" si="63"/>
        <v>0</v>
      </c>
      <c r="G370" s="126">
        <f t="shared" si="63"/>
        <v>0</v>
      </c>
      <c r="H370" s="126">
        <f t="shared" si="63"/>
        <v>0</v>
      </c>
      <c r="I370" s="126">
        <f t="shared" si="63"/>
        <v>0</v>
      </c>
      <c r="J370" s="126">
        <f t="shared" si="63"/>
        <v>0</v>
      </c>
      <c r="K370" s="126">
        <f t="shared" si="63"/>
        <v>0</v>
      </c>
      <c r="L370" s="127">
        <f t="shared" si="63"/>
        <v>0</v>
      </c>
    </row>
    <row r="371" spans="3:12" ht="15.6" hidden="1">
      <c r="C371" s="39" t="str">
        <f t="shared" si="61"/>
        <v>H</v>
      </c>
      <c r="D371" s="45" t="str">
        <f>Parameter!E$32</f>
        <v>MiRZA</v>
      </c>
      <c r="E371" s="125">
        <f t="shared" si="63"/>
        <v>0</v>
      </c>
      <c r="F371" s="126">
        <f t="shared" si="63"/>
        <v>0</v>
      </c>
      <c r="G371" s="126">
        <f t="shared" si="63"/>
        <v>0</v>
      </c>
      <c r="H371" s="126">
        <f t="shared" si="63"/>
        <v>0</v>
      </c>
      <c r="I371" s="126">
        <f t="shared" si="63"/>
        <v>0</v>
      </c>
      <c r="J371" s="126">
        <f t="shared" si="63"/>
        <v>0</v>
      </c>
      <c r="K371" s="126">
        <f t="shared" si="63"/>
        <v>0</v>
      </c>
      <c r="L371" s="127">
        <f t="shared" si="63"/>
        <v>0</v>
      </c>
    </row>
    <row r="372" spans="3:12" ht="15.6" hidden="1">
      <c r="C372" s="39" t="str">
        <f t="shared" si="61"/>
        <v>H</v>
      </c>
      <c r="D372" s="45" t="str">
        <f>Parameter!E$33</f>
        <v>ML 2</v>
      </c>
      <c r="E372" s="125">
        <f t="shared" si="63"/>
        <v>0</v>
      </c>
      <c r="F372" s="126">
        <f t="shared" si="63"/>
        <v>0</v>
      </c>
      <c r="G372" s="126">
        <f t="shared" si="63"/>
        <v>0</v>
      </c>
      <c r="H372" s="126">
        <f t="shared" si="63"/>
        <v>0</v>
      </c>
      <c r="I372" s="126">
        <f t="shared" si="63"/>
        <v>0</v>
      </c>
      <c r="J372" s="126">
        <f t="shared" si="63"/>
        <v>0</v>
      </c>
      <c r="K372" s="126">
        <f t="shared" si="63"/>
        <v>0</v>
      </c>
      <c r="L372" s="127">
        <f t="shared" si="63"/>
        <v>0</v>
      </c>
    </row>
    <row r="373" spans="3:12" ht="15.6" hidden="1">
      <c r="C373" s="39" t="str">
        <f t="shared" si="61"/>
        <v>H</v>
      </c>
      <c r="D373" s="45" t="str">
        <f>Parameter!E$34</f>
        <v>ML One</v>
      </c>
      <c r="E373" s="125">
        <f t="shared" si="63"/>
        <v>0</v>
      </c>
      <c r="F373" s="126">
        <f t="shared" si="63"/>
        <v>0</v>
      </c>
      <c r="G373" s="126">
        <f t="shared" si="63"/>
        <v>0</v>
      </c>
      <c r="H373" s="126">
        <f t="shared" si="63"/>
        <v>0</v>
      </c>
      <c r="I373" s="126">
        <f t="shared" si="63"/>
        <v>0</v>
      </c>
      <c r="J373" s="126">
        <f t="shared" si="63"/>
        <v>0</v>
      </c>
      <c r="K373" s="126">
        <f t="shared" si="63"/>
        <v>0</v>
      </c>
      <c r="L373" s="127">
        <f t="shared" si="63"/>
        <v>0</v>
      </c>
    </row>
    <row r="374" spans="3:12" ht="15.6" hidden="1">
      <c r="C374" s="39" t="str">
        <f t="shared" si="61"/>
        <v>H</v>
      </c>
      <c r="D374" s="45" t="str">
        <f>Parameter!E$35</f>
        <v>Monocular LCoS glasses</v>
      </c>
      <c r="E374" s="125">
        <f t="shared" si="63"/>
        <v>0</v>
      </c>
      <c r="F374" s="126">
        <f t="shared" si="63"/>
        <v>0</v>
      </c>
      <c r="G374" s="126">
        <f t="shared" si="63"/>
        <v>0</v>
      </c>
      <c r="H374" s="126">
        <f t="shared" si="63"/>
        <v>0</v>
      </c>
      <c r="I374" s="126">
        <f t="shared" si="63"/>
        <v>0</v>
      </c>
      <c r="J374" s="126">
        <f t="shared" si="63"/>
        <v>0</v>
      </c>
      <c r="K374" s="126">
        <f t="shared" si="63"/>
        <v>0</v>
      </c>
      <c r="L374" s="127">
        <f t="shared" si="63"/>
        <v>0</v>
      </c>
    </row>
    <row r="375" spans="3:12" ht="15.6" hidden="1">
      <c r="C375" s="39" t="str">
        <f t="shared" si="61"/>
        <v>H</v>
      </c>
      <c r="D375" s="45" t="str">
        <f>Parameter!E$36</f>
        <v>Monocular MicroLED</v>
      </c>
      <c r="E375" s="125">
        <f t="shared" si="63"/>
        <v>0</v>
      </c>
      <c r="F375" s="126">
        <f t="shared" si="63"/>
        <v>0</v>
      </c>
      <c r="G375" s="126">
        <f t="shared" si="63"/>
        <v>0</v>
      </c>
      <c r="H375" s="126">
        <f t="shared" si="63"/>
        <v>0</v>
      </c>
      <c r="I375" s="126">
        <f t="shared" si="63"/>
        <v>0</v>
      </c>
      <c r="J375" s="126">
        <f t="shared" si="63"/>
        <v>0</v>
      </c>
      <c r="K375" s="126">
        <f t="shared" si="63"/>
        <v>0</v>
      </c>
      <c r="L375" s="127">
        <f t="shared" si="63"/>
        <v>0</v>
      </c>
    </row>
    <row r="376" spans="3:12" ht="15.6" hidden="1">
      <c r="C376" s="39" t="str">
        <f t="shared" si="61"/>
        <v>H</v>
      </c>
      <c r="D376" s="45" t="str">
        <f>Parameter!E$37</f>
        <v>Moverio</v>
      </c>
      <c r="E376" s="125">
        <f t="shared" si="63"/>
        <v>0</v>
      </c>
      <c r="F376" s="126">
        <f t="shared" si="63"/>
        <v>0</v>
      </c>
      <c r="G376" s="126">
        <f t="shared" si="63"/>
        <v>0</v>
      </c>
      <c r="H376" s="126">
        <f t="shared" si="63"/>
        <v>0</v>
      </c>
      <c r="I376" s="126">
        <f t="shared" si="63"/>
        <v>0</v>
      </c>
      <c r="J376" s="126">
        <f t="shared" si="63"/>
        <v>0</v>
      </c>
      <c r="K376" s="126">
        <f t="shared" si="63"/>
        <v>0</v>
      </c>
      <c r="L376" s="127">
        <f t="shared" si="63"/>
        <v>0</v>
      </c>
    </row>
    <row r="377" spans="3:12" ht="15.6">
      <c r="C377" s="39" t="str">
        <f t="shared" si="61"/>
        <v/>
      </c>
      <c r="D377" s="45" t="str">
        <f>Parameter!E$38</f>
        <v>MYVU</v>
      </c>
      <c r="E377" s="125">
        <f t="shared" ref="E377:L386" si="64">SUMIF(ARVR_Y_PC_PR, "AR_"&amp;E$346&amp;"_"&amp;$D$345&amp;"_"&amp;$D377, PanelQ)</f>
        <v>0</v>
      </c>
      <c r="F377" s="126">
        <f t="shared" si="64"/>
        <v>1.2E-2</v>
      </c>
      <c r="G377" s="126">
        <f t="shared" si="64"/>
        <v>4.9200000000000008E-3</v>
      </c>
      <c r="H377" s="126">
        <f t="shared" si="64"/>
        <v>0</v>
      </c>
      <c r="I377" s="126">
        <f t="shared" si="64"/>
        <v>0</v>
      </c>
      <c r="J377" s="126">
        <f t="shared" si="64"/>
        <v>0</v>
      </c>
      <c r="K377" s="126">
        <f t="shared" si="64"/>
        <v>0</v>
      </c>
      <c r="L377" s="127">
        <f t="shared" si="64"/>
        <v>0</v>
      </c>
    </row>
    <row r="378" spans="3:12" ht="15.6" hidden="1">
      <c r="C378" s="39" t="str">
        <f t="shared" si="61"/>
        <v>H</v>
      </c>
      <c r="D378" s="45" t="str">
        <f>Parameter!E$39</f>
        <v>NXTWear</v>
      </c>
      <c r="E378" s="125">
        <f t="shared" si="64"/>
        <v>0</v>
      </c>
      <c r="F378" s="126">
        <f t="shared" si="64"/>
        <v>0</v>
      </c>
      <c r="G378" s="126">
        <f t="shared" si="64"/>
        <v>0</v>
      </c>
      <c r="H378" s="126">
        <f t="shared" si="64"/>
        <v>0</v>
      </c>
      <c r="I378" s="126">
        <f t="shared" si="64"/>
        <v>0</v>
      </c>
      <c r="J378" s="126">
        <f t="shared" si="64"/>
        <v>0</v>
      </c>
      <c r="K378" s="126">
        <f t="shared" si="64"/>
        <v>0</v>
      </c>
      <c r="L378" s="127">
        <f t="shared" si="64"/>
        <v>0</v>
      </c>
    </row>
    <row r="379" spans="3:12" ht="15.6" hidden="1">
      <c r="C379" s="39" t="str">
        <f t="shared" si="61"/>
        <v>H</v>
      </c>
      <c r="D379" s="45" t="str">
        <f>Parameter!E$40</f>
        <v>One</v>
      </c>
      <c r="E379" s="125">
        <f t="shared" si="64"/>
        <v>0</v>
      </c>
      <c r="F379" s="126">
        <f t="shared" si="64"/>
        <v>0</v>
      </c>
      <c r="G379" s="126">
        <f t="shared" si="64"/>
        <v>0</v>
      </c>
      <c r="H379" s="126">
        <f t="shared" si="64"/>
        <v>0</v>
      </c>
      <c r="I379" s="126">
        <f t="shared" si="64"/>
        <v>0</v>
      </c>
      <c r="J379" s="126">
        <f t="shared" si="64"/>
        <v>0</v>
      </c>
      <c r="K379" s="126">
        <f t="shared" si="64"/>
        <v>0</v>
      </c>
      <c r="L379" s="127">
        <f t="shared" si="64"/>
        <v>0</v>
      </c>
    </row>
    <row r="380" spans="3:12" ht="15.6" hidden="1">
      <c r="C380" s="39" t="str">
        <f t="shared" si="61"/>
        <v>H</v>
      </c>
      <c r="D380" s="45" t="str">
        <f>Parameter!E$41</f>
        <v>One Pro</v>
      </c>
      <c r="E380" s="125">
        <f t="shared" si="64"/>
        <v>0</v>
      </c>
      <c r="F380" s="126">
        <f t="shared" si="64"/>
        <v>0</v>
      </c>
      <c r="G380" s="126">
        <f t="shared" si="64"/>
        <v>0</v>
      </c>
      <c r="H380" s="126">
        <f t="shared" si="64"/>
        <v>0</v>
      </c>
      <c r="I380" s="126">
        <f t="shared" si="64"/>
        <v>0</v>
      </c>
      <c r="J380" s="126">
        <f t="shared" si="64"/>
        <v>0</v>
      </c>
      <c r="K380" s="126">
        <f t="shared" si="64"/>
        <v>0</v>
      </c>
      <c r="L380" s="127">
        <f t="shared" si="64"/>
        <v>0</v>
      </c>
    </row>
    <row r="381" spans="3:12" ht="15.6">
      <c r="C381" s="39" t="str">
        <f t="shared" si="61"/>
        <v/>
      </c>
      <c r="D381" s="45" t="str">
        <f>Parameter!E$42</f>
        <v>Quark AI</v>
      </c>
      <c r="E381" s="125">
        <f t="shared" si="64"/>
        <v>0</v>
      </c>
      <c r="F381" s="126">
        <f t="shared" si="64"/>
        <v>0</v>
      </c>
      <c r="G381" s="126">
        <f t="shared" si="64"/>
        <v>0</v>
      </c>
      <c r="H381" s="126">
        <f t="shared" si="64"/>
        <v>2.5000000000000001E-2</v>
      </c>
      <c r="I381" s="126">
        <f t="shared" si="64"/>
        <v>0</v>
      </c>
      <c r="J381" s="126">
        <f t="shared" si="64"/>
        <v>0</v>
      </c>
      <c r="K381" s="126">
        <f t="shared" si="64"/>
        <v>0</v>
      </c>
      <c r="L381" s="127">
        <f t="shared" si="64"/>
        <v>0</v>
      </c>
    </row>
    <row r="382" spans="3:12" ht="15.6" hidden="1">
      <c r="C382" s="39" t="str">
        <f t="shared" si="61"/>
        <v>H</v>
      </c>
      <c r="D382" s="45" t="str">
        <f>Parameter!E$43</f>
        <v>Ray-Ban Meta Display</v>
      </c>
      <c r="E382" s="125">
        <f t="shared" si="64"/>
        <v>0</v>
      </c>
      <c r="F382" s="126">
        <f t="shared" si="64"/>
        <v>0</v>
      </c>
      <c r="G382" s="126">
        <f t="shared" si="64"/>
        <v>0</v>
      </c>
      <c r="H382" s="126">
        <f t="shared" si="64"/>
        <v>0</v>
      </c>
      <c r="I382" s="126">
        <f t="shared" si="64"/>
        <v>0</v>
      </c>
      <c r="J382" s="126">
        <f t="shared" si="64"/>
        <v>0</v>
      </c>
      <c r="K382" s="126">
        <f t="shared" si="64"/>
        <v>0</v>
      </c>
      <c r="L382" s="127">
        <f t="shared" si="64"/>
        <v>0</v>
      </c>
    </row>
    <row r="383" spans="3:12" ht="15.6">
      <c r="C383" s="39" t="str">
        <f t="shared" si="61"/>
        <v/>
      </c>
      <c r="D383" s="45" t="str">
        <f>Parameter!E$44</f>
        <v>Shield</v>
      </c>
      <c r="E383" s="125">
        <f t="shared" si="64"/>
        <v>2.2000000000000001E-3</v>
      </c>
      <c r="F383" s="126">
        <f t="shared" si="64"/>
        <v>1.8699999999999999E-3</v>
      </c>
      <c r="G383" s="126">
        <f t="shared" si="64"/>
        <v>8.1399999999999994E-4</v>
      </c>
      <c r="H383" s="126">
        <f t="shared" si="64"/>
        <v>0</v>
      </c>
      <c r="I383" s="126">
        <f t="shared" si="64"/>
        <v>0</v>
      </c>
      <c r="J383" s="126">
        <f t="shared" si="64"/>
        <v>0</v>
      </c>
      <c r="K383" s="126">
        <f t="shared" si="64"/>
        <v>0</v>
      </c>
      <c r="L383" s="127">
        <f t="shared" si="64"/>
        <v>0</v>
      </c>
    </row>
    <row r="384" spans="3:12" ht="15.6" hidden="1">
      <c r="C384" s="39" t="str">
        <f t="shared" si="61"/>
        <v>H</v>
      </c>
      <c r="D384" s="45" t="str">
        <f>Parameter!E$45</f>
        <v>SiOLED glasses</v>
      </c>
      <c r="E384" s="125">
        <f t="shared" si="64"/>
        <v>0</v>
      </c>
      <c r="F384" s="126">
        <f t="shared" si="64"/>
        <v>0</v>
      </c>
      <c r="G384" s="126">
        <f t="shared" si="64"/>
        <v>0</v>
      </c>
      <c r="H384" s="126">
        <f t="shared" si="64"/>
        <v>0</v>
      </c>
      <c r="I384" s="126">
        <f t="shared" si="64"/>
        <v>0</v>
      </c>
      <c r="J384" s="126">
        <f t="shared" si="64"/>
        <v>0</v>
      </c>
      <c r="K384" s="126">
        <f t="shared" si="64"/>
        <v>0</v>
      </c>
      <c r="L384" s="127">
        <f t="shared" si="64"/>
        <v>0</v>
      </c>
    </row>
    <row r="385" spans="3:12" ht="15.6" hidden="1">
      <c r="C385" s="39" t="str">
        <f t="shared" si="61"/>
        <v>H</v>
      </c>
      <c r="D385" s="45" t="str">
        <f>Parameter!E$46</f>
        <v>T1</v>
      </c>
      <c r="E385" s="125">
        <f t="shared" si="64"/>
        <v>0</v>
      </c>
      <c r="F385" s="126">
        <f t="shared" si="64"/>
        <v>0</v>
      </c>
      <c r="G385" s="126">
        <f t="shared" si="64"/>
        <v>0</v>
      </c>
      <c r="H385" s="126">
        <f t="shared" si="64"/>
        <v>0</v>
      </c>
      <c r="I385" s="126">
        <f t="shared" si="64"/>
        <v>0</v>
      </c>
      <c r="J385" s="126">
        <f t="shared" si="64"/>
        <v>0</v>
      </c>
      <c r="K385" s="126">
        <f t="shared" si="64"/>
        <v>0</v>
      </c>
      <c r="L385" s="127">
        <f t="shared" si="64"/>
        <v>0</v>
      </c>
    </row>
    <row r="386" spans="3:12" ht="15.6" hidden="1">
      <c r="C386" s="39" t="str">
        <f t="shared" si="61"/>
        <v>H</v>
      </c>
      <c r="D386" s="45" t="str">
        <f>Parameter!E$47</f>
        <v>ThinkReality A3</v>
      </c>
      <c r="E386" s="125">
        <f t="shared" si="64"/>
        <v>0</v>
      </c>
      <c r="F386" s="126">
        <f t="shared" si="64"/>
        <v>0</v>
      </c>
      <c r="G386" s="126">
        <f t="shared" si="64"/>
        <v>0</v>
      </c>
      <c r="H386" s="126">
        <f t="shared" si="64"/>
        <v>0</v>
      </c>
      <c r="I386" s="126">
        <f t="shared" si="64"/>
        <v>0</v>
      </c>
      <c r="J386" s="126">
        <f t="shared" si="64"/>
        <v>0</v>
      </c>
      <c r="K386" s="126">
        <f t="shared" si="64"/>
        <v>0</v>
      </c>
      <c r="L386" s="127">
        <f t="shared" si="64"/>
        <v>0</v>
      </c>
    </row>
    <row r="387" spans="3:12" ht="15.6" hidden="1">
      <c r="C387" s="39" t="str">
        <f t="shared" si="61"/>
        <v>H</v>
      </c>
      <c r="D387" s="45" t="str">
        <f>Parameter!E$48</f>
        <v>Viture Pro</v>
      </c>
      <c r="E387" s="125">
        <f t="shared" ref="E387:L396" si="65">SUMIF(ARVR_Y_PC_PR, "AR_"&amp;E$346&amp;"_"&amp;$D$345&amp;"_"&amp;$D387, PanelQ)</f>
        <v>0</v>
      </c>
      <c r="F387" s="126">
        <f t="shared" si="65"/>
        <v>0</v>
      </c>
      <c r="G387" s="126">
        <f t="shared" si="65"/>
        <v>0</v>
      </c>
      <c r="H387" s="126">
        <f t="shared" si="65"/>
        <v>0</v>
      </c>
      <c r="I387" s="126">
        <f t="shared" si="65"/>
        <v>0</v>
      </c>
      <c r="J387" s="126">
        <f t="shared" si="65"/>
        <v>0</v>
      </c>
      <c r="K387" s="126">
        <f t="shared" si="65"/>
        <v>0</v>
      </c>
      <c r="L387" s="127">
        <f t="shared" si="65"/>
        <v>0</v>
      </c>
    </row>
    <row r="388" spans="3:12" ht="16.2" thickBot="1">
      <c r="C388" s="39" t="str">
        <f t="shared" si="61"/>
        <v/>
      </c>
      <c r="D388" s="45" t="str">
        <f>Parameter!E$49</f>
        <v>X3 Pro</v>
      </c>
      <c r="E388" s="125">
        <f t="shared" si="65"/>
        <v>0</v>
      </c>
      <c r="F388" s="126">
        <f t="shared" si="65"/>
        <v>0</v>
      </c>
      <c r="G388" s="126">
        <f t="shared" si="65"/>
        <v>0</v>
      </c>
      <c r="H388" s="126">
        <f t="shared" si="65"/>
        <v>1.4999999999999999E-2</v>
      </c>
      <c r="I388" s="126">
        <f t="shared" si="65"/>
        <v>0</v>
      </c>
      <c r="J388" s="126">
        <f t="shared" si="65"/>
        <v>0</v>
      </c>
      <c r="K388" s="126">
        <f t="shared" si="65"/>
        <v>0</v>
      </c>
      <c r="L388" s="127">
        <f t="shared" si="65"/>
        <v>0</v>
      </c>
    </row>
    <row r="389" spans="3:12" ht="15.6" hidden="1">
      <c r="C389" s="39" t="str">
        <f t="shared" si="61"/>
        <v>H</v>
      </c>
      <c r="D389" s="45" t="str">
        <f>Parameter!E$50</f>
        <v>Z100</v>
      </c>
      <c r="E389" s="125">
        <f t="shared" si="65"/>
        <v>0</v>
      </c>
      <c r="F389" s="126">
        <f t="shared" si="65"/>
        <v>0</v>
      </c>
      <c r="G389" s="126">
        <f t="shared" si="65"/>
        <v>0</v>
      </c>
      <c r="H389" s="126">
        <f t="shared" si="65"/>
        <v>0</v>
      </c>
      <c r="I389" s="126">
        <f t="shared" si="65"/>
        <v>0</v>
      </c>
      <c r="J389" s="126">
        <f t="shared" si="65"/>
        <v>0</v>
      </c>
      <c r="K389" s="126">
        <f t="shared" si="65"/>
        <v>0</v>
      </c>
      <c r="L389" s="127">
        <f t="shared" si="65"/>
        <v>0</v>
      </c>
    </row>
    <row r="390" spans="3:12" ht="15.6" hidden="1">
      <c r="C390" s="39" t="str">
        <f t="shared" si="61"/>
        <v>H</v>
      </c>
      <c r="D390" s="45">
        <f>Parameter!E$51</f>
        <v>0</v>
      </c>
      <c r="E390" s="125">
        <f t="shared" si="65"/>
        <v>0</v>
      </c>
      <c r="F390" s="126">
        <f t="shared" si="65"/>
        <v>0</v>
      </c>
      <c r="G390" s="126">
        <f t="shared" si="65"/>
        <v>0</v>
      </c>
      <c r="H390" s="126">
        <f t="shared" si="65"/>
        <v>0</v>
      </c>
      <c r="I390" s="126">
        <f t="shared" si="65"/>
        <v>0</v>
      </c>
      <c r="J390" s="126">
        <f t="shared" si="65"/>
        <v>0</v>
      </c>
      <c r="K390" s="126">
        <f t="shared" si="65"/>
        <v>0</v>
      </c>
      <c r="L390" s="127">
        <f t="shared" si="65"/>
        <v>0</v>
      </c>
    </row>
    <row r="391" spans="3:12" ht="15.6" hidden="1">
      <c r="C391" s="39" t="str">
        <f t="shared" si="61"/>
        <v>H</v>
      </c>
      <c r="D391" s="45">
        <f>Parameter!E$52</f>
        <v>0</v>
      </c>
      <c r="E391" s="125">
        <f t="shared" si="65"/>
        <v>0</v>
      </c>
      <c r="F391" s="126">
        <f t="shared" si="65"/>
        <v>0</v>
      </c>
      <c r="G391" s="126">
        <f t="shared" si="65"/>
        <v>0</v>
      </c>
      <c r="H391" s="126">
        <f t="shared" si="65"/>
        <v>0</v>
      </c>
      <c r="I391" s="126">
        <f t="shared" si="65"/>
        <v>0</v>
      </c>
      <c r="J391" s="126">
        <f t="shared" si="65"/>
        <v>0</v>
      </c>
      <c r="K391" s="126">
        <f t="shared" si="65"/>
        <v>0</v>
      </c>
      <c r="L391" s="127">
        <f t="shared" si="65"/>
        <v>0</v>
      </c>
    </row>
    <row r="392" spans="3:12" ht="15.6" hidden="1">
      <c r="C392" s="39" t="str">
        <f t="shared" si="61"/>
        <v>H</v>
      </c>
      <c r="D392" s="45">
        <f>Parameter!E$53</f>
        <v>0</v>
      </c>
      <c r="E392" s="125">
        <f t="shared" si="65"/>
        <v>0</v>
      </c>
      <c r="F392" s="126">
        <f t="shared" si="65"/>
        <v>0</v>
      </c>
      <c r="G392" s="126">
        <f t="shared" si="65"/>
        <v>0</v>
      </c>
      <c r="H392" s="126">
        <f t="shared" si="65"/>
        <v>0</v>
      </c>
      <c r="I392" s="126">
        <f t="shared" si="65"/>
        <v>0</v>
      </c>
      <c r="J392" s="126">
        <f t="shared" si="65"/>
        <v>0</v>
      </c>
      <c r="K392" s="126">
        <f t="shared" si="65"/>
        <v>0</v>
      </c>
      <c r="L392" s="127">
        <f t="shared" si="65"/>
        <v>0</v>
      </c>
    </row>
    <row r="393" spans="3:12" ht="15.6" hidden="1">
      <c r="C393" s="39" t="str">
        <f t="shared" si="61"/>
        <v>H</v>
      </c>
      <c r="D393" s="45">
        <f>Parameter!E$54</f>
        <v>0</v>
      </c>
      <c r="E393" s="125">
        <f t="shared" si="65"/>
        <v>0</v>
      </c>
      <c r="F393" s="126">
        <f t="shared" si="65"/>
        <v>0</v>
      </c>
      <c r="G393" s="126">
        <f t="shared" si="65"/>
        <v>0</v>
      </c>
      <c r="H393" s="126">
        <f t="shared" si="65"/>
        <v>0</v>
      </c>
      <c r="I393" s="126">
        <f t="shared" si="65"/>
        <v>0</v>
      </c>
      <c r="J393" s="126">
        <f t="shared" si="65"/>
        <v>0</v>
      </c>
      <c r="K393" s="126">
        <f t="shared" si="65"/>
        <v>0</v>
      </c>
      <c r="L393" s="127">
        <f t="shared" si="65"/>
        <v>0</v>
      </c>
    </row>
    <row r="394" spans="3:12" ht="15.6" hidden="1">
      <c r="C394" s="39" t="str">
        <f t="shared" si="61"/>
        <v>H</v>
      </c>
      <c r="D394" s="45">
        <f>Parameter!E$55</f>
        <v>0</v>
      </c>
      <c r="E394" s="125">
        <f t="shared" si="65"/>
        <v>0</v>
      </c>
      <c r="F394" s="126">
        <f t="shared" si="65"/>
        <v>0</v>
      </c>
      <c r="G394" s="126">
        <f t="shared" si="65"/>
        <v>0</v>
      </c>
      <c r="H394" s="126">
        <f t="shared" si="65"/>
        <v>0</v>
      </c>
      <c r="I394" s="126">
        <f t="shared" si="65"/>
        <v>0</v>
      </c>
      <c r="J394" s="126">
        <f t="shared" si="65"/>
        <v>0</v>
      </c>
      <c r="K394" s="126">
        <f t="shared" si="65"/>
        <v>0</v>
      </c>
      <c r="L394" s="127">
        <f t="shared" si="65"/>
        <v>0</v>
      </c>
    </row>
    <row r="395" spans="3:12" ht="15.6" hidden="1">
      <c r="C395" s="39" t="str">
        <f t="shared" si="61"/>
        <v>H</v>
      </c>
      <c r="D395" s="45">
        <f>Parameter!E$56</f>
        <v>0</v>
      </c>
      <c r="E395" s="125">
        <f t="shared" si="65"/>
        <v>0</v>
      </c>
      <c r="F395" s="126">
        <f t="shared" si="65"/>
        <v>0</v>
      </c>
      <c r="G395" s="126">
        <f t="shared" si="65"/>
        <v>0</v>
      </c>
      <c r="H395" s="126">
        <f t="shared" si="65"/>
        <v>0</v>
      </c>
      <c r="I395" s="126">
        <f t="shared" si="65"/>
        <v>0</v>
      </c>
      <c r="J395" s="126">
        <f t="shared" si="65"/>
        <v>0</v>
      </c>
      <c r="K395" s="126">
        <f t="shared" si="65"/>
        <v>0</v>
      </c>
      <c r="L395" s="127">
        <f t="shared" si="65"/>
        <v>0</v>
      </c>
    </row>
    <row r="396" spans="3:12" ht="16.2" hidden="1" thickBot="1">
      <c r="C396" s="39" t="str">
        <f t="shared" si="61"/>
        <v>H</v>
      </c>
      <c r="D396" s="53" t="str">
        <f>Parameter!E$57</f>
        <v>ALL</v>
      </c>
      <c r="E396" s="128">
        <f t="shared" si="65"/>
        <v>0</v>
      </c>
      <c r="F396" s="129">
        <f t="shared" si="65"/>
        <v>0</v>
      </c>
      <c r="G396" s="129">
        <f t="shared" si="65"/>
        <v>0</v>
      </c>
      <c r="H396" s="129">
        <f t="shared" si="65"/>
        <v>0</v>
      </c>
      <c r="I396" s="129">
        <f t="shared" si="65"/>
        <v>0</v>
      </c>
      <c r="J396" s="129">
        <f t="shared" si="65"/>
        <v>0</v>
      </c>
      <c r="K396" s="129">
        <f t="shared" si="65"/>
        <v>0</v>
      </c>
      <c r="L396" s="130">
        <f t="shared" si="65"/>
        <v>0</v>
      </c>
    </row>
    <row r="397" spans="3:12" ht="15.6">
      <c r="C397" s="39" t="str">
        <f t="shared" si="61"/>
        <v/>
      </c>
      <c r="D397" s="54" t="s">
        <v>87</v>
      </c>
      <c r="E397" s="131">
        <f>SUM(E347:E396)</f>
        <v>3.3E-3</v>
      </c>
      <c r="F397" s="132">
        <f t="shared" ref="F397:L397" si="66">SUM(F347:F396)</f>
        <v>3.0589999999999999E-2</v>
      </c>
      <c r="G397" s="132">
        <f t="shared" si="66"/>
        <v>4.9374000000000001E-2</v>
      </c>
      <c r="H397" s="132">
        <f t="shared" si="66"/>
        <v>0.15399999999999997</v>
      </c>
      <c r="I397" s="132">
        <f t="shared" si="66"/>
        <v>0.19359999999999999</v>
      </c>
      <c r="J397" s="132">
        <f t="shared" si="66"/>
        <v>0.30139999999999995</v>
      </c>
      <c r="K397" s="132">
        <f t="shared" si="66"/>
        <v>0.70399999999999996</v>
      </c>
      <c r="L397" s="133">
        <f t="shared" si="66"/>
        <v>1.232</v>
      </c>
    </row>
    <row r="398" spans="3:12" ht="16.2" thickBot="1">
      <c r="C398" s="39" t="str">
        <f t="shared" si="61"/>
        <v/>
      </c>
      <c r="D398" s="46" t="s">
        <v>88</v>
      </c>
      <c r="E398" s="47"/>
      <c r="F398" s="50">
        <f t="shared" ref="F398:G398" si="67">IF(E397*F397=0, "", F397/E397-1)</f>
        <v>8.2696969696969695</v>
      </c>
      <c r="G398" s="50">
        <f t="shared" si="67"/>
        <v>0.61405688133376923</v>
      </c>
      <c r="H398" s="50">
        <f>IF(G397*H397=0, "", H397/G397-1)</f>
        <v>2.1190505124154408</v>
      </c>
      <c r="I398" s="50">
        <f t="shared" ref="I398:L398" si="68">IF(H397*I397=0, "", I397/H397-1)</f>
        <v>0.25714285714285734</v>
      </c>
      <c r="J398" s="50">
        <f t="shared" si="68"/>
        <v>0.55681818181818166</v>
      </c>
      <c r="K398" s="50">
        <f t="shared" si="68"/>
        <v>1.3357664233576645</v>
      </c>
      <c r="L398" s="51">
        <f t="shared" si="68"/>
        <v>0.75</v>
      </c>
    </row>
    <row r="399" spans="3:12">
      <c r="C399"/>
    </row>
    <row r="400" spans="3:12" ht="14.4" thickBot="1">
      <c r="C400"/>
    </row>
    <row r="401" spans="3:12" ht="15" thickBot="1">
      <c r="C401"/>
      <c r="D401" s="52" t="str">
        <f>Parameter!I15</f>
        <v>2x SiOLED</v>
      </c>
    </row>
    <row r="402" spans="3:12" ht="16.2" thickBot="1">
      <c r="C402"/>
      <c r="D402" s="40" t="s">
        <v>85</v>
      </c>
      <c r="E402" s="41" t="str">
        <f>E10</f>
        <v>2022</v>
      </c>
      <c r="F402" s="42" t="str">
        <f t="shared" ref="F402:L402" si="69">F10</f>
        <v>2023</v>
      </c>
      <c r="G402" s="42" t="str">
        <f t="shared" si="69"/>
        <v>2024</v>
      </c>
      <c r="H402" s="42">
        <f t="shared" si="69"/>
        <v>2025</v>
      </c>
      <c r="I402" s="42" t="str">
        <f t="shared" si="69"/>
        <v>2026</v>
      </c>
      <c r="J402" s="42" t="str">
        <f t="shared" si="69"/>
        <v>2027</v>
      </c>
      <c r="K402" s="42" t="str">
        <f t="shared" si="69"/>
        <v>2028</v>
      </c>
      <c r="L402" s="43" t="str">
        <f t="shared" si="69"/>
        <v>2029</v>
      </c>
    </row>
    <row r="403" spans="3:12" ht="15.6">
      <c r="C403" s="39" t="str">
        <f t="shared" si="61"/>
        <v/>
      </c>
      <c r="D403" s="44" t="str">
        <f>Parameter!E$8</f>
        <v>Air</v>
      </c>
      <c r="E403" s="125">
        <f t="shared" ref="E403:L412" si="70">SUMIF(ARVR_Y_PC_PR, "AR_"&amp;E$402&amp;"_"&amp;$D$401&amp;"_"&amp;$D403, PanelQ)</f>
        <v>4.3999999999999997E-2</v>
      </c>
      <c r="F403" s="126">
        <f t="shared" si="70"/>
        <v>6.3007999999999995E-2</v>
      </c>
      <c r="G403" s="126">
        <f t="shared" si="70"/>
        <v>2.2040000000000001E-2</v>
      </c>
      <c r="H403" s="126">
        <f t="shared" si="70"/>
        <v>0</v>
      </c>
      <c r="I403" s="126">
        <f t="shared" si="70"/>
        <v>0</v>
      </c>
      <c r="J403" s="126">
        <f t="shared" si="70"/>
        <v>0</v>
      </c>
      <c r="K403" s="126">
        <f t="shared" si="70"/>
        <v>0</v>
      </c>
      <c r="L403" s="127">
        <f t="shared" si="70"/>
        <v>0</v>
      </c>
    </row>
    <row r="404" spans="3:12" ht="15.6">
      <c r="C404" s="39" t="str">
        <f t="shared" si="61"/>
        <v/>
      </c>
      <c r="D404" s="44" t="str">
        <f>Parameter!E$9</f>
        <v>Air 2</v>
      </c>
      <c r="E404" s="125">
        <f t="shared" si="70"/>
        <v>0</v>
      </c>
      <c r="F404" s="126">
        <f t="shared" si="70"/>
        <v>0.34627999999999998</v>
      </c>
      <c r="G404" s="126">
        <f t="shared" si="70"/>
        <v>0.16885199999999997</v>
      </c>
      <c r="H404" s="126">
        <f t="shared" si="70"/>
        <v>0</v>
      </c>
      <c r="I404" s="126">
        <f t="shared" si="70"/>
        <v>0</v>
      </c>
      <c r="J404" s="126">
        <f t="shared" si="70"/>
        <v>0</v>
      </c>
      <c r="K404" s="126">
        <f t="shared" si="70"/>
        <v>0</v>
      </c>
      <c r="L404" s="127">
        <f t="shared" si="70"/>
        <v>0</v>
      </c>
    </row>
    <row r="405" spans="3:12" ht="15.6">
      <c r="C405" s="39" t="str">
        <f t="shared" si="61"/>
        <v/>
      </c>
      <c r="D405" s="45" t="str">
        <f>Parameter!E$10</f>
        <v>Air 3</v>
      </c>
      <c r="E405" s="125">
        <f t="shared" si="70"/>
        <v>0</v>
      </c>
      <c r="F405" s="126">
        <f t="shared" si="70"/>
        <v>0</v>
      </c>
      <c r="G405" s="126">
        <f t="shared" si="70"/>
        <v>0.09</v>
      </c>
      <c r="H405" s="126">
        <f t="shared" si="70"/>
        <v>0.24399999999999999</v>
      </c>
      <c r="I405" s="126">
        <f t="shared" si="70"/>
        <v>0</v>
      </c>
      <c r="J405" s="126">
        <f t="shared" si="70"/>
        <v>0</v>
      </c>
      <c r="K405" s="126">
        <f t="shared" si="70"/>
        <v>0</v>
      </c>
      <c r="L405" s="127">
        <f t="shared" si="70"/>
        <v>0</v>
      </c>
    </row>
    <row r="406" spans="3:12" ht="15.6">
      <c r="C406" s="39" t="str">
        <f t="shared" si="61"/>
        <v/>
      </c>
      <c r="D406" s="45" t="str">
        <f>Parameter!E$11</f>
        <v>Air 3s Pro</v>
      </c>
      <c r="E406" s="125">
        <f t="shared" si="70"/>
        <v>0</v>
      </c>
      <c r="F406" s="126">
        <f t="shared" si="70"/>
        <v>0</v>
      </c>
      <c r="G406" s="126">
        <f t="shared" si="70"/>
        <v>0</v>
      </c>
      <c r="H406" s="126">
        <f t="shared" si="70"/>
        <v>0.13</v>
      </c>
      <c r="I406" s="126">
        <f t="shared" si="70"/>
        <v>0</v>
      </c>
      <c r="J406" s="126">
        <f t="shared" si="70"/>
        <v>0</v>
      </c>
      <c r="K406" s="126">
        <f t="shared" si="70"/>
        <v>0</v>
      </c>
      <c r="L406" s="127">
        <f t="shared" si="70"/>
        <v>0</v>
      </c>
    </row>
    <row r="407" spans="3:12" ht="15.6" hidden="1">
      <c r="C407" s="39" t="str">
        <f t="shared" si="61"/>
        <v>H</v>
      </c>
      <c r="D407" s="45" t="str">
        <f>Parameter!E$12</f>
        <v>Air Glass</v>
      </c>
      <c r="E407" s="125">
        <f t="shared" si="70"/>
        <v>0</v>
      </c>
      <c r="F407" s="126">
        <f t="shared" si="70"/>
        <v>0</v>
      </c>
      <c r="G407" s="126">
        <f t="shared" si="70"/>
        <v>0</v>
      </c>
      <c r="H407" s="126">
        <f t="shared" si="70"/>
        <v>0</v>
      </c>
      <c r="I407" s="126">
        <f t="shared" si="70"/>
        <v>0</v>
      </c>
      <c r="J407" s="126">
        <f t="shared" si="70"/>
        <v>0</v>
      </c>
      <c r="K407" s="126">
        <f t="shared" si="70"/>
        <v>0</v>
      </c>
      <c r="L407" s="127">
        <f t="shared" si="70"/>
        <v>0</v>
      </c>
    </row>
    <row r="408" spans="3:12" ht="15.6" hidden="1">
      <c r="C408" s="39" t="str">
        <f t="shared" si="61"/>
        <v>H</v>
      </c>
      <c r="D408" s="45" t="str">
        <f>Parameter!E$13</f>
        <v>Binocular MicroLED</v>
      </c>
      <c r="E408" s="125">
        <f t="shared" si="70"/>
        <v>0</v>
      </c>
      <c r="F408" s="126">
        <f t="shared" si="70"/>
        <v>0</v>
      </c>
      <c r="G408" s="126">
        <f t="shared" si="70"/>
        <v>0</v>
      </c>
      <c r="H408" s="126">
        <f t="shared" si="70"/>
        <v>0</v>
      </c>
      <c r="I408" s="126">
        <f t="shared" si="70"/>
        <v>0</v>
      </c>
      <c r="J408" s="126">
        <f t="shared" si="70"/>
        <v>0</v>
      </c>
      <c r="K408" s="126">
        <f t="shared" si="70"/>
        <v>0</v>
      </c>
      <c r="L408" s="127">
        <f t="shared" si="70"/>
        <v>0</v>
      </c>
    </row>
    <row r="409" spans="3:12" ht="15.6" hidden="1">
      <c r="C409" s="39" t="str">
        <f t="shared" si="61"/>
        <v>H</v>
      </c>
      <c r="D409" s="45" t="str">
        <f>Parameter!E$14</f>
        <v>Blade</v>
      </c>
      <c r="E409" s="125">
        <f t="shared" si="70"/>
        <v>0</v>
      </c>
      <c r="F409" s="126">
        <f t="shared" si="70"/>
        <v>0</v>
      </c>
      <c r="G409" s="126">
        <f t="shared" si="70"/>
        <v>0</v>
      </c>
      <c r="H409" s="126">
        <f t="shared" si="70"/>
        <v>0</v>
      </c>
      <c r="I409" s="126">
        <f t="shared" si="70"/>
        <v>0</v>
      </c>
      <c r="J409" s="126">
        <f t="shared" si="70"/>
        <v>0</v>
      </c>
      <c r="K409" s="126">
        <f t="shared" si="70"/>
        <v>0</v>
      </c>
      <c r="L409" s="127">
        <f t="shared" si="70"/>
        <v>0</v>
      </c>
    </row>
    <row r="410" spans="3:12" ht="15.6" hidden="1">
      <c r="C410" s="39" t="str">
        <f t="shared" si="61"/>
        <v>H</v>
      </c>
      <c r="D410" s="45" t="str">
        <f>Parameter!E$15</f>
        <v>DLP glasses</v>
      </c>
      <c r="E410" s="125">
        <f t="shared" si="70"/>
        <v>0</v>
      </c>
      <c r="F410" s="126">
        <f t="shared" si="70"/>
        <v>0</v>
      </c>
      <c r="G410" s="126">
        <f t="shared" si="70"/>
        <v>0</v>
      </c>
      <c r="H410" s="126">
        <f t="shared" si="70"/>
        <v>0</v>
      </c>
      <c r="I410" s="126">
        <f t="shared" si="70"/>
        <v>0</v>
      </c>
      <c r="J410" s="126">
        <f t="shared" si="70"/>
        <v>0</v>
      </c>
      <c r="K410" s="126">
        <f t="shared" si="70"/>
        <v>0</v>
      </c>
      <c r="L410" s="127">
        <f t="shared" si="70"/>
        <v>0</v>
      </c>
    </row>
    <row r="411" spans="3:12" ht="15.6" hidden="1">
      <c r="C411" s="39" t="str">
        <f t="shared" si="61"/>
        <v>H</v>
      </c>
      <c r="D411" s="45" t="str">
        <f>Parameter!E$16</f>
        <v>G1</v>
      </c>
      <c r="E411" s="125">
        <f t="shared" si="70"/>
        <v>0</v>
      </c>
      <c r="F411" s="126">
        <f t="shared" si="70"/>
        <v>0</v>
      </c>
      <c r="G411" s="126">
        <f t="shared" si="70"/>
        <v>0</v>
      </c>
      <c r="H411" s="126">
        <f t="shared" si="70"/>
        <v>0</v>
      </c>
      <c r="I411" s="126">
        <f t="shared" si="70"/>
        <v>0</v>
      </c>
      <c r="J411" s="126">
        <f t="shared" si="70"/>
        <v>0</v>
      </c>
      <c r="K411" s="126">
        <f t="shared" si="70"/>
        <v>0</v>
      </c>
      <c r="L411" s="127">
        <f t="shared" si="70"/>
        <v>0</v>
      </c>
    </row>
    <row r="412" spans="3:12" ht="15.6" hidden="1">
      <c r="C412" s="39" t="str">
        <f t="shared" ref="C412:C475" si="71">IF(SUM(E412:L412)=0, "H", "")</f>
        <v>H</v>
      </c>
      <c r="D412" s="45" t="str">
        <f>Parameter!E$17</f>
        <v>Glass</v>
      </c>
      <c r="E412" s="125">
        <f t="shared" si="70"/>
        <v>0</v>
      </c>
      <c r="F412" s="126">
        <f t="shared" si="70"/>
        <v>0</v>
      </c>
      <c r="G412" s="126">
        <f t="shared" si="70"/>
        <v>0</v>
      </c>
      <c r="H412" s="126">
        <f t="shared" si="70"/>
        <v>0</v>
      </c>
      <c r="I412" s="126">
        <f t="shared" si="70"/>
        <v>0</v>
      </c>
      <c r="J412" s="126">
        <f t="shared" si="70"/>
        <v>0</v>
      </c>
      <c r="K412" s="126">
        <f t="shared" si="70"/>
        <v>0</v>
      </c>
      <c r="L412" s="127">
        <f t="shared" si="70"/>
        <v>0</v>
      </c>
    </row>
    <row r="413" spans="3:12" ht="15.6" hidden="1">
      <c r="C413" s="39" t="str">
        <f t="shared" si="71"/>
        <v>H</v>
      </c>
      <c r="D413" s="45" t="str">
        <f>Parameter!E$18</f>
        <v>Glasses</v>
      </c>
      <c r="E413" s="125">
        <f t="shared" ref="E413:L422" si="72">SUMIF(ARVR_Y_PC_PR, "AR_"&amp;E$402&amp;"_"&amp;$D$401&amp;"_"&amp;$D413, PanelQ)</f>
        <v>0</v>
      </c>
      <c r="F413" s="126">
        <f t="shared" si="72"/>
        <v>0</v>
      </c>
      <c r="G413" s="126">
        <f t="shared" si="72"/>
        <v>0</v>
      </c>
      <c r="H413" s="126">
        <f t="shared" si="72"/>
        <v>0</v>
      </c>
      <c r="I413" s="126">
        <f t="shared" si="72"/>
        <v>0</v>
      </c>
      <c r="J413" s="126">
        <f t="shared" si="72"/>
        <v>0</v>
      </c>
      <c r="K413" s="126">
        <f t="shared" si="72"/>
        <v>0</v>
      </c>
      <c r="L413" s="127">
        <f t="shared" si="72"/>
        <v>0</v>
      </c>
    </row>
    <row r="414" spans="3:12" ht="15.6" hidden="1">
      <c r="C414" s="39" t="str">
        <f t="shared" si="71"/>
        <v>H</v>
      </c>
      <c r="D414" s="45" t="str">
        <f>Parameter!E$19</f>
        <v>Go</v>
      </c>
      <c r="E414" s="125">
        <f t="shared" si="72"/>
        <v>0</v>
      </c>
      <c r="F414" s="126">
        <f t="shared" si="72"/>
        <v>0</v>
      </c>
      <c r="G414" s="126">
        <f t="shared" si="72"/>
        <v>0</v>
      </c>
      <c r="H414" s="126">
        <f t="shared" si="72"/>
        <v>0</v>
      </c>
      <c r="I414" s="126">
        <f t="shared" si="72"/>
        <v>0</v>
      </c>
      <c r="J414" s="126">
        <f t="shared" si="72"/>
        <v>0</v>
      </c>
      <c r="K414" s="126">
        <f t="shared" si="72"/>
        <v>0</v>
      </c>
      <c r="L414" s="127">
        <f t="shared" si="72"/>
        <v>0</v>
      </c>
    </row>
    <row r="415" spans="3:12" ht="15.6" hidden="1">
      <c r="C415" s="39" t="str">
        <f t="shared" si="71"/>
        <v>H</v>
      </c>
      <c r="D415" s="45" t="str">
        <f>Parameter!E$20</f>
        <v>Go 2</v>
      </c>
      <c r="E415" s="125">
        <f t="shared" si="72"/>
        <v>0</v>
      </c>
      <c r="F415" s="126">
        <f t="shared" si="72"/>
        <v>0</v>
      </c>
      <c r="G415" s="126">
        <f t="shared" si="72"/>
        <v>0</v>
      </c>
      <c r="H415" s="126">
        <f t="shared" si="72"/>
        <v>0</v>
      </c>
      <c r="I415" s="126">
        <f t="shared" si="72"/>
        <v>0</v>
      </c>
      <c r="J415" s="126">
        <f t="shared" si="72"/>
        <v>0</v>
      </c>
      <c r="K415" s="126">
        <f t="shared" si="72"/>
        <v>0</v>
      </c>
      <c r="L415" s="127">
        <f t="shared" si="72"/>
        <v>0</v>
      </c>
    </row>
    <row r="416" spans="3:12" ht="15.6" hidden="1">
      <c r="C416" s="39" t="str">
        <f t="shared" si="71"/>
        <v>H</v>
      </c>
      <c r="D416" s="45" t="str">
        <f>Parameter!E$21</f>
        <v>HoloLens 2</v>
      </c>
      <c r="E416" s="125">
        <f t="shared" si="72"/>
        <v>0</v>
      </c>
      <c r="F416" s="126">
        <f t="shared" si="72"/>
        <v>0</v>
      </c>
      <c r="G416" s="126">
        <f t="shared" si="72"/>
        <v>0</v>
      </c>
      <c r="H416" s="126">
        <f t="shared" si="72"/>
        <v>0</v>
      </c>
      <c r="I416" s="126">
        <f t="shared" si="72"/>
        <v>0</v>
      </c>
      <c r="J416" s="126">
        <f t="shared" si="72"/>
        <v>0</v>
      </c>
      <c r="K416" s="126">
        <f t="shared" si="72"/>
        <v>0</v>
      </c>
      <c r="L416" s="127">
        <f t="shared" si="72"/>
        <v>0</v>
      </c>
    </row>
    <row r="417" spans="3:12" ht="15.6">
      <c r="C417" s="39" t="str">
        <f t="shared" si="71"/>
        <v/>
      </c>
      <c r="D417" s="45" t="str">
        <f>Parameter!E$22</f>
        <v>INAIR 2</v>
      </c>
      <c r="E417" s="125">
        <f t="shared" si="72"/>
        <v>0</v>
      </c>
      <c r="F417" s="126">
        <f t="shared" si="72"/>
        <v>0</v>
      </c>
      <c r="G417" s="126">
        <f t="shared" si="72"/>
        <v>1E-3</v>
      </c>
      <c r="H417" s="126">
        <f t="shared" si="72"/>
        <v>0</v>
      </c>
      <c r="I417" s="126">
        <f t="shared" si="72"/>
        <v>0</v>
      </c>
      <c r="J417" s="126">
        <f t="shared" si="72"/>
        <v>0</v>
      </c>
      <c r="K417" s="126">
        <f t="shared" si="72"/>
        <v>0</v>
      </c>
      <c r="L417" s="127">
        <f t="shared" si="72"/>
        <v>0</v>
      </c>
    </row>
    <row r="418" spans="3:12" ht="15.6">
      <c r="C418" s="39" t="str">
        <f t="shared" si="71"/>
        <v/>
      </c>
      <c r="D418" s="45" t="str">
        <f>Parameter!E$23</f>
        <v>INAIR 2 Pro</v>
      </c>
      <c r="E418" s="125">
        <f t="shared" si="72"/>
        <v>0</v>
      </c>
      <c r="F418" s="126">
        <f t="shared" si="72"/>
        <v>0</v>
      </c>
      <c r="G418" s="126">
        <f t="shared" si="72"/>
        <v>2E-3</v>
      </c>
      <c r="H418" s="126">
        <f t="shared" si="72"/>
        <v>0</v>
      </c>
      <c r="I418" s="126">
        <f t="shared" si="72"/>
        <v>0</v>
      </c>
      <c r="J418" s="126">
        <f t="shared" si="72"/>
        <v>0</v>
      </c>
      <c r="K418" s="126">
        <f t="shared" si="72"/>
        <v>0</v>
      </c>
      <c r="L418" s="127">
        <f t="shared" si="72"/>
        <v>0</v>
      </c>
    </row>
    <row r="419" spans="3:12" ht="15.6" hidden="1">
      <c r="C419" s="39" t="str">
        <f t="shared" si="71"/>
        <v>H</v>
      </c>
      <c r="D419" s="45" t="str">
        <f>Parameter!E$24</f>
        <v>LBS glasses</v>
      </c>
      <c r="E419" s="125">
        <f t="shared" si="72"/>
        <v>0</v>
      </c>
      <c r="F419" s="126">
        <f t="shared" si="72"/>
        <v>0</v>
      </c>
      <c r="G419" s="126">
        <f t="shared" si="72"/>
        <v>0</v>
      </c>
      <c r="H419" s="126">
        <f t="shared" si="72"/>
        <v>0</v>
      </c>
      <c r="I419" s="126">
        <f t="shared" si="72"/>
        <v>0</v>
      </c>
      <c r="J419" s="126">
        <f t="shared" si="72"/>
        <v>0</v>
      </c>
      <c r="K419" s="126">
        <f t="shared" si="72"/>
        <v>0</v>
      </c>
      <c r="L419" s="127">
        <f t="shared" si="72"/>
        <v>0</v>
      </c>
    </row>
    <row r="420" spans="3:12" ht="15.6" hidden="1">
      <c r="C420" s="39" t="str">
        <f t="shared" si="71"/>
        <v>H</v>
      </c>
      <c r="D420" s="45" t="str">
        <f>Parameter!E$25</f>
        <v>LCoS glasses</v>
      </c>
      <c r="E420" s="125">
        <f t="shared" si="72"/>
        <v>0</v>
      </c>
      <c r="F420" s="126">
        <f t="shared" si="72"/>
        <v>0</v>
      </c>
      <c r="G420" s="126">
        <f t="shared" si="72"/>
        <v>0</v>
      </c>
      <c r="H420" s="126">
        <f t="shared" si="72"/>
        <v>0</v>
      </c>
      <c r="I420" s="126">
        <f t="shared" si="72"/>
        <v>0</v>
      </c>
      <c r="J420" s="126">
        <f t="shared" si="72"/>
        <v>0</v>
      </c>
      <c r="K420" s="126">
        <f t="shared" si="72"/>
        <v>0</v>
      </c>
      <c r="L420" s="127">
        <f t="shared" si="72"/>
        <v>0</v>
      </c>
    </row>
    <row r="421" spans="3:12" ht="15.6">
      <c r="C421" s="39" t="str">
        <f t="shared" si="71"/>
        <v/>
      </c>
      <c r="D421" s="45" t="str">
        <f>Parameter!E$26</f>
        <v>Lenovo Legion Glasses 2</v>
      </c>
      <c r="E421" s="125">
        <f t="shared" si="72"/>
        <v>0</v>
      </c>
      <c r="F421" s="126">
        <f t="shared" si="72"/>
        <v>0</v>
      </c>
      <c r="G421" s="126">
        <f t="shared" si="72"/>
        <v>2E-3</v>
      </c>
      <c r="H421" s="126">
        <f t="shared" si="72"/>
        <v>4.0000000000000001E-3</v>
      </c>
      <c r="I421" s="126">
        <f t="shared" si="72"/>
        <v>0</v>
      </c>
      <c r="J421" s="126">
        <f t="shared" si="72"/>
        <v>0</v>
      </c>
      <c r="K421" s="126">
        <f t="shared" si="72"/>
        <v>0</v>
      </c>
      <c r="L421" s="127">
        <f t="shared" si="72"/>
        <v>0</v>
      </c>
    </row>
    <row r="422" spans="3:12" ht="15.6">
      <c r="C422" s="39" t="str">
        <f t="shared" si="71"/>
        <v/>
      </c>
      <c r="D422" s="45" t="str">
        <f>Parameter!E$27</f>
        <v>Light</v>
      </c>
      <c r="E422" s="125">
        <f t="shared" si="72"/>
        <v>0.33</v>
      </c>
      <c r="F422" s="126">
        <f t="shared" si="72"/>
        <v>0</v>
      </c>
      <c r="G422" s="126">
        <f t="shared" si="72"/>
        <v>0</v>
      </c>
      <c r="H422" s="126">
        <f t="shared" si="72"/>
        <v>0</v>
      </c>
      <c r="I422" s="126">
        <f t="shared" si="72"/>
        <v>0</v>
      </c>
      <c r="J422" s="126">
        <f t="shared" si="72"/>
        <v>0</v>
      </c>
      <c r="K422" s="126">
        <f t="shared" si="72"/>
        <v>0</v>
      </c>
      <c r="L422" s="127">
        <f t="shared" si="72"/>
        <v>0</v>
      </c>
    </row>
    <row r="423" spans="3:12" ht="15.6">
      <c r="C423" s="39" t="str">
        <f t="shared" si="71"/>
        <v/>
      </c>
      <c r="D423" s="45" t="str">
        <f>Parameter!E$28</f>
        <v>Max</v>
      </c>
      <c r="E423" s="125">
        <f t="shared" ref="E423:L432" si="73">SUMIF(ARVR_Y_PC_PR, "AR_"&amp;E$402&amp;"_"&amp;$D$401&amp;"_"&amp;$D423, PanelQ)</f>
        <v>0</v>
      </c>
      <c r="F423" s="126">
        <f t="shared" si="73"/>
        <v>5.8057999999999998E-2</v>
      </c>
      <c r="G423" s="126">
        <f t="shared" si="73"/>
        <v>1.562E-2</v>
      </c>
      <c r="H423" s="126">
        <f t="shared" si="73"/>
        <v>0</v>
      </c>
      <c r="I423" s="126">
        <f t="shared" si="73"/>
        <v>0</v>
      </c>
      <c r="J423" s="126">
        <f t="shared" si="73"/>
        <v>0</v>
      </c>
      <c r="K423" s="126">
        <f t="shared" si="73"/>
        <v>0</v>
      </c>
      <c r="L423" s="127">
        <f t="shared" si="73"/>
        <v>0</v>
      </c>
    </row>
    <row r="424" spans="3:12" ht="15.6">
      <c r="C424" s="39" t="str">
        <f t="shared" si="71"/>
        <v/>
      </c>
      <c r="D424" s="45" t="str">
        <f>Parameter!E$29</f>
        <v>Max 2</v>
      </c>
      <c r="E424" s="125">
        <f t="shared" si="73"/>
        <v>0</v>
      </c>
      <c r="F424" s="126">
        <f t="shared" si="73"/>
        <v>0</v>
      </c>
      <c r="G424" s="126">
        <f t="shared" si="73"/>
        <v>3.7999999999999999E-2</v>
      </c>
      <c r="H424" s="126">
        <f t="shared" si="73"/>
        <v>0</v>
      </c>
      <c r="I424" s="126">
        <f t="shared" si="73"/>
        <v>0</v>
      </c>
      <c r="J424" s="126">
        <f t="shared" si="73"/>
        <v>0</v>
      </c>
      <c r="K424" s="126">
        <f t="shared" si="73"/>
        <v>0</v>
      </c>
      <c r="L424" s="127">
        <f t="shared" si="73"/>
        <v>0</v>
      </c>
    </row>
    <row r="425" spans="3:12" ht="15.6" hidden="1">
      <c r="C425" s="39" t="str">
        <f t="shared" si="71"/>
        <v>H</v>
      </c>
      <c r="D425" s="45" t="str">
        <f>Parameter!E$30</f>
        <v>Meizu StarV Air 2</v>
      </c>
      <c r="E425" s="125">
        <f t="shared" si="73"/>
        <v>0</v>
      </c>
      <c r="F425" s="126">
        <f t="shared" si="73"/>
        <v>0</v>
      </c>
      <c r="G425" s="126">
        <f t="shared" si="73"/>
        <v>0</v>
      </c>
      <c r="H425" s="126">
        <f t="shared" si="73"/>
        <v>0</v>
      </c>
      <c r="I425" s="126">
        <f t="shared" si="73"/>
        <v>0</v>
      </c>
      <c r="J425" s="126">
        <f t="shared" si="73"/>
        <v>0</v>
      </c>
      <c r="K425" s="126">
        <f t="shared" si="73"/>
        <v>0</v>
      </c>
      <c r="L425" s="127">
        <f t="shared" si="73"/>
        <v>0</v>
      </c>
    </row>
    <row r="426" spans="3:12" ht="15.6">
      <c r="C426" s="39" t="str">
        <f t="shared" si="71"/>
        <v/>
      </c>
      <c r="D426" s="45" t="str">
        <f>Parameter!E$31</f>
        <v>Meizu StarV View</v>
      </c>
      <c r="E426" s="125">
        <f t="shared" si="73"/>
        <v>0</v>
      </c>
      <c r="F426" s="126">
        <f t="shared" si="73"/>
        <v>0</v>
      </c>
      <c r="G426" s="126">
        <f t="shared" si="73"/>
        <v>2.1999999999999999E-2</v>
      </c>
      <c r="H426" s="126">
        <f t="shared" si="73"/>
        <v>1.3000000000000001E-2</v>
      </c>
      <c r="I426" s="126">
        <f t="shared" si="73"/>
        <v>0</v>
      </c>
      <c r="J426" s="126">
        <f t="shared" si="73"/>
        <v>0</v>
      </c>
      <c r="K426" s="126">
        <f t="shared" si="73"/>
        <v>0</v>
      </c>
      <c r="L426" s="127">
        <f t="shared" si="73"/>
        <v>0</v>
      </c>
    </row>
    <row r="427" spans="3:12" ht="15.6">
      <c r="C427" s="39" t="str">
        <f t="shared" si="71"/>
        <v/>
      </c>
      <c r="D427" s="45" t="str">
        <f>Parameter!E$32</f>
        <v>MiRZA</v>
      </c>
      <c r="E427" s="125">
        <f t="shared" si="73"/>
        <v>0</v>
      </c>
      <c r="F427" s="126">
        <f t="shared" si="73"/>
        <v>0</v>
      </c>
      <c r="G427" s="126">
        <f t="shared" si="73"/>
        <v>5.0000000000000001E-4</v>
      </c>
      <c r="H427" s="126">
        <f t="shared" si="73"/>
        <v>0</v>
      </c>
      <c r="I427" s="126">
        <f t="shared" si="73"/>
        <v>0</v>
      </c>
      <c r="J427" s="126">
        <f t="shared" si="73"/>
        <v>0</v>
      </c>
      <c r="K427" s="126">
        <f t="shared" si="73"/>
        <v>0</v>
      </c>
      <c r="L427" s="127">
        <f t="shared" si="73"/>
        <v>0</v>
      </c>
    </row>
    <row r="428" spans="3:12" ht="15.6" hidden="1">
      <c r="C428" s="39" t="str">
        <f t="shared" si="71"/>
        <v>H</v>
      </c>
      <c r="D428" s="45" t="str">
        <f>Parameter!E$33</f>
        <v>ML 2</v>
      </c>
      <c r="E428" s="125">
        <f t="shared" si="73"/>
        <v>0</v>
      </c>
      <c r="F428" s="126">
        <f t="shared" si="73"/>
        <v>0</v>
      </c>
      <c r="G428" s="126">
        <f t="shared" si="73"/>
        <v>0</v>
      </c>
      <c r="H428" s="126">
        <f t="shared" si="73"/>
        <v>0</v>
      </c>
      <c r="I428" s="126">
        <f t="shared" si="73"/>
        <v>0</v>
      </c>
      <c r="J428" s="126">
        <f t="shared" si="73"/>
        <v>0</v>
      </c>
      <c r="K428" s="126">
        <f t="shared" si="73"/>
        <v>0</v>
      </c>
      <c r="L428" s="127">
        <f t="shared" si="73"/>
        <v>0</v>
      </c>
    </row>
    <row r="429" spans="3:12" ht="15.6" hidden="1">
      <c r="C429" s="39" t="str">
        <f t="shared" si="71"/>
        <v>H</v>
      </c>
      <c r="D429" s="45" t="str">
        <f>Parameter!E$34</f>
        <v>ML One</v>
      </c>
      <c r="E429" s="125">
        <f t="shared" si="73"/>
        <v>0</v>
      </c>
      <c r="F429" s="126">
        <f t="shared" si="73"/>
        <v>0</v>
      </c>
      <c r="G429" s="126">
        <f t="shared" si="73"/>
        <v>0</v>
      </c>
      <c r="H429" s="126">
        <f t="shared" si="73"/>
        <v>0</v>
      </c>
      <c r="I429" s="126">
        <f t="shared" si="73"/>
        <v>0</v>
      </c>
      <c r="J429" s="126">
        <f t="shared" si="73"/>
        <v>0</v>
      </c>
      <c r="K429" s="126">
        <f t="shared" si="73"/>
        <v>0</v>
      </c>
      <c r="L429" s="127">
        <f t="shared" si="73"/>
        <v>0</v>
      </c>
    </row>
    <row r="430" spans="3:12" ht="15.6" hidden="1">
      <c r="C430" s="39" t="str">
        <f t="shared" si="71"/>
        <v>H</v>
      </c>
      <c r="D430" s="45" t="str">
        <f>Parameter!E$35</f>
        <v>Monocular LCoS glasses</v>
      </c>
      <c r="E430" s="125">
        <f t="shared" si="73"/>
        <v>0</v>
      </c>
      <c r="F430" s="126">
        <f t="shared" si="73"/>
        <v>0</v>
      </c>
      <c r="G430" s="126">
        <f t="shared" si="73"/>
        <v>0</v>
      </c>
      <c r="H430" s="126">
        <f t="shared" si="73"/>
        <v>0</v>
      </c>
      <c r="I430" s="126">
        <f t="shared" si="73"/>
        <v>0</v>
      </c>
      <c r="J430" s="126">
        <f t="shared" si="73"/>
        <v>0</v>
      </c>
      <c r="K430" s="126">
        <f t="shared" si="73"/>
        <v>0</v>
      </c>
      <c r="L430" s="127">
        <f t="shared" si="73"/>
        <v>0</v>
      </c>
    </row>
    <row r="431" spans="3:12" ht="15.6" hidden="1">
      <c r="C431" s="39" t="str">
        <f t="shared" si="71"/>
        <v>H</v>
      </c>
      <c r="D431" s="45" t="str">
        <f>Parameter!E$36</f>
        <v>Monocular MicroLED</v>
      </c>
      <c r="E431" s="125">
        <f t="shared" si="73"/>
        <v>0</v>
      </c>
      <c r="F431" s="126">
        <f t="shared" si="73"/>
        <v>0</v>
      </c>
      <c r="G431" s="126">
        <f t="shared" si="73"/>
        <v>0</v>
      </c>
      <c r="H431" s="126">
        <f t="shared" si="73"/>
        <v>0</v>
      </c>
      <c r="I431" s="126">
        <f t="shared" si="73"/>
        <v>0</v>
      </c>
      <c r="J431" s="126">
        <f t="shared" si="73"/>
        <v>0</v>
      </c>
      <c r="K431" s="126">
        <f t="shared" si="73"/>
        <v>0</v>
      </c>
      <c r="L431" s="127">
        <f t="shared" si="73"/>
        <v>0</v>
      </c>
    </row>
    <row r="432" spans="3:12" ht="15.6">
      <c r="C432" s="39" t="str">
        <f t="shared" si="71"/>
        <v/>
      </c>
      <c r="D432" s="45" t="str">
        <f>Parameter!E$37</f>
        <v>Moverio</v>
      </c>
      <c r="E432" s="125">
        <f t="shared" si="73"/>
        <v>8.7999999999999995E-2</v>
      </c>
      <c r="F432" s="126">
        <f t="shared" si="73"/>
        <v>4.8840000000000001E-2</v>
      </c>
      <c r="G432" s="126">
        <f t="shared" si="73"/>
        <v>2.3520000000000003E-2</v>
      </c>
      <c r="H432" s="126">
        <f t="shared" si="73"/>
        <v>0</v>
      </c>
      <c r="I432" s="126">
        <f t="shared" si="73"/>
        <v>0</v>
      </c>
      <c r="J432" s="126">
        <f t="shared" si="73"/>
        <v>0</v>
      </c>
      <c r="K432" s="126">
        <f t="shared" si="73"/>
        <v>0</v>
      </c>
      <c r="L432" s="127">
        <f t="shared" si="73"/>
        <v>0</v>
      </c>
    </row>
    <row r="433" spans="3:12" ht="15.6" hidden="1">
      <c r="C433" s="39" t="str">
        <f t="shared" si="71"/>
        <v>H</v>
      </c>
      <c r="D433" s="45" t="str">
        <f>Parameter!E$38</f>
        <v>MYVU</v>
      </c>
      <c r="E433" s="125">
        <f t="shared" ref="E433:L442" si="74">SUMIF(ARVR_Y_PC_PR, "AR_"&amp;E$402&amp;"_"&amp;$D$401&amp;"_"&amp;$D433, PanelQ)</f>
        <v>0</v>
      </c>
      <c r="F433" s="126">
        <f t="shared" si="74"/>
        <v>0</v>
      </c>
      <c r="G433" s="126">
        <f t="shared" si="74"/>
        <v>0</v>
      </c>
      <c r="H433" s="126">
        <f t="shared" si="74"/>
        <v>0</v>
      </c>
      <c r="I433" s="126">
        <f t="shared" si="74"/>
        <v>0</v>
      </c>
      <c r="J433" s="126">
        <f t="shared" si="74"/>
        <v>0</v>
      </c>
      <c r="K433" s="126">
        <f t="shared" si="74"/>
        <v>0</v>
      </c>
      <c r="L433" s="127">
        <f t="shared" si="74"/>
        <v>0</v>
      </c>
    </row>
    <row r="434" spans="3:12" ht="15.6">
      <c r="C434" s="39" t="str">
        <f t="shared" si="71"/>
        <v/>
      </c>
      <c r="D434" s="45" t="str">
        <f>Parameter!E$39</f>
        <v>NXTWear</v>
      </c>
      <c r="E434" s="125">
        <f t="shared" si="74"/>
        <v>3.3000000000000002E-2</v>
      </c>
      <c r="F434" s="126">
        <f t="shared" si="74"/>
        <v>0.25497999999999998</v>
      </c>
      <c r="G434" s="126">
        <f t="shared" si="74"/>
        <v>0.13607999999999998</v>
      </c>
      <c r="H434" s="126">
        <f t="shared" si="74"/>
        <v>0</v>
      </c>
      <c r="I434" s="126">
        <f t="shared" si="74"/>
        <v>0</v>
      </c>
      <c r="J434" s="126">
        <f t="shared" si="74"/>
        <v>0</v>
      </c>
      <c r="K434" s="126">
        <f t="shared" si="74"/>
        <v>0</v>
      </c>
      <c r="L434" s="127">
        <f t="shared" si="74"/>
        <v>0</v>
      </c>
    </row>
    <row r="435" spans="3:12" ht="15.6">
      <c r="C435" s="39" t="str">
        <f t="shared" si="71"/>
        <v/>
      </c>
      <c r="D435" s="45" t="str">
        <f>Parameter!E$40</f>
        <v>One</v>
      </c>
      <c r="E435" s="125">
        <f t="shared" si="74"/>
        <v>0</v>
      </c>
      <c r="F435" s="126">
        <f t="shared" si="74"/>
        <v>0</v>
      </c>
      <c r="G435" s="126">
        <f t="shared" si="74"/>
        <v>9.5000000000000001E-2</v>
      </c>
      <c r="H435" s="126">
        <f t="shared" si="74"/>
        <v>0.21499999999999997</v>
      </c>
      <c r="I435" s="126">
        <f t="shared" si="74"/>
        <v>0</v>
      </c>
      <c r="J435" s="126">
        <f t="shared" si="74"/>
        <v>0</v>
      </c>
      <c r="K435" s="126">
        <f t="shared" si="74"/>
        <v>0</v>
      </c>
      <c r="L435" s="127">
        <f t="shared" si="74"/>
        <v>0</v>
      </c>
    </row>
    <row r="436" spans="3:12" ht="15.6">
      <c r="C436" s="39" t="str">
        <f t="shared" si="71"/>
        <v/>
      </c>
      <c r="D436" s="45" t="str">
        <f>Parameter!E$41</f>
        <v>One Pro</v>
      </c>
      <c r="E436" s="125">
        <f t="shared" si="74"/>
        <v>0</v>
      </c>
      <c r="F436" s="126">
        <f t="shared" si="74"/>
        <v>0</v>
      </c>
      <c r="G436" s="126">
        <f t="shared" si="74"/>
        <v>5.0000000000000001E-3</v>
      </c>
      <c r="H436" s="126">
        <f t="shared" si="74"/>
        <v>9.4E-2</v>
      </c>
      <c r="I436" s="126">
        <f t="shared" si="74"/>
        <v>0</v>
      </c>
      <c r="J436" s="126">
        <f t="shared" si="74"/>
        <v>0</v>
      </c>
      <c r="K436" s="126">
        <f t="shared" si="74"/>
        <v>0</v>
      </c>
      <c r="L436" s="127">
        <f t="shared" si="74"/>
        <v>0</v>
      </c>
    </row>
    <row r="437" spans="3:12" ht="15.6" hidden="1">
      <c r="C437" s="39" t="str">
        <f t="shared" si="71"/>
        <v>H</v>
      </c>
      <c r="D437" s="45" t="str">
        <f>Parameter!E$42</f>
        <v>Quark AI</v>
      </c>
      <c r="E437" s="125">
        <f t="shared" si="74"/>
        <v>0</v>
      </c>
      <c r="F437" s="126">
        <f t="shared" si="74"/>
        <v>0</v>
      </c>
      <c r="G437" s="126">
        <f t="shared" si="74"/>
        <v>0</v>
      </c>
      <c r="H437" s="126">
        <f t="shared" si="74"/>
        <v>0</v>
      </c>
      <c r="I437" s="126">
        <f t="shared" si="74"/>
        <v>0</v>
      </c>
      <c r="J437" s="126">
        <f t="shared" si="74"/>
        <v>0</v>
      </c>
      <c r="K437" s="126">
        <f t="shared" si="74"/>
        <v>0</v>
      </c>
      <c r="L437" s="127">
        <f t="shared" si="74"/>
        <v>0</v>
      </c>
    </row>
    <row r="438" spans="3:12" ht="15.6" hidden="1">
      <c r="C438" s="39" t="str">
        <f t="shared" si="71"/>
        <v>H</v>
      </c>
      <c r="D438" s="45" t="str">
        <f>Parameter!E$43</f>
        <v>Ray-Ban Meta Display</v>
      </c>
      <c r="E438" s="125">
        <f t="shared" si="74"/>
        <v>0</v>
      </c>
      <c r="F438" s="126">
        <f t="shared" si="74"/>
        <v>0</v>
      </c>
      <c r="G438" s="126">
        <f t="shared" si="74"/>
        <v>0</v>
      </c>
      <c r="H438" s="126">
        <f t="shared" si="74"/>
        <v>0</v>
      </c>
      <c r="I438" s="126">
        <f t="shared" si="74"/>
        <v>0</v>
      </c>
      <c r="J438" s="126">
        <f t="shared" si="74"/>
        <v>0</v>
      </c>
      <c r="K438" s="126">
        <f t="shared" si="74"/>
        <v>0</v>
      </c>
      <c r="L438" s="127">
        <f t="shared" si="74"/>
        <v>0</v>
      </c>
    </row>
    <row r="439" spans="3:12" ht="15.6" hidden="1">
      <c r="C439" s="39" t="str">
        <f t="shared" si="71"/>
        <v>H</v>
      </c>
      <c r="D439" s="45" t="str">
        <f>Parameter!E$44</f>
        <v>Shield</v>
      </c>
      <c r="E439" s="125">
        <f t="shared" si="74"/>
        <v>0</v>
      </c>
      <c r="F439" s="126">
        <f t="shared" si="74"/>
        <v>0</v>
      </c>
      <c r="G439" s="126">
        <f t="shared" si="74"/>
        <v>0</v>
      </c>
      <c r="H439" s="126">
        <f t="shared" si="74"/>
        <v>0</v>
      </c>
      <c r="I439" s="126">
        <f t="shared" si="74"/>
        <v>0</v>
      </c>
      <c r="J439" s="126">
        <f t="shared" si="74"/>
        <v>0</v>
      </c>
      <c r="K439" s="126">
        <f t="shared" si="74"/>
        <v>0</v>
      </c>
      <c r="L439" s="127">
        <f t="shared" si="74"/>
        <v>0</v>
      </c>
    </row>
    <row r="440" spans="3:12" ht="15.6">
      <c r="C440" s="39" t="str">
        <f t="shared" si="71"/>
        <v/>
      </c>
      <c r="D440" s="45" t="str">
        <f>Parameter!E$45</f>
        <v>SiOLED glasses</v>
      </c>
      <c r="E440" s="125">
        <f t="shared" si="74"/>
        <v>1.54E-2</v>
      </c>
      <c r="F440" s="126">
        <f t="shared" si="74"/>
        <v>9.3060000000000004E-2</v>
      </c>
      <c r="G440" s="126">
        <f t="shared" si="74"/>
        <v>5.8300000000000005E-2</v>
      </c>
      <c r="H440" s="126">
        <f t="shared" si="74"/>
        <v>0.61599999999999999</v>
      </c>
      <c r="I440" s="126">
        <f t="shared" si="74"/>
        <v>1.6500000000000001</v>
      </c>
      <c r="J440" s="126">
        <f t="shared" si="74"/>
        <v>2.1669999999999998</v>
      </c>
      <c r="K440" s="126">
        <f t="shared" si="74"/>
        <v>3.1240000000000001</v>
      </c>
      <c r="L440" s="127">
        <f t="shared" si="74"/>
        <v>4.4219999999999997</v>
      </c>
    </row>
    <row r="441" spans="3:12" ht="15.6">
      <c r="C441" s="39" t="str">
        <f t="shared" si="71"/>
        <v/>
      </c>
      <c r="D441" s="45" t="str">
        <f>Parameter!E$46</f>
        <v>T1</v>
      </c>
      <c r="E441" s="125">
        <f t="shared" si="74"/>
        <v>5.5E-2</v>
      </c>
      <c r="F441" s="126">
        <f t="shared" si="74"/>
        <v>5.2690000000000001E-2</v>
      </c>
      <c r="G441" s="126">
        <f t="shared" si="74"/>
        <v>8.1399999999999997E-3</v>
      </c>
      <c r="H441" s="126">
        <f t="shared" si="74"/>
        <v>0</v>
      </c>
      <c r="I441" s="126">
        <f t="shared" si="74"/>
        <v>0</v>
      </c>
      <c r="J441" s="126">
        <f t="shared" si="74"/>
        <v>0</v>
      </c>
      <c r="K441" s="126">
        <f t="shared" si="74"/>
        <v>0</v>
      </c>
      <c r="L441" s="127">
        <f t="shared" si="74"/>
        <v>0</v>
      </c>
    </row>
    <row r="442" spans="3:12" ht="15.6">
      <c r="C442" s="39" t="str">
        <f t="shared" si="71"/>
        <v/>
      </c>
      <c r="D442" s="45" t="str">
        <f>Parameter!E$47</f>
        <v>ThinkReality A3</v>
      </c>
      <c r="E442" s="125">
        <f t="shared" si="74"/>
        <v>7.7000000000000002E-3</v>
      </c>
      <c r="F442" s="126">
        <f t="shared" si="74"/>
        <v>2.9919999999999999E-3</v>
      </c>
      <c r="G442" s="126">
        <f t="shared" si="74"/>
        <v>0</v>
      </c>
      <c r="H442" s="126">
        <f t="shared" si="74"/>
        <v>0</v>
      </c>
      <c r="I442" s="126">
        <f t="shared" si="74"/>
        <v>0</v>
      </c>
      <c r="J442" s="126">
        <f t="shared" si="74"/>
        <v>0</v>
      </c>
      <c r="K442" s="126">
        <f t="shared" si="74"/>
        <v>0</v>
      </c>
      <c r="L442" s="127">
        <f t="shared" si="74"/>
        <v>0</v>
      </c>
    </row>
    <row r="443" spans="3:12" ht="16.2" thickBot="1">
      <c r="C443" s="39" t="str">
        <f t="shared" si="71"/>
        <v/>
      </c>
      <c r="D443" s="45" t="str">
        <f>Parameter!E$48</f>
        <v>Viture Pro</v>
      </c>
      <c r="E443" s="125">
        <f t="shared" ref="E443:L452" si="75">SUMIF(ARVR_Y_PC_PR, "AR_"&amp;E$402&amp;"_"&amp;$D$401&amp;"_"&amp;$D443, PanelQ)</f>
        <v>0</v>
      </c>
      <c r="F443" s="126">
        <f t="shared" si="75"/>
        <v>0</v>
      </c>
      <c r="G443" s="126">
        <f t="shared" si="75"/>
        <v>6.0000000000000005E-2</v>
      </c>
      <c r="H443" s="126">
        <f t="shared" si="75"/>
        <v>1.2E-2</v>
      </c>
      <c r="I443" s="126">
        <f t="shared" si="75"/>
        <v>0</v>
      </c>
      <c r="J443" s="126">
        <f t="shared" si="75"/>
        <v>0</v>
      </c>
      <c r="K443" s="126">
        <f t="shared" si="75"/>
        <v>0</v>
      </c>
      <c r="L443" s="127">
        <f t="shared" si="75"/>
        <v>0</v>
      </c>
    </row>
    <row r="444" spans="3:12" ht="15.6" hidden="1">
      <c r="C444" s="39" t="str">
        <f t="shared" si="71"/>
        <v>H</v>
      </c>
      <c r="D444" s="45" t="str">
        <f>Parameter!E$49</f>
        <v>X3 Pro</v>
      </c>
      <c r="E444" s="125">
        <f t="shared" si="75"/>
        <v>0</v>
      </c>
      <c r="F444" s="126">
        <f t="shared" si="75"/>
        <v>0</v>
      </c>
      <c r="G444" s="126">
        <f t="shared" si="75"/>
        <v>0</v>
      </c>
      <c r="H444" s="126">
        <f t="shared" si="75"/>
        <v>0</v>
      </c>
      <c r="I444" s="126">
        <f t="shared" si="75"/>
        <v>0</v>
      </c>
      <c r="J444" s="126">
        <f t="shared" si="75"/>
        <v>0</v>
      </c>
      <c r="K444" s="126">
        <f t="shared" si="75"/>
        <v>0</v>
      </c>
      <c r="L444" s="127">
        <f t="shared" si="75"/>
        <v>0</v>
      </c>
    </row>
    <row r="445" spans="3:12" ht="15.6" hidden="1">
      <c r="C445" s="39" t="str">
        <f t="shared" si="71"/>
        <v>H</v>
      </c>
      <c r="D445" s="45" t="str">
        <f>Parameter!E$50</f>
        <v>Z100</v>
      </c>
      <c r="E445" s="125">
        <f t="shared" si="75"/>
        <v>0</v>
      </c>
      <c r="F445" s="126">
        <f t="shared" si="75"/>
        <v>0</v>
      </c>
      <c r="G445" s="126">
        <f t="shared" si="75"/>
        <v>0</v>
      </c>
      <c r="H445" s="126">
        <f t="shared" si="75"/>
        <v>0</v>
      </c>
      <c r="I445" s="126">
        <f t="shared" si="75"/>
        <v>0</v>
      </c>
      <c r="J445" s="126">
        <f t="shared" si="75"/>
        <v>0</v>
      </c>
      <c r="K445" s="126">
        <f t="shared" si="75"/>
        <v>0</v>
      </c>
      <c r="L445" s="127">
        <f t="shared" si="75"/>
        <v>0</v>
      </c>
    </row>
    <row r="446" spans="3:12" ht="15.6" hidden="1">
      <c r="C446" s="39" t="str">
        <f t="shared" si="71"/>
        <v>H</v>
      </c>
      <c r="D446" s="45">
        <f>Parameter!E$51</f>
        <v>0</v>
      </c>
      <c r="E446" s="125">
        <f t="shared" si="75"/>
        <v>0</v>
      </c>
      <c r="F446" s="126">
        <f t="shared" si="75"/>
        <v>0</v>
      </c>
      <c r="G446" s="126">
        <f t="shared" si="75"/>
        <v>0</v>
      </c>
      <c r="H446" s="126">
        <f t="shared" si="75"/>
        <v>0</v>
      </c>
      <c r="I446" s="126">
        <f t="shared" si="75"/>
        <v>0</v>
      </c>
      <c r="J446" s="126">
        <f t="shared" si="75"/>
        <v>0</v>
      </c>
      <c r="K446" s="126">
        <f t="shared" si="75"/>
        <v>0</v>
      </c>
      <c r="L446" s="127">
        <f t="shared" si="75"/>
        <v>0</v>
      </c>
    </row>
    <row r="447" spans="3:12" ht="15.6" hidden="1">
      <c r="C447" s="39" t="str">
        <f t="shared" si="71"/>
        <v>H</v>
      </c>
      <c r="D447" s="45">
        <f>Parameter!E$52</f>
        <v>0</v>
      </c>
      <c r="E447" s="125">
        <f t="shared" si="75"/>
        <v>0</v>
      </c>
      <c r="F447" s="126">
        <f t="shared" si="75"/>
        <v>0</v>
      </c>
      <c r="G447" s="126">
        <f t="shared" si="75"/>
        <v>0</v>
      </c>
      <c r="H447" s="126">
        <f t="shared" si="75"/>
        <v>0</v>
      </c>
      <c r="I447" s="126">
        <f t="shared" si="75"/>
        <v>0</v>
      </c>
      <c r="J447" s="126">
        <f t="shared" si="75"/>
        <v>0</v>
      </c>
      <c r="K447" s="126">
        <f t="shared" si="75"/>
        <v>0</v>
      </c>
      <c r="L447" s="127">
        <f t="shared" si="75"/>
        <v>0</v>
      </c>
    </row>
    <row r="448" spans="3:12" ht="15.6" hidden="1">
      <c r="C448" s="39" t="str">
        <f t="shared" si="71"/>
        <v>H</v>
      </c>
      <c r="D448" s="45">
        <f>Parameter!E$53</f>
        <v>0</v>
      </c>
      <c r="E448" s="125">
        <f t="shared" si="75"/>
        <v>0</v>
      </c>
      <c r="F448" s="126">
        <f t="shared" si="75"/>
        <v>0</v>
      </c>
      <c r="G448" s="126">
        <f t="shared" si="75"/>
        <v>0</v>
      </c>
      <c r="H448" s="126">
        <f t="shared" si="75"/>
        <v>0</v>
      </c>
      <c r="I448" s="126">
        <f t="shared" si="75"/>
        <v>0</v>
      </c>
      <c r="J448" s="126">
        <f t="shared" si="75"/>
        <v>0</v>
      </c>
      <c r="K448" s="126">
        <f t="shared" si="75"/>
        <v>0</v>
      </c>
      <c r="L448" s="127">
        <f t="shared" si="75"/>
        <v>0</v>
      </c>
    </row>
    <row r="449" spans="3:12" ht="15.6" hidden="1">
      <c r="C449" s="39" t="str">
        <f t="shared" si="71"/>
        <v>H</v>
      </c>
      <c r="D449" s="45">
        <f>Parameter!E$54</f>
        <v>0</v>
      </c>
      <c r="E449" s="125">
        <f t="shared" si="75"/>
        <v>0</v>
      </c>
      <c r="F449" s="126">
        <f t="shared" si="75"/>
        <v>0</v>
      </c>
      <c r="G449" s="126">
        <f t="shared" si="75"/>
        <v>0</v>
      </c>
      <c r="H449" s="126">
        <f t="shared" si="75"/>
        <v>0</v>
      </c>
      <c r="I449" s="126">
        <f t="shared" si="75"/>
        <v>0</v>
      </c>
      <c r="J449" s="126">
        <f t="shared" si="75"/>
        <v>0</v>
      </c>
      <c r="K449" s="126">
        <f t="shared" si="75"/>
        <v>0</v>
      </c>
      <c r="L449" s="127">
        <f t="shared" si="75"/>
        <v>0</v>
      </c>
    </row>
    <row r="450" spans="3:12" ht="15.6" hidden="1">
      <c r="C450" s="39" t="str">
        <f t="shared" si="71"/>
        <v>H</v>
      </c>
      <c r="D450" s="45">
        <f>Parameter!E$55</f>
        <v>0</v>
      </c>
      <c r="E450" s="125">
        <f t="shared" si="75"/>
        <v>0</v>
      </c>
      <c r="F450" s="126">
        <f t="shared" si="75"/>
        <v>0</v>
      </c>
      <c r="G450" s="126">
        <f t="shared" si="75"/>
        <v>0</v>
      </c>
      <c r="H450" s="126">
        <f t="shared" si="75"/>
        <v>0</v>
      </c>
      <c r="I450" s="126">
        <f t="shared" si="75"/>
        <v>0</v>
      </c>
      <c r="J450" s="126">
        <f t="shared" si="75"/>
        <v>0</v>
      </c>
      <c r="K450" s="126">
        <f t="shared" si="75"/>
        <v>0</v>
      </c>
      <c r="L450" s="127">
        <f t="shared" si="75"/>
        <v>0</v>
      </c>
    </row>
    <row r="451" spans="3:12" ht="15.6" hidden="1">
      <c r="C451" s="39" t="str">
        <f t="shared" si="71"/>
        <v>H</v>
      </c>
      <c r="D451" s="45">
        <f>Parameter!E$56</f>
        <v>0</v>
      </c>
      <c r="E451" s="125">
        <f t="shared" si="75"/>
        <v>0</v>
      </c>
      <c r="F451" s="126">
        <f t="shared" si="75"/>
        <v>0</v>
      </c>
      <c r="G451" s="126">
        <f t="shared" si="75"/>
        <v>0</v>
      </c>
      <c r="H451" s="126">
        <f t="shared" si="75"/>
        <v>0</v>
      </c>
      <c r="I451" s="126">
        <f t="shared" si="75"/>
        <v>0</v>
      </c>
      <c r="J451" s="126">
        <f t="shared" si="75"/>
        <v>0</v>
      </c>
      <c r="K451" s="126">
        <f t="shared" si="75"/>
        <v>0</v>
      </c>
      <c r="L451" s="127">
        <f t="shared" si="75"/>
        <v>0</v>
      </c>
    </row>
    <row r="452" spans="3:12" ht="16.2" hidden="1" thickBot="1">
      <c r="C452" s="39" t="str">
        <f t="shared" si="71"/>
        <v>H</v>
      </c>
      <c r="D452" s="53" t="str">
        <f>Parameter!E$57</f>
        <v>ALL</v>
      </c>
      <c r="E452" s="128">
        <f t="shared" si="75"/>
        <v>0</v>
      </c>
      <c r="F452" s="129">
        <f t="shared" si="75"/>
        <v>0</v>
      </c>
      <c r="G452" s="129">
        <f t="shared" si="75"/>
        <v>0</v>
      </c>
      <c r="H452" s="129">
        <f t="shared" si="75"/>
        <v>0</v>
      </c>
      <c r="I452" s="129">
        <f t="shared" si="75"/>
        <v>0</v>
      </c>
      <c r="J452" s="129">
        <f t="shared" si="75"/>
        <v>0</v>
      </c>
      <c r="K452" s="129">
        <f t="shared" si="75"/>
        <v>0</v>
      </c>
      <c r="L452" s="130">
        <f t="shared" si="75"/>
        <v>0</v>
      </c>
    </row>
    <row r="453" spans="3:12" ht="15.6">
      <c r="C453" s="39" t="str">
        <f t="shared" si="71"/>
        <v/>
      </c>
      <c r="D453" s="54" t="s">
        <v>87</v>
      </c>
      <c r="E453" s="131">
        <f>SUM(E403:E452)</f>
        <v>0.57310000000000005</v>
      </c>
      <c r="F453" s="132">
        <f t="shared" ref="F453:L453" si="76">SUM(F403:F452)</f>
        <v>0.91990800000000006</v>
      </c>
      <c r="G453" s="132">
        <f t="shared" si="76"/>
        <v>0.74805200000000005</v>
      </c>
      <c r="H453" s="132">
        <f t="shared" si="76"/>
        <v>1.3279999999999998</v>
      </c>
      <c r="I453" s="132">
        <f t="shared" si="76"/>
        <v>1.6500000000000001</v>
      </c>
      <c r="J453" s="132">
        <f t="shared" si="76"/>
        <v>2.1669999999999998</v>
      </c>
      <c r="K453" s="132">
        <f t="shared" si="76"/>
        <v>3.1240000000000001</v>
      </c>
      <c r="L453" s="133">
        <f t="shared" si="76"/>
        <v>4.4219999999999997</v>
      </c>
    </row>
    <row r="454" spans="3:12" ht="16.2" thickBot="1">
      <c r="C454" s="39" t="str">
        <f t="shared" si="71"/>
        <v/>
      </c>
      <c r="D454" s="46" t="s">
        <v>88</v>
      </c>
      <c r="E454" s="47"/>
      <c r="F454" s="50">
        <f t="shared" ref="F454:G454" si="77">IF(E453*F453=0, "", F453/E453-1)</f>
        <v>0.60514395393474074</v>
      </c>
      <c r="G454" s="50">
        <f t="shared" si="77"/>
        <v>-0.18681868186818684</v>
      </c>
      <c r="H454" s="50">
        <f>IF(G453*H453=0, "", H453/G453-1)</f>
        <v>0.77527765449460695</v>
      </c>
      <c r="I454" s="50">
        <f t="shared" ref="I454:L454" si="78">IF(H453*I453=0, "", I453/H453-1)</f>
        <v>0.24246987951807264</v>
      </c>
      <c r="J454" s="50">
        <f t="shared" si="78"/>
        <v>0.31333333333333302</v>
      </c>
      <c r="K454" s="50">
        <f t="shared" si="78"/>
        <v>0.44162436548223361</v>
      </c>
      <c r="L454" s="51">
        <f t="shared" si="78"/>
        <v>0.41549295774647876</v>
      </c>
    </row>
    <row r="455" spans="3:12">
      <c r="C455"/>
    </row>
    <row r="456" spans="3:12">
      <c r="C456"/>
    </row>
    <row r="457" spans="3:12" ht="15" hidden="1" thickBot="1">
      <c r="C457" s="148" t="str">
        <f t="shared" ref="C457:C458" si="79">$C$509</f>
        <v>H</v>
      </c>
      <c r="D457" s="52">
        <f>Parameter!I16</f>
        <v>0</v>
      </c>
    </row>
    <row r="458" spans="3:12" ht="16.2" hidden="1" thickBot="1">
      <c r="C458" s="148" t="str">
        <f t="shared" si="79"/>
        <v>H</v>
      </c>
      <c r="D458" s="40" t="s">
        <v>85</v>
      </c>
      <c r="E458" s="41" t="str">
        <f>E10</f>
        <v>2022</v>
      </c>
      <c r="F458" s="42" t="str">
        <f t="shared" ref="F458:L458" si="80">F10</f>
        <v>2023</v>
      </c>
      <c r="G458" s="42" t="str">
        <f t="shared" si="80"/>
        <v>2024</v>
      </c>
      <c r="H458" s="42">
        <f t="shared" si="80"/>
        <v>2025</v>
      </c>
      <c r="I458" s="42" t="str">
        <f t="shared" si="80"/>
        <v>2026</v>
      </c>
      <c r="J458" s="42" t="str">
        <f t="shared" si="80"/>
        <v>2027</v>
      </c>
      <c r="K458" s="42" t="str">
        <f t="shared" si="80"/>
        <v>2028</v>
      </c>
      <c r="L458" s="43" t="str">
        <f t="shared" si="80"/>
        <v>2029</v>
      </c>
    </row>
    <row r="459" spans="3:12" ht="15.6" hidden="1">
      <c r="C459" s="39" t="str">
        <f t="shared" si="71"/>
        <v>H</v>
      </c>
      <c r="D459" s="44" t="str">
        <f>Parameter!E$8</f>
        <v>Air</v>
      </c>
      <c r="E459" s="125">
        <f t="shared" ref="E459:L468" si="81">SUMIF(ARVR_Y_PC_PR, "AR_"&amp;E$458&amp;"_"&amp;$D$457&amp;"_"&amp;$D459, PanelQ)</f>
        <v>0</v>
      </c>
      <c r="F459" s="126">
        <f t="shared" si="81"/>
        <v>0</v>
      </c>
      <c r="G459" s="126">
        <f t="shared" si="81"/>
        <v>0</v>
      </c>
      <c r="H459" s="126">
        <f t="shared" si="81"/>
        <v>0</v>
      </c>
      <c r="I459" s="126">
        <f t="shared" si="81"/>
        <v>0</v>
      </c>
      <c r="J459" s="126">
        <f t="shared" si="81"/>
        <v>0</v>
      </c>
      <c r="K459" s="126">
        <f t="shared" si="81"/>
        <v>0</v>
      </c>
      <c r="L459" s="127">
        <f t="shared" si="81"/>
        <v>0</v>
      </c>
    </row>
    <row r="460" spans="3:12" ht="15.6" hidden="1">
      <c r="C460" s="39" t="str">
        <f t="shared" si="71"/>
        <v>H</v>
      </c>
      <c r="D460" s="44" t="str">
        <f>Parameter!E$9</f>
        <v>Air 2</v>
      </c>
      <c r="E460" s="125">
        <f t="shared" si="81"/>
        <v>0</v>
      </c>
      <c r="F460" s="126">
        <f t="shared" si="81"/>
        <v>0</v>
      </c>
      <c r="G460" s="126">
        <f t="shared" si="81"/>
        <v>0</v>
      </c>
      <c r="H460" s="126">
        <f t="shared" si="81"/>
        <v>0</v>
      </c>
      <c r="I460" s="126">
        <f t="shared" si="81"/>
        <v>0</v>
      </c>
      <c r="J460" s="126">
        <f t="shared" si="81"/>
        <v>0</v>
      </c>
      <c r="K460" s="126">
        <f t="shared" si="81"/>
        <v>0</v>
      </c>
      <c r="L460" s="127">
        <f t="shared" si="81"/>
        <v>0</v>
      </c>
    </row>
    <row r="461" spans="3:12" ht="15.6" hidden="1">
      <c r="C461" s="39" t="str">
        <f t="shared" si="71"/>
        <v>H</v>
      </c>
      <c r="D461" s="45" t="str">
        <f>Parameter!E$10</f>
        <v>Air 3</v>
      </c>
      <c r="E461" s="125">
        <f t="shared" si="81"/>
        <v>0</v>
      </c>
      <c r="F461" s="126">
        <f t="shared" si="81"/>
        <v>0</v>
      </c>
      <c r="G461" s="126">
        <f t="shared" si="81"/>
        <v>0</v>
      </c>
      <c r="H461" s="126">
        <f t="shared" si="81"/>
        <v>0</v>
      </c>
      <c r="I461" s="126">
        <f t="shared" si="81"/>
        <v>0</v>
      </c>
      <c r="J461" s="126">
        <f t="shared" si="81"/>
        <v>0</v>
      </c>
      <c r="K461" s="126">
        <f t="shared" si="81"/>
        <v>0</v>
      </c>
      <c r="L461" s="127">
        <f t="shared" si="81"/>
        <v>0</v>
      </c>
    </row>
    <row r="462" spans="3:12" ht="15.6" hidden="1">
      <c r="C462" s="39" t="str">
        <f t="shared" si="71"/>
        <v>H</v>
      </c>
      <c r="D462" s="45" t="str">
        <f>Parameter!E$11</f>
        <v>Air 3s Pro</v>
      </c>
      <c r="E462" s="125">
        <f t="shared" si="81"/>
        <v>0</v>
      </c>
      <c r="F462" s="126">
        <f t="shared" si="81"/>
        <v>0</v>
      </c>
      <c r="G462" s="126">
        <f t="shared" si="81"/>
        <v>0</v>
      </c>
      <c r="H462" s="126">
        <f t="shared" si="81"/>
        <v>0</v>
      </c>
      <c r="I462" s="126">
        <f t="shared" si="81"/>
        <v>0</v>
      </c>
      <c r="J462" s="126">
        <f t="shared" si="81"/>
        <v>0</v>
      </c>
      <c r="K462" s="126">
        <f t="shared" si="81"/>
        <v>0</v>
      </c>
      <c r="L462" s="127">
        <f t="shared" si="81"/>
        <v>0</v>
      </c>
    </row>
    <row r="463" spans="3:12" ht="15.6" hidden="1">
      <c r="C463" s="39" t="str">
        <f t="shared" si="71"/>
        <v>H</v>
      </c>
      <c r="D463" s="45" t="str">
        <f>Parameter!E$12</f>
        <v>Air Glass</v>
      </c>
      <c r="E463" s="125">
        <f t="shared" si="81"/>
        <v>0</v>
      </c>
      <c r="F463" s="126">
        <f t="shared" si="81"/>
        <v>0</v>
      </c>
      <c r="G463" s="126">
        <f t="shared" si="81"/>
        <v>0</v>
      </c>
      <c r="H463" s="126">
        <f t="shared" si="81"/>
        <v>0</v>
      </c>
      <c r="I463" s="126">
        <f t="shared" si="81"/>
        <v>0</v>
      </c>
      <c r="J463" s="126">
        <f t="shared" si="81"/>
        <v>0</v>
      </c>
      <c r="K463" s="126">
        <f t="shared" si="81"/>
        <v>0</v>
      </c>
      <c r="L463" s="127">
        <f t="shared" si="81"/>
        <v>0</v>
      </c>
    </row>
    <row r="464" spans="3:12" ht="15.6" hidden="1">
      <c r="C464" s="39" t="str">
        <f t="shared" si="71"/>
        <v>H</v>
      </c>
      <c r="D464" s="45" t="str">
        <f>Parameter!E$13</f>
        <v>Binocular MicroLED</v>
      </c>
      <c r="E464" s="125">
        <f t="shared" si="81"/>
        <v>0</v>
      </c>
      <c r="F464" s="126">
        <f t="shared" si="81"/>
        <v>0</v>
      </c>
      <c r="G464" s="126">
        <f t="shared" si="81"/>
        <v>0</v>
      </c>
      <c r="H464" s="126">
        <f t="shared" si="81"/>
        <v>0</v>
      </c>
      <c r="I464" s="126">
        <f t="shared" si="81"/>
        <v>0</v>
      </c>
      <c r="J464" s="126">
        <f t="shared" si="81"/>
        <v>0</v>
      </c>
      <c r="K464" s="126">
        <f t="shared" si="81"/>
        <v>0</v>
      </c>
      <c r="L464" s="127">
        <f t="shared" si="81"/>
        <v>0</v>
      </c>
    </row>
    <row r="465" spans="3:12" ht="15.6" hidden="1">
      <c r="C465" s="39" t="str">
        <f t="shared" si="71"/>
        <v>H</v>
      </c>
      <c r="D465" s="45" t="str">
        <f>Parameter!E$14</f>
        <v>Blade</v>
      </c>
      <c r="E465" s="125">
        <f t="shared" si="81"/>
        <v>0</v>
      </c>
      <c r="F465" s="126">
        <f t="shared" si="81"/>
        <v>0</v>
      </c>
      <c r="G465" s="126">
        <f t="shared" si="81"/>
        <v>0</v>
      </c>
      <c r="H465" s="126">
        <f t="shared" si="81"/>
        <v>0</v>
      </c>
      <c r="I465" s="126">
        <f t="shared" si="81"/>
        <v>0</v>
      </c>
      <c r="J465" s="126">
        <f t="shared" si="81"/>
        <v>0</v>
      </c>
      <c r="K465" s="126">
        <f t="shared" si="81"/>
        <v>0</v>
      </c>
      <c r="L465" s="127">
        <f t="shared" si="81"/>
        <v>0</v>
      </c>
    </row>
    <row r="466" spans="3:12" ht="15.6" hidden="1">
      <c r="C466" s="39" t="str">
        <f t="shared" si="71"/>
        <v>H</v>
      </c>
      <c r="D466" s="45" t="str">
        <f>Parameter!E$15</f>
        <v>DLP glasses</v>
      </c>
      <c r="E466" s="125">
        <f t="shared" si="81"/>
        <v>0</v>
      </c>
      <c r="F466" s="126">
        <f t="shared" si="81"/>
        <v>0</v>
      </c>
      <c r="G466" s="126">
        <f t="shared" si="81"/>
        <v>0</v>
      </c>
      <c r="H466" s="126">
        <f t="shared" si="81"/>
        <v>0</v>
      </c>
      <c r="I466" s="126">
        <f t="shared" si="81"/>
        <v>0</v>
      </c>
      <c r="J466" s="126">
        <f t="shared" si="81"/>
        <v>0</v>
      </c>
      <c r="K466" s="126">
        <f t="shared" si="81"/>
        <v>0</v>
      </c>
      <c r="L466" s="127">
        <f t="shared" si="81"/>
        <v>0</v>
      </c>
    </row>
    <row r="467" spans="3:12" ht="15.6" hidden="1">
      <c r="C467" s="39" t="str">
        <f t="shared" si="71"/>
        <v>H</v>
      </c>
      <c r="D467" s="45" t="str">
        <f>Parameter!E$16</f>
        <v>G1</v>
      </c>
      <c r="E467" s="125">
        <f t="shared" si="81"/>
        <v>0</v>
      </c>
      <c r="F467" s="126">
        <f t="shared" si="81"/>
        <v>0</v>
      </c>
      <c r="G467" s="126">
        <f t="shared" si="81"/>
        <v>0</v>
      </c>
      <c r="H467" s="126">
        <f t="shared" si="81"/>
        <v>0</v>
      </c>
      <c r="I467" s="126">
        <f t="shared" si="81"/>
        <v>0</v>
      </c>
      <c r="J467" s="126">
        <f t="shared" si="81"/>
        <v>0</v>
      </c>
      <c r="K467" s="126">
        <f t="shared" si="81"/>
        <v>0</v>
      </c>
      <c r="L467" s="127">
        <f t="shared" si="81"/>
        <v>0</v>
      </c>
    </row>
    <row r="468" spans="3:12" ht="15.6" hidden="1">
      <c r="C468" s="39" t="str">
        <f t="shared" si="71"/>
        <v>H</v>
      </c>
      <c r="D468" s="45" t="str">
        <f>Parameter!E$17</f>
        <v>Glass</v>
      </c>
      <c r="E468" s="125">
        <f t="shared" si="81"/>
        <v>0</v>
      </c>
      <c r="F468" s="126">
        <f t="shared" si="81"/>
        <v>0</v>
      </c>
      <c r="G468" s="126">
        <f t="shared" si="81"/>
        <v>0</v>
      </c>
      <c r="H468" s="126">
        <f t="shared" si="81"/>
        <v>0</v>
      </c>
      <c r="I468" s="126">
        <f t="shared" si="81"/>
        <v>0</v>
      </c>
      <c r="J468" s="126">
        <f t="shared" si="81"/>
        <v>0</v>
      </c>
      <c r="K468" s="126">
        <f t="shared" si="81"/>
        <v>0</v>
      </c>
      <c r="L468" s="127">
        <f t="shared" si="81"/>
        <v>0</v>
      </c>
    </row>
    <row r="469" spans="3:12" ht="15.6" hidden="1">
      <c r="C469" s="39" t="str">
        <f t="shared" si="71"/>
        <v>H</v>
      </c>
      <c r="D469" s="45" t="str">
        <f>Parameter!E$18</f>
        <v>Glasses</v>
      </c>
      <c r="E469" s="125">
        <f t="shared" ref="E469:L478" si="82">SUMIF(ARVR_Y_PC_PR, "AR_"&amp;E$458&amp;"_"&amp;$D$457&amp;"_"&amp;$D469, PanelQ)</f>
        <v>0</v>
      </c>
      <c r="F469" s="126">
        <f t="shared" si="82"/>
        <v>0</v>
      </c>
      <c r="G469" s="126">
        <f t="shared" si="82"/>
        <v>0</v>
      </c>
      <c r="H469" s="126">
        <f t="shared" si="82"/>
        <v>0</v>
      </c>
      <c r="I469" s="126">
        <f t="shared" si="82"/>
        <v>0</v>
      </c>
      <c r="J469" s="126">
        <f t="shared" si="82"/>
        <v>0</v>
      </c>
      <c r="K469" s="126">
        <f t="shared" si="82"/>
        <v>0</v>
      </c>
      <c r="L469" s="127">
        <f t="shared" si="82"/>
        <v>0</v>
      </c>
    </row>
    <row r="470" spans="3:12" ht="15.6" hidden="1">
      <c r="C470" s="39" t="str">
        <f t="shared" si="71"/>
        <v>H</v>
      </c>
      <c r="D470" s="45" t="str">
        <f>Parameter!E$19</f>
        <v>Go</v>
      </c>
      <c r="E470" s="125">
        <f t="shared" si="82"/>
        <v>0</v>
      </c>
      <c r="F470" s="126">
        <f t="shared" si="82"/>
        <v>0</v>
      </c>
      <c r="G470" s="126">
        <f t="shared" si="82"/>
        <v>0</v>
      </c>
      <c r="H470" s="126">
        <f t="shared" si="82"/>
        <v>0</v>
      </c>
      <c r="I470" s="126">
        <f t="shared" si="82"/>
        <v>0</v>
      </c>
      <c r="J470" s="126">
        <f t="shared" si="82"/>
        <v>0</v>
      </c>
      <c r="K470" s="126">
        <f t="shared" si="82"/>
        <v>0</v>
      </c>
      <c r="L470" s="127">
        <f t="shared" si="82"/>
        <v>0</v>
      </c>
    </row>
    <row r="471" spans="3:12" ht="15.6" hidden="1">
      <c r="C471" s="39" t="str">
        <f t="shared" si="71"/>
        <v>H</v>
      </c>
      <c r="D471" s="45" t="str">
        <f>Parameter!E$20</f>
        <v>Go 2</v>
      </c>
      <c r="E471" s="125">
        <f t="shared" si="82"/>
        <v>0</v>
      </c>
      <c r="F471" s="126">
        <f t="shared" si="82"/>
        <v>0</v>
      </c>
      <c r="G471" s="126">
        <f t="shared" si="82"/>
        <v>0</v>
      </c>
      <c r="H471" s="126">
        <f t="shared" si="82"/>
        <v>0</v>
      </c>
      <c r="I471" s="126">
        <f t="shared" si="82"/>
        <v>0</v>
      </c>
      <c r="J471" s="126">
        <f t="shared" si="82"/>
        <v>0</v>
      </c>
      <c r="K471" s="126">
        <f t="shared" si="82"/>
        <v>0</v>
      </c>
      <c r="L471" s="127">
        <f t="shared" si="82"/>
        <v>0</v>
      </c>
    </row>
    <row r="472" spans="3:12" ht="15.6" hidden="1">
      <c r="C472" s="39" t="str">
        <f t="shared" si="71"/>
        <v>H</v>
      </c>
      <c r="D472" s="45" t="str">
        <f>Parameter!E$21</f>
        <v>HoloLens 2</v>
      </c>
      <c r="E472" s="125">
        <f t="shared" si="82"/>
        <v>0</v>
      </c>
      <c r="F472" s="126">
        <f t="shared" si="82"/>
        <v>0</v>
      </c>
      <c r="G472" s="126">
        <f t="shared" si="82"/>
        <v>0</v>
      </c>
      <c r="H472" s="126">
        <f t="shared" si="82"/>
        <v>0</v>
      </c>
      <c r="I472" s="126">
        <f t="shared" si="82"/>
        <v>0</v>
      </c>
      <c r="J472" s="126">
        <f t="shared" si="82"/>
        <v>0</v>
      </c>
      <c r="K472" s="126">
        <f t="shared" si="82"/>
        <v>0</v>
      </c>
      <c r="L472" s="127">
        <f t="shared" si="82"/>
        <v>0</v>
      </c>
    </row>
    <row r="473" spans="3:12" ht="15.6" hidden="1">
      <c r="C473" s="39" t="str">
        <f t="shared" si="71"/>
        <v>H</v>
      </c>
      <c r="D473" s="45" t="str">
        <f>Parameter!E$22</f>
        <v>INAIR 2</v>
      </c>
      <c r="E473" s="125">
        <f t="shared" si="82"/>
        <v>0</v>
      </c>
      <c r="F473" s="126">
        <f t="shared" si="82"/>
        <v>0</v>
      </c>
      <c r="G473" s="126">
        <f t="shared" si="82"/>
        <v>0</v>
      </c>
      <c r="H473" s="126">
        <f t="shared" si="82"/>
        <v>0</v>
      </c>
      <c r="I473" s="126">
        <f t="shared" si="82"/>
        <v>0</v>
      </c>
      <c r="J473" s="126">
        <f t="shared" si="82"/>
        <v>0</v>
      </c>
      <c r="K473" s="126">
        <f t="shared" si="82"/>
        <v>0</v>
      </c>
      <c r="L473" s="127">
        <f t="shared" si="82"/>
        <v>0</v>
      </c>
    </row>
    <row r="474" spans="3:12" ht="15.6" hidden="1">
      <c r="C474" s="39" t="str">
        <f t="shared" si="71"/>
        <v>H</v>
      </c>
      <c r="D474" s="45" t="str">
        <f>Parameter!E$23</f>
        <v>INAIR 2 Pro</v>
      </c>
      <c r="E474" s="125">
        <f t="shared" si="82"/>
        <v>0</v>
      </c>
      <c r="F474" s="126">
        <f t="shared" si="82"/>
        <v>0</v>
      </c>
      <c r="G474" s="126">
        <f t="shared" si="82"/>
        <v>0</v>
      </c>
      <c r="H474" s="126">
        <f t="shared" si="82"/>
        <v>0</v>
      </c>
      <c r="I474" s="126">
        <f t="shared" si="82"/>
        <v>0</v>
      </c>
      <c r="J474" s="126">
        <f t="shared" si="82"/>
        <v>0</v>
      </c>
      <c r="K474" s="126">
        <f t="shared" si="82"/>
        <v>0</v>
      </c>
      <c r="L474" s="127">
        <f t="shared" si="82"/>
        <v>0</v>
      </c>
    </row>
    <row r="475" spans="3:12" ht="15.6" hidden="1">
      <c r="C475" s="39" t="str">
        <f t="shared" si="71"/>
        <v>H</v>
      </c>
      <c r="D475" s="45" t="str">
        <f>Parameter!E$24</f>
        <v>LBS glasses</v>
      </c>
      <c r="E475" s="125">
        <f t="shared" si="82"/>
        <v>0</v>
      </c>
      <c r="F475" s="126">
        <f t="shared" si="82"/>
        <v>0</v>
      </c>
      <c r="G475" s="126">
        <f t="shared" si="82"/>
        <v>0</v>
      </c>
      <c r="H475" s="126">
        <f t="shared" si="82"/>
        <v>0</v>
      </c>
      <c r="I475" s="126">
        <f t="shared" si="82"/>
        <v>0</v>
      </c>
      <c r="J475" s="126">
        <f t="shared" si="82"/>
        <v>0</v>
      </c>
      <c r="K475" s="126">
        <f t="shared" si="82"/>
        <v>0</v>
      </c>
      <c r="L475" s="127">
        <f t="shared" si="82"/>
        <v>0</v>
      </c>
    </row>
    <row r="476" spans="3:12" ht="15.6" hidden="1">
      <c r="C476" s="39" t="str">
        <f t="shared" ref="C476:C539" si="83">IF(SUM(E476:L476)=0, "H", "")</f>
        <v>H</v>
      </c>
      <c r="D476" s="45" t="str">
        <f>Parameter!E$25</f>
        <v>LCoS glasses</v>
      </c>
      <c r="E476" s="125">
        <f t="shared" si="82"/>
        <v>0</v>
      </c>
      <c r="F476" s="126">
        <f t="shared" si="82"/>
        <v>0</v>
      </c>
      <c r="G476" s="126">
        <f t="shared" si="82"/>
        <v>0</v>
      </c>
      <c r="H476" s="126">
        <f t="shared" si="82"/>
        <v>0</v>
      </c>
      <c r="I476" s="126">
        <f t="shared" si="82"/>
        <v>0</v>
      </c>
      <c r="J476" s="126">
        <f t="shared" si="82"/>
        <v>0</v>
      </c>
      <c r="K476" s="126">
        <f t="shared" si="82"/>
        <v>0</v>
      </c>
      <c r="L476" s="127">
        <f t="shared" si="82"/>
        <v>0</v>
      </c>
    </row>
    <row r="477" spans="3:12" ht="15.6" hidden="1">
      <c r="C477" s="39" t="str">
        <f t="shared" si="83"/>
        <v>H</v>
      </c>
      <c r="D477" s="45" t="str">
        <f>Parameter!E$26</f>
        <v>Lenovo Legion Glasses 2</v>
      </c>
      <c r="E477" s="125">
        <f t="shared" si="82"/>
        <v>0</v>
      </c>
      <c r="F477" s="126">
        <f t="shared" si="82"/>
        <v>0</v>
      </c>
      <c r="G477" s="126">
        <f t="shared" si="82"/>
        <v>0</v>
      </c>
      <c r="H477" s="126">
        <f t="shared" si="82"/>
        <v>0</v>
      </c>
      <c r="I477" s="126">
        <f t="shared" si="82"/>
        <v>0</v>
      </c>
      <c r="J477" s="126">
        <f t="shared" si="82"/>
        <v>0</v>
      </c>
      <c r="K477" s="126">
        <f t="shared" si="82"/>
        <v>0</v>
      </c>
      <c r="L477" s="127">
        <f t="shared" si="82"/>
        <v>0</v>
      </c>
    </row>
    <row r="478" spans="3:12" ht="15.6" hidden="1">
      <c r="C478" s="39" t="str">
        <f t="shared" si="83"/>
        <v>H</v>
      </c>
      <c r="D478" s="45" t="str">
        <f>Parameter!E$27</f>
        <v>Light</v>
      </c>
      <c r="E478" s="125">
        <f t="shared" si="82"/>
        <v>0</v>
      </c>
      <c r="F478" s="126">
        <f t="shared" si="82"/>
        <v>0</v>
      </c>
      <c r="G478" s="126">
        <f t="shared" si="82"/>
        <v>0</v>
      </c>
      <c r="H478" s="126">
        <f t="shared" si="82"/>
        <v>0</v>
      </c>
      <c r="I478" s="126">
        <f t="shared" si="82"/>
        <v>0</v>
      </c>
      <c r="J478" s="126">
        <f t="shared" si="82"/>
        <v>0</v>
      </c>
      <c r="K478" s="126">
        <f t="shared" si="82"/>
        <v>0</v>
      </c>
      <c r="L478" s="127">
        <f t="shared" si="82"/>
        <v>0</v>
      </c>
    </row>
    <row r="479" spans="3:12" ht="15.6" hidden="1">
      <c r="C479" s="39" t="str">
        <f t="shared" si="83"/>
        <v>H</v>
      </c>
      <c r="D479" s="45" t="str">
        <f>Parameter!E$28</f>
        <v>Max</v>
      </c>
      <c r="E479" s="125">
        <f t="shared" ref="E479:L488" si="84">SUMIF(ARVR_Y_PC_PR, "AR_"&amp;E$458&amp;"_"&amp;$D$457&amp;"_"&amp;$D479, PanelQ)</f>
        <v>0</v>
      </c>
      <c r="F479" s="126">
        <f t="shared" si="84"/>
        <v>0</v>
      </c>
      <c r="G479" s="126">
        <f t="shared" si="84"/>
        <v>0</v>
      </c>
      <c r="H479" s="126">
        <f t="shared" si="84"/>
        <v>0</v>
      </c>
      <c r="I479" s="126">
        <f t="shared" si="84"/>
        <v>0</v>
      </c>
      <c r="J479" s="126">
        <f t="shared" si="84"/>
        <v>0</v>
      </c>
      <c r="K479" s="126">
        <f t="shared" si="84"/>
        <v>0</v>
      </c>
      <c r="L479" s="127">
        <f t="shared" si="84"/>
        <v>0</v>
      </c>
    </row>
    <row r="480" spans="3:12" ht="15.6" hidden="1">
      <c r="C480" s="39" t="str">
        <f t="shared" si="83"/>
        <v>H</v>
      </c>
      <c r="D480" s="45" t="str">
        <f>Parameter!E$29</f>
        <v>Max 2</v>
      </c>
      <c r="E480" s="125">
        <f t="shared" si="84"/>
        <v>0</v>
      </c>
      <c r="F480" s="126">
        <f t="shared" si="84"/>
        <v>0</v>
      </c>
      <c r="G480" s="126">
        <f t="shared" si="84"/>
        <v>0</v>
      </c>
      <c r="H480" s="126">
        <f t="shared" si="84"/>
        <v>0</v>
      </c>
      <c r="I480" s="126">
        <f t="shared" si="84"/>
        <v>0</v>
      </c>
      <c r="J480" s="126">
        <f t="shared" si="84"/>
        <v>0</v>
      </c>
      <c r="K480" s="126">
        <f t="shared" si="84"/>
        <v>0</v>
      </c>
      <c r="L480" s="127">
        <f t="shared" si="84"/>
        <v>0</v>
      </c>
    </row>
    <row r="481" spans="3:12" ht="15.6" hidden="1">
      <c r="C481" s="39" t="str">
        <f t="shared" si="83"/>
        <v>H</v>
      </c>
      <c r="D481" s="45" t="str">
        <f>Parameter!E$30</f>
        <v>Meizu StarV Air 2</v>
      </c>
      <c r="E481" s="125">
        <f t="shared" si="84"/>
        <v>0</v>
      </c>
      <c r="F481" s="126">
        <f t="shared" si="84"/>
        <v>0</v>
      </c>
      <c r="G481" s="126">
        <f t="shared" si="84"/>
        <v>0</v>
      </c>
      <c r="H481" s="126">
        <f t="shared" si="84"/>
        <v>0</v>
      </c>
      <c r="I481" s="126">
        <f t="shared" si="84"/>
        <v>0</v>
      </c>
      <c r="J481" s="126">
        <f t="shared" si="84"/>
        <v>0</v>
      </c>
      <c r="K481" s="126">
        <f t="shared" si="84"/>
        <v>0</v>
      </c>
      <c r="L481" s="127">
        <f t="shared" si="84"/>
        <v>0</v>
      </c>
    </row>
    <row r="482" spans="3:12" ht="15.6" hidden="1">
      <c r="C482" s="39" t="str">
        <f t="shared" si="83"/>
        <v>H</v>
      </c>
      <c r="D482" s="45" t="str">
        <f>Parameter!E$31</f>
        <v>Meizu StarV View</v>
      </c>
      <c r="E482" s="125">
        <f t="shared" si="84"/>
        <v>0</v>
      </c>
      <c r="F482" s="126">
        <f t="shared" si="84"/>
        <v>0</v>
      </c>
      <c r="G482" s="126">
        <f t="shared" si="84"/>
        <v>0</v>
      </c>
      <c r="H482" s="126">
        <f t="shared" si="84"/>
        <v>0</v>
      </c>
      <c r="I482" s="126">
        <f t="shared" si="84"/>
        <v>0</v>
      </c>
      <c r="J482" s="126">
        <f t="shared" si="84"/>
        <v>0</v>
      </c>
      <c r="K482" s="126">
        <f t="shared" si="84"/>
        <v>0</v>
      </c>
      <c r="L482" s="127">
        <f t="shared" si="84"/>
        <v>0</v>
      </c>
    </row>
    <row r="483" spans="3:12" ht="15.6" hidden="1">
      <c r="C483" s="39" t="str">
        <f t="shared" si="83"/>
        <v>H</v>
      </c>
      <c r="D483" s="45" t="str">
        <f>Parameter!E$32</f>
        <v>MiRZA</v>
      </c>
      <c r="E483" s="125">
        <f t="shared" si="84"/>
        <v>0</v>
      </c>
      <c r="F483" s="126">
        <f t="shared" si="84"/>
        <v>0</v>
      </c>
      <c r="G483" s="126">
        <f t="shared" si="84"/>
        <v>0</v>
      </c>
      <c r="H483" s="126">
        <f t="shared" si="84"/>
        <v>0</v>
      </c>
      <c r="I483" s="126">
        <f t="shared" si="84"/>
        <v>0</v>
      </c>
      <c r="J483" s="126">
        <f t="shared" si="84"/>
        <v>0</v>
      </c>
      <c r="K483" s="126">
        <f t="shared" si="84"/>
        <v>0</v>
      </c>
      <c r="L483" s="127">
        <f t="shared" si="84"/>
        <v>0</v>
      </c>
    </row>
    <row r="484" spans="3:12" ht="15.6" hidden="1">
      <c r="C484" s="39" t="str">
        <f t="shared" si="83"/>
        <v>H</v>
      </c>
      <c r="D484" s="45" t="str">
        <f>Parameter!E$33</f>
        <v>ML 2</v>
      </c>
      <c r="E484" s="125">
        <f t="shared" si="84"/>
        <v>0</v>
      </c>
      <c r="F484" s="126">
        <f t="shared" si="84"/>
        <v>0</v>
      </c>
      <c r="G484" s="126">
        <f t="shared" si="84"/>
        <v>0</v>
      </c>
      <c r="H484" s="126">
        <f t="shared" si="84"/>
        <v>0</v>
      </c>
      <c r="I484" s="126">
        <f t="shared" si="84"/>
        <v>0</v>
      </c>
      <c r="J484" s="126">
        <f t="shared" si="84"/>
        <v>0</v>
      </c>
      <c r="K484" s="126">
        <f t="shared" si="84"/>
        <v>0</v>
      </c>
      <c r="L484" s="127">
        <f t="shared" si="84"/>
        <v>0</v>
      </c>
    </row>
    <row r="485" spans="3:12" ht="15.6" hidden="1">
      <c r="C485" s="39" t="str">
        <f t="shared" si="83"/>
        <v>H</v>
      </c>
      <c r="D485" s="45" t="str">
        <f>Parameter!E$34</f>
        <v>ML One</v>
      </c>
      <c r="E485" s="125">
        <f t="shared" si="84"/>
        <v>0</v>
      </c>
      <c r="F485" s="126">
        <f t="shared" si="84"/>
        <v>0</v>
      </c>
      <c r="G485" s="126">
        <f t="shared" si="84"/>
        <v>0</v>
      </c>
      <c r="H485" s="126">
        <f t="shared" si="84"/>
        <v>0</v>
      </c>
      <c r="I485" s="126">
        <f t="shared" si="84"/>
        <v>0</v>
      </c>
      <c r="J485" s="126">
        <f t="shared" si="84"/>
        <v>0</v>
      </c>
      <c r="K485" s="126">
        <f t="shared" si="84"/>
        <v>0</v>
      </c>
      <c r="L485" s="127">
        <f t="shared" si="84"/>
        <v>0</v>
      </c>
    </row>
    <row r="486" spans="3:12" ht="15.6" hidden="1">
      <c r="C486" s="39" t="str">
        <f t="shared" si="83"/>
        <v>H</v>
      </c>
      <c r="D486" s="45" t="str">
        <f>Parameter!E$35</f>
        <v>Monocular LCoS glasses</v>
      </c>
      <c r="E486" s="125">
        <f t="shared" si="84"/>
        <v>0</v>
      </c>
      <c r="F486" s="126">
        <f t="shared" si="84"/>
        <v>0</v>
      </c>
      <c r="G486" s="126">
        <f t="shared" si="84"/>
        <v>0</v>
      </c>
      <c r="H486" s="126">
        <f t="shared" si="84"/>
        <v>0</v>
      </c>
      <c r="I486" s="126">
        <f t="shared" si="84"/>
        <v>0</v>
      </c>
      <c r="J486" s="126">
        <f t="shared" si="84"/>
        <v>0</v>
      </c>
      <c r="K486" s="126">
        <f t="shared" si="84"/>
        <v>0</v>
      </c>
      <c r="L486" s="127">
        <f t="shared" si="84"/>
        <v>0</v>
      </c>
    </row>
    <row r="487" spans="3:12" ht="15.6" hidden="1">
      <c r="C487" s="39" t="str">
        <f t="shared" si="83"/>
        <v>H</v>
      </c>
      <c r="D487" s="45" t="str">
        <f>Parameter!E$36</f>
        <v>Monocular MicroLED</v>
      </c>
      <c r="E487" s="125">
        <f t="shared" si="84"/>
        <v>0</v>
      </c>
      <c r="F487" s="126">
        <f t="shared" si="84"/>
        <v>0</v>
      </c>
      <c r="G487" s="126">
        <f t="shared" si="84"/>
        <v>0</v>
      </c>
      <c r="H487" s="126">
        <f t="shared" si="84"/>
        <v>0</v>
      </c>
      <c r="I487" s="126">
        <f t="shared" si="84"/>
        <v>0</v>
      </c>
      <c r="J487" s="126">
        <f t="shared" si="84"/>
        <v>0</v>
      </c>
      <c r="K487" s="126">
        <f t="shared" si="84"/>
        <v>0</v>
      </c>
      <c r="L487" s="127">
        <f t="shared" si="84"/>
        <v>0</v>
      </c>
    </row>
    <row r="488" spans="3:12" ht="15.6" hidden="1">
      <c r="C488" s="39" t="str">
        <f t="shared" si="83"/>
        <v>H</v>
      </c>
      <c r="D488" s="45" t="str">
        <f>Parameter!E$37</f>
        <v>Moverio</v>
      </c>
      <c r="E488" s="125">
        <f t="shared" si="84"/>
        <v>0</v>
      </c>
      <c r="F488" s="126">
        <f t="shared" si="84"/>
        <v>0</v>
      </c>
      <c r="G488" s="126">
        <f t="shared" si="84"/>
        <v>0</v>
      </c>
      <c r="H488" s="126">
        <f t="shared" si="84"/>
        <v>0</v>
      </c>
      <c r="I488" s="126">
        <f t="shared" si="84"/>
        <v>0</v>
      </c>
      <c r="J488" s="126">
        <f t="shared" si="84"/>
        <v>0</v>
      </c>
      <c r="K488" s="126">
        <f t="shared" si="84"/>
        <v>0</v>
      </c>
      <c r="L488" s="127">
        <f t="shared" si="84"/>
        <v>0</v>
      </c>
    </row>
    <row r="489" spans="3:12" ht="15.6" hidden="1">
      <c r="C489" s="39" t="str">
        <f t="shared" si="83"/>
        <v>H</v>
      </c>
      <c r="D489" s="45" t="str">
        <f>Parameter!E$38</f>
        <v>MYVU</v>
      </c>
      <c r="E489" s="125">
        <f t="shared" ref="E489:L498" si="85">SUMIF(ARVR_Y_PC_PR, "AR_"&amp;E$458&amp;"_"&amp;$D$457&amp;"_"&amp;$D489, PanelQ)</f>
        <v>0</v>
      </c>
      <c r="F489" s="126">
        <f t="shared" si="85"/>
        <v>0</v>
      </c>
      <c r="G489" s="126">
        <f t="shared" si="85"/>
        <v>0</v>
      </c>
      <c r="H489" s="126">
        <f t="shared" si="85"/>
        <v>0</v>
      </c>
      <c r="I489" s="126">
        <f t="shared" si="85"/>
        <v>0</v>
      </c>
      <c r="J489" s="126">
        <f t="shared" si="85"/>
        <v>0</v>
      </c>
      <c r="K489" s="126">
        <f t="shared" si="85"/>
        <v>0</v>
      </c>
      <c r="L489" s="127">
        <f t="shared" si="85"/>
        <v>0</v>
      </c>
    </row>
    <row r="490" spans="3:12" ht="15.6" hidden="1">
      <c r="C490" s="39" t="str">
        <f t="shared" si="83"/>
        <v>H</v>
      </c>
      <c r="D490" s="45" t="str">
        <f>Parameter!E$39</f>
        <v>NXTWear</v>
      </c>
      <c r="E490" s="125">
        <f t="shared" si="85"/>
        <v>0</v>
      </c>
      <c r="F490" s="126">
        <f t="shared" si="85"/>
        <v>0</v>
      </c>
      <c r="G490" s="126">
        <f t="shared" si="85"/>
        <v>0</v>
      </c>
      <c r="H490" s="126">
        <f t="shared" si="85"/>
        <v>0</v>
      </c>
      <c r="I490" s="126">
        <f t="shared" si="85"/>
        <v>0</v>
      </c>
      <c r="J490" s="126">
        <f t="shared" si="85"/>
        <v>0</v>
      </c>
      <c r="K490" s="126">
        <f t="shared" si="85"/>
        <v>0</v>
      </c>
      <c r="L490" s="127">
        <f t="shared" si="85"/>
        <v>0</v>
      </c>
    </row>
    <row r="491" spans="3:12" ht="15.6" hidden="1">
      <c r="C491" s="39" t="str">
        <f t="shared" si="83"/>
        <v>H</v>
      </c>
      <c r="D491" s="45" t="str">
        <f>Parameter!E$40</f>
        <v>One</v>
      </c>
      <c r="E491" s="125">
        <f t="shared" si="85"/>
        <v>0</v>
      </c>
      <c r="F491" s="126">
        <f t="shared" si="85"/>
        <v>0</v>
      </c>
      <c r="G491" s="126">
        <f t="shared" si="85"/>
        <v>0</v>
      </c>
      <c r="H491" s="126">
        <f t="shared" si="85"/>
        <v>0</v>
      </c>
      <c r="I491" s="126">
        <f t="shared" si="85"/>
        <v>0</v>
      </c>
      <c r="J491" s="126">
        <f t="shared" si="85"/>
        <v>0</v>
      </c>
      <c r="K491" s="126">
        <f t="shared" si="85"/>
        <v>0</v>
      </c>
      <c r="L491" s="127">
        <f t="shared" si="85"/>
        <v>0</v>
      </c>
    </row>
    <row r="492" spans="3:12" ht="15.6" hidden="1">
      <c r="C492" s="39" t="str">
        <f t="shared" si="83"/>
        <v>H</v>
      </c>
      <c r="D492" s="45" t="str">
        <f>Parameter!E$41</f>
        <v>One Pro</v>
      </c>
      <c r="E492" s="125">
        <f t="shared" si="85"/>
        <v>0</v>
      </c>
      <c r="F492" s="126">
        <f t="shared" si="85"/>
        <v>0</v>
      </c>
      <c r="G492" s="126">
        <f t="shared" si="85"/>
        <v>0</v>
      </c>
      <c r="H492" s="126">
        <f t="shared" si="85"/>
        <v>0</v>
      </c>
      <c r="I492" s="126">
        <f t="shared" si="85"/>
        <v>0</v>
      </c>
      <c r="J492" s="126">
        <f t="shared" si="85"/>
        <v>0</v>
      </c>
      <c r="K492" s="126">
        <f t="shared" si="85"/>
        <v>0</v>
      </c>
      <c r="L492" s="127">
        <f t="shared" si="85"/>
        <v>0</v>
      </c>
    </row>
    <row r="493" spans="3:12" ht="15.6" hidden="1">
      <c r="C493" s="39" t="str">
        <f t="shared" si="83"/>
        <v>H</v>
      </c>
      <c r="D493" s="45" t="str">
        <f>Parameter!E$42</f>
        <v>Quark AI</v>
      </c>
      <c r="E493" s="125">
        <f t="shared" si="85"/>
        <v>0</v>
      </c>
      <c r="F493" s="126">
        <f t="shared" si="85"/>
        <v>0</v>
      </c>
      <c r="G493" s="126">
        <f t="shared" si="85"/>
        <v>0</v>
      </c>
      <c r="H493" s="126">
        <f t="shared" si="85"/>
        <v>0</v>
      </c>
      <c r="I493" s="126">
        <f t="shared" si="85"/>
        <v>0</v>
      </c>
      <c r="J493" s="126">
        <f t="shared" si="85"/>
        <v>0</v>
      </c>
      <c r="K493" s="126">
        <f t="shared" si="85"/>
        <v>0</v>
      </c>
      <c r="L493" s="127">
        <f t="shared" si="85"/>
        <v>0</v>
      </c>
    </row>
    <row r="494" spans="3:12" ht="15.6" hidden="1">
      <c r="C494" s="39" t="str">
        <f t="shared" si="83"/>
        <v>H</v>
      </c>
      <c r="D494" s="45" t="str">
        <f>Parameter!E$43</f>
        <v>Ray-Ban Meta Display</v>
      </c>
      <c r="E494" s="125">
        <f t="shared" si="85"/>
        <v>0</v>
      </c>
      <c r="F494" s="126">
        <f t="shared" si="85"/>
        <v>0</v>
      </c>
      <c r="G494" s="126">
        <f t="shared" si="85"/>
        <v>0</v>
      </c>
      <c r="H494" s="126">
        <f t="shared" si="85"/>
        <v>0</v>
      </c>
      <c r="I494" s="126">
        <f t="shared" si="85"/>
        <v>0</v>
      </c>
      <c r="J494" s="126">
        <f t="shared" si="85"/>
        <v>0</v>
      </c>
      <c r="K494" s="126">
        <f t="shared" si="85"/>
        <v>0</v>
      </c>
      <c r="L494" s="127">
        <f t="shared" si="85"/>
        <v>0</v>
      </c>
    </row>
    <row r="495" spans="3:12" ht="15.6" hidden="1">
      <c r="C495" s="39" t="str">
        <f t="shared" si="83"/>
        <v>H</v>
      </c>
      <c r="D495" s="45" t="str">
        <f>Parameter!E$44</f>
        <v>Shield</v>
      </c>
      <c r="E495" s="125">
        <f t="shared" si="85"/>
        <v>0</v>
      </c>
      <c r="F495" s="126">
        <f t="shared" si="85"/>
        <v>0</v>
      </c>
      <c r="G495" s="126">
        <f t="shared" si="85"/>
        <v>0</v>
      </c>
      <c r="H495" s="126">
        <f t="shared" si="85"/>
        <v>0</v>
      </c>
      <c r="I495" s="126">
        <f t="shared" si="85"/>
        <v>0</v>
      </c>
      <c r="J495" s="126">
        <f t="shared" si="85"/>
        <v>0</v>
      </c>
      <c r="K495" s="126">
        <f t="shared" si="85"/>
        <v>0</v>
      </c>
      <c r="L495" s="127">
        <f t="shared" si="85"/>
        <v>0</v>
      </c>
    </row>
    <row r="496" spans="3:12" ht="15.6" hidden="1">
      <c r="C496" s="39" t="str">
        <f t="shared" si="83"/>
        <v>H</v>
      </c>
      <c r="D496" s="45" t="str">
        <f>Parameter!E$45</f>
        <v>SiOLED glasses</v>
      </c>
      <c r="E496" s="125">
        <f t="shared" si="85"/>
        <v>0</v>
      </c>
      <c r="F496" s="126">
        <f t="shared" si="85"/>
        <v>0</v>
      </c>
      <c r="G496" s="126">
        <f t="shared" si="85"/>
        <v>0</v>
      </c>
      <c r="H496" s="126">
        <f t="shared" si="85"/>
        <v>0</v>
      </c>
      <c r="I496" s="126">
        <f t="shared" si="85"/>
        <v>0</v>
      </c>
      <c r="J496" s="126">
        <f t="shared" si="85"/>
        <v>0</v>
      </c>
      <c r="K496" s="126">
        <f t="shared" si="85"/>
        <v>0</v>
      </c>
      <c r="L496" s="127">
        <f t="shared" si="85"/>
        <v>0</v>
      </c>
    </row>
    <row r="497" spans="3:12" ht="15.6" hidden="1">
      <c r="C497" s="39" t="str">
        <f t="shared" si="83"/>
        <v>H</v>
      </c>
      <c r="D497" s="45" t="str">
        <f>Parameter!E$46</f>
        <v>T1</v>
      </c>
      <c r="E497" s="125">
        <f t="shared" si="85"/>
        <v>0</v>
      </c>
      <c r="F497" s="126">
        <f t="shared" si="85"/>
        <v>0</v>
      </c>
      <c r="G497" s="126">
        <f t="shared" si="85"/>
        <v>0</v>
      </c>
      <c r="H497" s="126">
        <f t="shared" si="85"/>
        <v>0</v>
      </c>
      <c r="I497" s="126">
        <f t="shared" si="85"/>
        <v>0</v>
      </c>
      <c r="J497" s="126">
        <f t="shared" si="85"/>
        <v>0</v>
      </c>
      <c r="K497" s="126">
        <f t="shared" si="85"/>
        <v>0</v>
      </c>
      <c r="L497" s="127">
        <f t="shared" si="85"/>
        <v>0</v>
      </c>
    </row>
    <row r="498" spans="3:12" ht="15.6" hidden="1">
      <c r="C498" s="39" t="str">
        <f t="shared" si="83"/>
        <v>H</v>
      </c>
      <c r="D498" s="45" t="str">
        <f>Parameter!E$47</f>
        <v>ThinkReality A3</v>
      </c>
      <c r="E498" s="125">
        <f t="shared" si="85"/>
        <v>0</v>
      </c>
      <c r="F498" s="126">
        <f t="shared" si="85"/>
        <v>0</v>
      </c>
      <c r="G498" s="126">
        <f t="shared" si="85"/>
        <v>0</v>
      </c>
      <c r="H498" s="126">
        <f t="shared" si="85"/>
        <v>0</v>
      </c>
      <c r="I498" s="126">
        <f t="shared" si="85"/>
        <v>0</v>
      </c>
      <c r="J498" s="126">
        <f t="shared" si="85"/>
        <v>0</v>
      </c>
      <c r="K498" s="126">
        <f t="shared" si="85"/>
        <v>0</v>
      </c>
      <c r="L498" s="127">
        <f t="shared" si="85"/>
        <v>0</v>
      </c>
    </row>
    <row r="499" spans="3:12" ht="15.6" hidden="1">
      <c r="C499" s="39" t="str">
        <f t="shared" si="83"/>
        <v>H</v>
      </c>
      <c r="D499" s="45" t="str">
        <f>Parameter!E$48</f>
        <v>Viture Pro</v>
      </c>
      <c r="E499" s="125">
        <f t="shared" ref="E499:L508" si="86">SUMIF(ARVR_Y_PC_PR, "AR_"&amp;E$458&amp;"_"&amp;$D$457&amp;"_"&amp;$D499, PanelQ)</f>
        <v>0</v>
      </c>
      <c r="F499" s="126">
        <f t="shared" si="86"/>
        <v>0</v>
      </c>
      <c r="G499" s="126">
        <f t="shared" si="86"/>
        <v>0</v>
      </c>
      <c r="H499" s="126">
        <f t="shared" si="86"/>
        <v>0</v>
      </c>
      <c r="I499" s="126">
        <f t="shared" si="86"/>
        <v>0</v>
      </c>
      <c r="J499" s="126">
        <f t="shared" si="86"/>
        <v>0</v>
      </c>
      <c r="K499" s="126">
        <f t="shared" si="86"/>
        <v>0</v>
      </c>
      <c r="L499" s="127">
        <f t="shared" si="86"/>
        <v>0</v>
      </c>
    </row>
    <row r="500" spans="3:12" ht="15.6" hidden="1">
      <c r="C500" s="39" t="str">
        <f t="shared" si="83"/>
        <v>H</v>
      </c>
      <c r="D500" s="45" t="str">
        <f>Parameter!E$49</f>
        <v>X3 Pro</v>
      </c>
      <c r="E500" s="125">
        <f t="shared" si="86"/>
        <v>0</v>
      </c>
      <c r="F500" s="126">
        <f t="shared" si="86"/>
        <v>0</v>
      </c>
      <c r="G500" s="126">
        <f t="shared" si="86"/>
        <v>0</v>
      </c>
      <c r="H500" s="126">
        <f t="shared" si="86"/>
        <v>0</v>
      </c>
      <c r="I500" s="126">
        <f t="shared" si="86"/>
        <v>0</v>
      </c>
      <c r="J500" s="126">
        <f t="shared" si="86"/>
        <v>0</v>
      </c>
      <c r="K500" s="126">
        <f t="shared" si="86"/>
        <v>0</v>
      </c>
      <c r="L500" s="127">
        <f t="shared" si="86"/>
        <v>0</v>
      </c>
    </row>
    <row r="501" spans="3:12" ht="15.6" hidden="1">
      <c r="C501" s="39" t="str">
        <f t="shared" si="83"/>
        <v>H</v>
      </c>
      <c r="D501" s="45" t="str">
        <f>Parameter!E$50</f>
        <v>Z100</v>
      </c>
      <c r="E501" s="125">
        <f t="shared" si="86"/>
        <v>0</v>
      </c>
      <c r="F501" s="126">
        <f t="shared" si="86"/>
        <v>0</v>
      </c>
      <c r="G501" s="126">
        <f t="shared" si="86"/>
        <v>0</v>
      </c>
      <c r="H501" s="126">
        <f t="shared" si="86"/>
        <v>0</v>
      </c>
      <c r="I501" s="126">
        <f t="shared" si="86"/>
        <v>0</v>
      </c>
      <c r="J501" s="126">
        <f t="shared" si="86"/>
        <v>0</v>
      </c>
      <c r="K501" s="126">
        <f t="shared" si="86"/>
        <v>0</v>
      </c>
      <c r="L501" s="127">
        <f t="shared" si="86"/>
        <v>0</v>
      </c>
    </row>
    <row r="502" spans="3:12" ht="15.6" hidden="1">
      <c r="C502" s="39" t="str">
        <f t="shared" si="83"/>
        <v>H</v>
      </c>
      <c r="D502" s="45">
        <f>Parameter!E$51</f>
        <v>0</v>
      </c>
      <c r="E502" s="125">
        <f t="shared" si="86"/>
        <v>0</v>
      </c>
      <c r="F502" s="126">
        <f t="shared" si="86"/>
        <v>0</v>
      </c>
      <c r="G502" s="126">
        <f t="shared" si="86"/>
        <v>0</v>
      </c>
      <c r="H502" s="126">
        <f t="shared" si="86"/>
        <v>0</v>
      </c>
      <c r="I502" s="126">
        <f t="shared" si="86"/>
        <v>0</v>
      </c>
      <c r="J502" s="126">
        <f t="shared" si="86"/>
        <v>0</v>
      </c>
      <c r="K502" s="126">
        <f t="shared" si="86"/>
        <v>0</v>
      </c>
      <c r="L502" s="127">
        <f t="shared" si="86"/>
        <v>0</v>
      </c>
    </row>
    <row r="503" spans="3:12" ht="15.6" hidden="1">
      <c r="C503" s="39" t="str">
        <f t="shared" si="83"/>
        <v>H</v>
      </c>
      <c r="D503" s="45">
        <f>Parameter!E$52</f>
        <v>0</v>
      </c>
      <c r="E503" s="125">
        <f t="shared" si="86"/>
        <v>0</v>
      </c>
      <c r="F503" s="126">
        <f t="shared" si="86"/>
        <v>0</v>
      </c>
      <c r="G503" s="126">
        <f t="shared" si="86"/>
        <v>0</v>
      </c>
      <c r="H503" s="126">
        <f t="shared" si="86"/>
        <v>0</v>
      </c>
      <c r="I503" s="126">
        <f t="shared" si="86"/>
        <v>0</v>
      </c>
      <c r="J503" s="126">
        <f t="shared" si="86"/>
        <v>0</v>
      </c>
      <c r="K503" s="126">
        <f t="shared" si="86"/>
        <v>0</v>
      </c>
      <c r="L503" s="127">
        <f t="shared" si="86"/>
        <v>0</v>
      </c>
    </row>
    <row r="504" spans="3:12" ht="15.6" hidden="1">
      <c r="C504" s="39" t="str">
        <f t="shared" si="83"/>
        <v>H</v>
      </c>
      <c r="D504" s="45">
        <f>Parameter!E$53</f>
        <v>0</v>
      </c>
      <c r="E504" s="125">
        <f t="shared" si="86"/>
        <v>0</v>
      </c>
      <c r="F504" s="126">
        <f t="shared" si="86"/>
        <v>0</v>
      </c>
      <c r="G504" s="126">
        <f t="shared" si="86"/>
        <v>0</v>
      </c>
      <c r="H504" s="126">
        <f t="shared" si="86"/>
        <v>0</v>
      </c>
      <c r="I504" s="126">
        <f t="shared" si="86"/>
        <v>0</v>
      </c>
      <c r="J504" s="126">
        <f t="shared" si="86"/>
        <v>0</v>
      </c>
      <c r="K504" s="126">
        <f t="shared" si="86"/>
        <v>0</v>
      </c>
      <c r="L504" s="127">
        <f t="shared" si="86"/>
        <v>0</v>
      </c>
    </row>
    <row r="505" spans="3:12" ht="15.6" hidden="1">
      <c r="C505" s="39" t="str">
        <f t="shared" si="83"/>
        <v>H</v>
      </c>
      <c r="D505" s="45">
        <f>Parameter!E$54</f>
        <v>0</v>
      </c>
      <c r="E505" s="125">
        <f t="shared" si="86"/>
        <v>0</v>
      </c>
      <c r="F505" s="126">
        <f t="shared" si="86"/>
        <v>0</v>
      </c>
      <c r="G505" s="126">
        <f t="shared" si="86"/>
        <v>0</v>
      </c>
      <c r="H505" s="126">
        <f t="shared" si="86"/>
        <v>0</v>
      </c>
      <c r="I505" s="126">
        <f t="shared" si="86"/>
        <v>0</v>
      </c>
      <c r="J505" s="126">
        <f t="shared" si="86"/>
        <v>0</v>
      </c>
      <c r="K505" s="126">
        <f t="shared" si="86"/>
        <v>0</v>
      </c>
      <c r="L505" s="127">
        <f t="shared" si="86"/>
        <v>0</v>
      </c>
    </row>
    <row r="506" spans="3:12" ht="15.6" hidden="1">
      <c r="C506" s="39" t="str">
        <f t="shared" si="83"/>
        <v>H</v>
      </c>
      <c r="D506" s="45">
        <f>Parameter!E$55</f>
        <v>0</v>
      </c>
      <c r="E506" s="125">
        <f t="shared" si="86"/>
        <v>0</v>
      </c>
      <c r="F506" s="126">
        <f t="shared" si="86"/>
        <v>0</v>
      </c>
      <c r="G506" s="126">
        <f t="shared" si="86"/>
        <v>0</v>
      </c>
      <c r="H506" s="126">
        <f t="shared" si="86"/>
        <v>0</v>
      </c>
      <c r="I506" s="126">
        <f t="shared" si="86"/>
        <v>0</v>
      </c>
      <c r="J506" s="126">
        <f t="shared" si="86"/>
        <v>0</v>
      </c>
      <c r="K506" s="126">
        <f t="shared" si="86"/>
        <v>0</v>
      </c>
      <c r="L506" s="127">
        <f t="shared" si="86"/>
        <v>0</v>
      </c>
    </row>
    <row r="507" spans="3:12" ht="15.6" hidden="1">
      <c r="C507" s="39" t="str">
        <f t="shared" si="83"/>
        <v>H</v>
      </c>
      <c r="D507" s="45">
        <f>Parameter!E$56</f>
        <v>0</v>
      </c>
      <c r="E507" s="125">
        <f t="shared" si="86"/>
        <v>0</v>
      </c>
      <c r="F507" s="126">
        <f t="shared" si="86"/>
        <v>0</v>
      </c>
      <c r="G507" s="126">
        <f t="shared" si="86"/>
        <v>0</v>
      </c>
      <c r="H507" s="126">
        <f t="shared" si="86"/>
        <v>0</v>
      </c>
      <c r="I507" s="126">
        <f t="shared" si="86"/>
        <v>0</v>
      </c>
      <c r="J507" s="126">
        <f t="shared" si="86"/>
        <v>0</v>
      </c>
      <c r="K507" s="126">
        <f t="shared" si="86"/>
        <v>0</v>
      </c>
      <c r="L507" s="127">
        <f t="shared" si="86"/>
        <v>0</v>
      </c>
    </row>
    <row r="508" spans="3:12" ht="16.2" hidden="1" thickBot="1">
      <c r="C508" s="39" t="str">
        <f t="shared" si="83"/>
        <v>H</v>
      </c>
      <c r="D508" s="53" t="str">
        <f>Parameter!E$57</f>
        <v>ALL</v>
      </c>
      <c r="E508" s="128">
        <f t="shared" si="86"/>
        <v>0</v>
      </c>
      <c r="F508" s="129">
        <f t="shared" si="86"/>
        <v>0</v>
      </c>
      <c r="G508" s="129">
        <f t="shared" si="86"/>
        <v>0</v>
      </c>
      <c r="H508" s="129">
        <f t="shared" si="86"/>
        <v>0</v>
      </c>
      <c r="I508" s="129">
        <f t="shared" si="86"/>
        <v>0</v>
      </c>
      <c r="J508" s="129">
        <f t="shared" si="86"/>
        <v>0</v>
      </c>
      <c r="K508" s="129">
        <f t="shared" si="86"/>
        <v>0</v>
      </c>
      <c r="L508" s="130">
        <f t="shared" si="86"/>
        <v>0</v>
      </c>
    </row>
    <row r="509" spans="3:12" ht="15.6" hidden="1">
      <c r="C509" s="39" t="str">
        <f t="shared" si="83"/>
        <v>H</v>
      </c>
      <c r="D509" s="54" t="s">
        <v>87</v>
      </c>
      <c r="E509" s="131">
        <f>SUM(E459:E508)</f>
        <v>0</v>
      </c>
      <c r="F509" s="132">
        <f t="shared" ref="F509:L509" si="87">SUM(F459:F508)</f>
        <v>0</v>
      </c>
      <c r="G509" s="132">
        <f t="shared" si="87"/>
        <v>0</v>
      </c>
      <c r="H509" s="132">
        <f t="shared" si="87"/>
        <v>0</v>
      </c>
      <c r="I509" s="132">
        <f t="shared" si="87"/>
        <v>0</v>
      </c>
      <c r="J509" s="132">
        <f t="shared" si="87"/>
        <v>0</v>
      </c>
      <c r="K509" s="132">
        <f t="shared" si="87"/>
        <v>0</v>
      </c>
      <c r="L509" s="133">
        <f t="shared" si="87"/>
        <v>0</v>
      </c>
    </row>
    <row r="510" spans="3:12" ht="16.2" hidden="1" thickBot="1">
      <c r="C510" s="39" t="str">
        <f t="shared" si="83"/>
        <v>H</v>
      </c>
      <c r="D510" s="46" t="s">
        <v>88</v>
      </c>
      <c r="E510" s="47"/>
      <c r="F510" s="50" t="str">
        <f t="shared" ref="F510:G510" si="88">IF(E509*F509=0, "", F509/E509-1)</f>
        <v/>
      </c>
      <c r="G510" s="50" t="str">
        <f t="shared" si="88"/>
        <v/>
      </c>
      <c r="H510" s="50" t="str">
        <f>IF(G509*H509=0, "", H509/G509-1)</f>
        <v/>
      </c>
      <c r="I510" s="50" t="str">
        <f t="shared" ref="I510:L510" si="89">IF(H509*I509=0, "", I509/H509-1)</f>
        <v/>
      </c>
      <c r="J510" s="50" t="str">
        <f t="shared" si="89"/>
        <v/>
      </c>
      <c r="K510" s="50" t="str">
        <f t="shared" si="89"/>
        <v/>
      </c>
      <c r="L510" s="51" t="str">
        <f t="shared" si="89"/>
        <v/>
      </c>
    </row>
    <row r="511" spans="3:12">
      <c r="C511"/>
    </row>
    <row r="512" spans="3:12">
      <c r="C512"/>
    </row>
    <row r="513" spans="3:12" ht="15" hidden="1" thickBot="1">
      <c r="C513" s="148" t="str">
        <f t="shared" ref="C513:C514" si="90">$C$565</f>
        <v>H</v>
      </c>
      <c r="D513" s="52">
        <f>Parameter!I17</f>
        <v>0</v>
      </c>
    </row>
    <row r="514" spans="3:12" ht="16.2" hidden="1" thickBot="1">
      <c r="C514" s="148" t="str">
        <f t="shared" si="90"/>
        <v>H</v>
      </c>
      <c r="D514" s="40" t="s">
        <v>85</v>
      </c>
      <c r="E514" s="41" t="str">
        <f>E10</f>
        <v>2022</v>
      </c>
      <c r="F514" s="42" t="str">
        <f t="shared" ref="F514:L514" si="91">F10</f>
        <v>2023</v>
      </c>
      <c r="G514" s="42" t="str">
        <f t="shared" si="91"/>
        <v>2024</v>
      </c>
      <c r="H514" s="42">
        <f t="shared" si="91"/>
        <v>2025</v>
      </c>
      <c r="I514" s="42" t="str">
        <f t="shared" si="91"/>
        <v>2026</v>
      </c>
      <c r="J514" s="42" t="str">
        <f t="shared" si="91"/>
        <v>2027</v>
      </c>
      <c r="K514" s="42" t="str">
        <f t="shared" si="91"/>
        <v>2028</v>
      </c>
      <c r="L514" s="43" t="str">
        <f t="shared" si="91"/>
        <v>2029</v>
      </c>
    </row>
    <row r="515" spans="3:12" ht="15.6" hidden="1">
      <c r="C515" s="39" t="str">
        <f t="shared" si="83"/>
        <v>H</v>
      </c>
      <c r="D515" s="44" t="str">
        <f>Parameter!E$8</f>
        <v>Air</v>
      </c>
      <c r="E515" s="125">
        <f t="shared" ref="E515:L524" si="92">SUMIF(ARVR_Y_PC_PR, "AR_"&amp;E$514&amp;"_"&amp;$D$513&amp;"_"&amp;$D515, PanelQ)</f>
        <v>0</v>
      </c>
      <c r="F515" s="126">
        <f t="shared" si="92"/>
        <v>0</v>
      </c>
      <c r="G515" s="126">
        <f t="shared" si="92"/>
        <v>0</v>
      </c>
      <c r="H515" s="126">
        <f t="shared" si="92"/>
        <v>0</v>
      </c>
      <c r="I515" s="126">
        <f t="shared" si="92"/>
        <v>0</v>
      </c>
      <c r="J515" s="126">
        <f t="shared" si="92"/>
        <v>0</v>
      </c>
      <c r="K515" s="126">
        <f t="shared" si="92"/>
        <v>0</v>
      </c>
      <c r="L515" s="127">
        <f t="shared" si="92"/>
        <v>0</v>
      </c>
    </row>
    <row r="516" spans="3:12" ht="15.6" hidden="1">
      <c r="C516" s="39" t="str">
        <f t="shared" si="83"/>
        <v>H</v>
      </c>
      <c r="D516" s="44" t="str">
        <f>Parameter!E$9</f>
        <v>Air 2</v>
      </c>
      <c r="E516" s="125">
        <f t="shared" si="92"/>
        <v>0</v>
      </c>
      <c r="F516" s="126">
        <f t="shared" si="92"/>
        <v>0</v>
      </c>
      <c r="G516" s="126">
        <f t="shared" si="92"/>
        <v>0</v>
      </c>
      <c r="H516" s="126">
        <f t="shared" si="92"/>
        <v>0</v>
      </c>
      <c r="I516" s="126">
        <f t="shared" si="92"/>
        <v>0</v>
      </c>
      <c r="J516" s="126">
        <f t="shared" si="92"/>
        <v>0</v>
      </c>
      <c r="K516" s="126">
        <f t="shared" si="92"/>
        <v>0</v>
      </c>
      <c r="L516" s="127">
        <f t="shared" si="92"/>
        <v>0</v>
      </c>
    </row>
    <row r="517" spans="3:12" ht="15.6" hidden="1">
      <c r="C517" s="39" t="str">
        <f t="shared" si="83"/>
        <v>H</v>
      </c>
      <c r="D517" s="45" t="str">
        <f>Parameter!E$10</f>
        <v>Air 3</v>
      </c>
      <c r="E517" s="125">
        <f t="shared" si="92"/>
        <v>0</v>
      </c>
      <c r="F517" s="126">
        <f t="shared" si="92"/>
        <v>0</v>
      </c>
      <c r="G517" s="126">
        <f t="shared" si="92"/>
        <v>0</v>
      </c>
      <c r="H517" s="126">
        <f t="shared" si="92"/>
        <v>0</v>
      </c>
      <c r="I517" s="126">
        <f t="shared" si="92"/>
        <v>0</v>
      </c>
      <c r="J517" s="126">
        <f t="shared" si="92"/>
        <v>0</v>
      </c>
      <c r="K517" s="126">
        <f t="shared" si="92"/>
        <v>0</v>
      </c>
      <c r="L517" s="127">
        <f t="shared" si="92"/>
        <v>0</v>
      </c>
    </row>
    <row r="518" spans="3:12" ht="15.6" hidden="1">
      <c r="C518" s="39" t="str">
        <f t="shared" si="83"/>
        <v>H</v>
      </c>
      <c r="D518" s="45" t="str">
        <f>Parameter!E$11</f>
        <v>Air 3s Pro</v>
      </c>
      <c r="E518" s="125">
        <f t="shared" si="92"/>
        <v>0</v>
      </c>
      <c r="F518" s="126">
        <f t="shared" si="92"/>
        <v>0</v>
      </c>
      <c r="G518" s="126">
        <f t="shared" si="92"/>
        <v>0</v>
      </c>
      <c r="H518" s="126">
        <f t="shared" si="92"/>
        <v>0</v>
      </c>
      <c r="I518" s="126">
        <f t="shared" si="92"/>
        <v>0</v>
      </c>
      <c r="J518" s="126">
        <f t="shared" si="92"/>
        <v>0</v>
      </c>
      <c r="K518" s="126">
        <f t="shared" si="92"/>
        <v>0</v>
      </c>
      <c r="L518" s="127">
        <f t="shared" si="92"/>
        <v>0</v>
      </c>
    </row>
    <row r="519" spans="3:12" ht="15.6" hidden="1">
      <c r="C519" s="39" t="str">
        <f t="shared" si="83"/>
        <v>H</v>
      </c>
      <c r="D519" s="45" t="str">
        <f>Parameter!E$12</f>
        <v>Air Glass</v>
      </c>
      <c r="E519" s="125">
        <f t="shared" si="92"/>
        <v>0</v>
      </c>
      <c r="F519" s="126">
        <f t="shared" si="92"/>
        <v>0</v>
      </c>
      <c r="G519" s="126">
        <f t="shared" si="92"/>
        <v>0</v>
      </c>
      <c r="H519" s="126">
        <f t="shared" si="92"/>
        <v>0</v>
      </c>
      <c r="I519" s="126">
        <f t="shared" si="92"/>
        <v>0</v>
      </c>
      <c r="J519" s="126">
        <f t="shared" si="92"/>
        <v>0</v>
      </c>
      <c r="K519" s="126">
        <f t="shared" si="92"/>
        <v>0</v>
      </c>
      <c r="L519" s="127">
        <f t="shared" si="92"/>
        <v>0</v>
      </c>
    </row>
    <row r="520" spans="3:12" ht="15.6" hidden="1">
      <c r="C520" s="39" t="str">
        <f t="shared" si="83"/>
        <v>H</v>
      </c>
      <c r="D520" s="45" t="str">
        <f>Parameter!E$13</f>
        <v>Binocular MicroLED</v>
      </c>
      <c r="E520" s="125">
        <f t="shared" si="92"/>
        <v>0</v>
      </c>
      <c r="F520" s="126">
        <f t="shared" si="92"/>
        <v>0</v>
      </c>
      <c r="G520" s="126">
        <f t="shared" si="92"/>
        <v>0</v>
      </c>
      <c r="H520" s="126">
        <f t="shared" si="92"/>
        <v>0</v>
      </c>
      <c r="I520" s="126">
        <f t="shared" si="92"/>
        <v>0</v>
      </c>
      <c r="J520" s="126">
        <f t="shared" si="92"/>
        <v>0</v>
      </c>
      <c r="K520" s="126">
        <f t="shared" si="92"/>
        <v>0</v>
      </c>
      <c r="L520" s="127">
        <f t="shared" si="92"/>
        <v>0</v>
      </c>
    </row>
    <row r="521" spans="3:12" ht="15.6" hidden="1">
      <c r="C521" s="39" t="str">
        <f t="shared" si="83"/>
        <v>H</v>
      </c>
      <c r="D521" s="45" t="str">
        <f>Parameter!E$14</f>
        <v>Blade</v>
      </c>
      <c r="E521" s="125">
        <f t="shared" si="92"/>
        <v>0</v>
      </c>
      <c r="F521" s="126">
        <f t="shared" si="92"/>
        <v>0</v>
      </c>
      <c r="G521" s="126">
        <f t="shared" si="92"/>
        <v>0</v>
      </c>
      <c r="H521" s="126">
        <f t="shared" si="92"/>
        <v>0</v>
      </c>
      <c r="I521" s="126">
        <f t="shared" si="92"/>
        <v>0</v>
      </c>
      <c r="J521" s="126">
        <f t="shared" si="92"/>
        <v>0</v>
      </c>
      <c r="K521" s="126">
        <f t="shared" si="92"/>
        <v>0</v>
      </c>
      <c r="L521" s="127">
        <f t="shared" si="92"/>
        <v>0</v>
      </c>
    </row>
    <row r="522" spans="3:12" ht="15.6" hidden="1">
      <c r="C522" s="39" t="str">
        <f t="shared" si="83"/>
        <v>H</v>
      </c>
      <c r="D522" s="45" t="str">
        <f>Parameter!E$15</f>
        <v>DLP glasses</v>
      </c>
      <c r="E522" s="125">
        <f t="shared" si="92"/>
        <v>0</v>
      </c>
      <c r="F522" s="126">
        <f t="shared" si="92"/>
        <v>0</v>
      </c>
      <c r="G522" s="126">
        <f t="shared" si="92"/>
        <v>0</v>
      </c>
      <c r="H522" s="126">
        <f t="shared" si="92"/>
        <v>0</v>
      </c>
      <c r="I522" s="126">
        <f t="shared" si="92"/>
        <v>0</v>
      </c>
      <c r="J522" s="126">
        <f t="shared" si="92"/>
        <v>0</v>
      </c>
      <c r="K522" s="126">
        <f t="shared" si="92"/>
        <v>0</v>
      </c>
      <c r="L522" s="127">
        <f t="shared" si="92"/>
        <v>0</v>
      </c>
    </row>
    <row r="523" spans="3:12" ht="15.6" hidden="1">
      <c r="C523" s="39" t="str">
        <f t="shared" si="83"/>
        <v>H</v>
      </c>
      <c r="D523" s="45" t="str">
        <f>Parameter!E$16</f>
        <v>G1</v>
      </c>
      <c r="E523" s="125">
        <f t="shared" si="92"/>
        <v>0</v>
      </c>
      <c r="F523" s="126">
        <f t="shared" si="92"/>
        <v>0</v>
      </c>
      <c r="G523" s="126">
        <f t="shared" si="92"/>
        <v>0</v>
      </c>
      <c r="H523" s="126">
        <f t="shared" si="92"/>
        <v>0</v>
      </c>
      <c r="I523" s="126">
        <f t="shared" si="92"/>
        <v>0</v>
      </c>
      <c r="J523" s="126">
        <f t="shared" si="92"/>
        <v>0</v>
      </c>
      <c r="K523" s="126">
        <f t="shared" si="92"/>
        <v>0</v>
      </c>
      <c r="L523" s="127">
        <f t="shared" si="92"/>
        <v>0</v>
      </c>
    </row>
    <row r="524" spans="3:12" ht="15.6" hidden="1">
      <c r="C524" s="39" t="str">
        <f t="shared" si="83"/>
        <v>H</v>
      </c>
      <c r="D524" s="45" t="str">
        <f>Parameter!E$17</f>
        <v>Glass</v>
      </c>
      <c r="E524" s="125">
        <f t="shared" si="92"/>
        <v>0</v>
      </c>
      <c r="F524" s="126">
        <f t="shared" si="92"/>
        <v>0</v>
      </c>
      <c r="G524" s="126">
        <f t="shared" si="92"/>
        <v>0</v>
      </c>
      <c r="H524" s="126">
        <f t="shared" si="92"/>
        <v>0</v>
      </c>
      <c r="I524" s="126">
        <f t="shared" si="92"/>
        <v>0</v>
      </c>
      <c r="J524" s="126">
        <f t="shared" si="92"/>
        <v>0</v>
      </c>
      <c r="K524" s="126">
        <f t="shared" si="92"/>
        <v>0</v>
      </c>
      <c r="L524" s="127">
        <f t="shared" si="92"/>
        <v>0</v>
      </c>
    </row>
    <row r="525" spans="3:12" ht="15.6" hidden="1">
      <c r="C525" s="39" t="str">
        <f t="shared" si="83"/>
        <v>H</v>
      </c>
      <c r="D525" s="45" t="str">
        <f>Parameter!E$18</f>
        <v>Glasses</v>
      </c>
      <c r="E525" s="125">
        <f t="shared" ref="E525:L534" si="93">SUMIF(ARVR_Y_PC_PR, "AR_"&amp;E$514&amp;"_"&amp;$D$513&amp;"_"&amp;$D525, PanelQ)</f>
        <v>0</v>
      </c>
      <c r="F525" s="126">
        <f t="shared" si="93"/>
        <v>0</v>
      </c>
      <c r="G525" s="126">
        <f t="shared" si="93"/>
        <v>0</v>
      </c>
      <c r="H525" s="126">
        <f t="shared" si="93"/>
        <v>0</v>
      </c>
      <c r="I525" s="126">
        <f t="shared" si="93"/>
        <v>0</v>
      </c>
      <c r="J525" s="126">
        <f t="shared" si="93"/>
        <v>0</v>
      </c>
      <c r="K525" s="126">
        <f t="shared" si="93"/>
        <v>0</v>
      </c>
      <c r="L525" s="127">
        <f t="shared" si="93"/>
        <v>0</v>
      </c>
    </row>
    <row r="526" spans="3:12" ht="15.6" hidden="1">
      <c r="C526" s="39" t="str">
        <f t="shared" si="83"/>
        <v>H</v>
      </c>
      <c r="D526" s="45" t="str">
        <f>Parameter!E$19</f>
        <v>Go</v>
      </c>
      <c r="E526" s="125">
        <f t="shared" si="93"/>
        <v>0</v>
      </c>
      <c r="F526" s="126">
        <f t="shared" si="93"/>
        <v>0</v>
      </c>
      <c r="G526" s="126">
        <f t="shared" si="93"/>
        <v>0</v>
      </c>
      <c r="H526" s="126">
        <f t="shared" si="93"/>
        <v>0</v>
      </c>
      <c r="I526" s="126">
        <f t="shared" si="93"/>
        <v>0</v>
      </c>
      <c r="J526" s="126">
        <f t="shared" si="93"/>
        <v>0</v>
      </c>
      <c r="K526" s="126">
        <f t="shared" si="93"/>
        <v>0</v>
      </c>
      <c r="L526" s="127">
        <f t="shared" si="93"/>
        <v>0</v>
      </c>
    </row>
    <row r="527" spans="3:12" ht="15.6" hidden="1">
      <c r="C527" s="39" t="str">
        <f t="shared" si="83"/>
        <v>H</v>
      </c>
      <c r="D527" s="45" t="str">
        <f>Parameter!E$20</f>
        <v>Go 2</v>
      </c>
      <c r="E527" s="125">
        <f t="shared" si="93"/>
        <v>0</v>
      </c>
      <c r="F527" s="126">
        <f t="shared" si="93"/>
        <v>0</v>
      </c>
      <c r="G527" s="126">
        <f t="shared" si="93"/>
        <v>0</v>
      </c>
      <c r="H527" s="126">
        <f t="shared" si="93"/>
        <v>0</v>
      </c>
      <c r="I527" s="126">
        <f t="shared" si="93"/>
        <v>0</v>
      </c>
      <c r="J527" s="126">
        <f t="shared" si="93"/>
        <v>0</v>
      </c>
      <c r="K527" s="126">
        <f t="shared" si="93"/>
        <v>0</v>
      </c>
      <c r="L527" s="127">
        <f t="shared" si="93"/>
        <v>0</v>
      </c>
    </row>
    <row r="528" spans="3:12" ht="15.6" hidden="1">
      <c r="C528" s="39" t="str">
        <f t="shared" si="83"/>
        <v>H</v>
      </c>
      <c r="D528" s="45" t="str">
        <f>Parameter!E$21</f>
        <v>HoloLens 2</v>
      </c>
      <c r="E528" s="125">
        <f t="shared" si="93"/>
        <v>0</v>
      </c>
      <c r="F528" s="126">
        <f t="shared" si="93"/>
        <v>0</v>
      </c>
      <c r="G528" s="126">
        <f t="shared" si="93"/>
        <v>0</v>
      </c>
      <c r="H528" s="126">
        <f t="shared" si="93"/>
        <v>0</v>
      </c>
      <c r="I528" s="126">
        <f t="shared" si="93"/>
        <v>0</v>
      </c>
      <c r="J528" s="126">
        <f t="shared" si="93"/>
        <v>0</v>
      </c>
      <c r="K528" s="126">
        <f t="shared" si="93"/>
        <v>0</v>
      </c>
      <c r="L528" s="127">
        <f t="shared" si="93"/>
        <v>0</v>
      </c>
    </row>
    <row r="529" spans="3:12" ht="15.6" hidden="1">
      <c r="C529" s="39" t="str">
        <f t="shared" si="83"/>
        <v>H</v>
      </c>
      <c r="D529" s="45" t="str">
        <f>Parameter!E$22</f>
        <v>INAIR 2</v>
      </c>
      <c r="E529" s="125">
        <f t="shared" si="93"/>
        <v>0</v>
      </c>
      <c r="F529" s="126">
        <f t="shared" si="93"/>
        <v>0</v>
      </c>
      <c r="G529" s="126">
        <f t="shared" si="93"/>
        <v>0</v>
      </c>
      <c r="H529" s="126">
        <f t="shared" si="93"/>
        <v>0</v>
      </c>
      <c r="I529" s="126">
        <f t="shared" si="93"/>
        <v>0</v>
      </c>
      <c r="J529" s="126">
        <f t="shared" si="93"/>
        <v>0</v>
      </c>
      <c r="K529" s="126">
        <f t="shared" si="93"/>
        <v>0</v>
      </c>
      <c r="L529" s="127">
        <f t="shared" si="93"/>
        <v>0</v>
      </c>
    </row>
    <row r="530" spans="3:12" ht="15.6" hidden="1">
      <c r="C530" s="39" t="str">
        <f t="shared" si="83"/>
        <v>H</v>
      </c>
      <c r="D530" s="45" t="str">
        <f>Parameter!E$23</f>
        <v>INAIR 2 Pro</v>
      </c>
      <c r="E530" s="125">
        <f t="shared" si="93"/>
        <v>0</v>
      </c>
      <c r="F530" s="126">
        <f t="shared" si="93"/>
        <v>0</v>
      </c>
      <c r="G530" s="126">
        <f t="shared" si="93"/>
        <v>0</v>
      </c>
      <c r="H530" s="126">
        <f t="shared" si="93"/>
        <v>0</v>
      </c>
      <c r="I530" s="126">
        <f t="shared" si="93"/>
        <v>0</v>
      </c>
      <c r="J530" s="126">
        <f t="shared" si="93"/>
        <v>0</v>
      </c>
      <c r="K530" s="126">
        <f t="shared" si="93"/>
        <v>0</v>
      </c>
      <c r="L530" s="127">
        <f t="shared" si="93"/>
        <v>0</v>
      </c>
    </row>
    <row r="531" spans="3:12" ht="15.6" hidden="1">
      <c r="C531" s="39" t="str">
        <f t="shared" si="83"/>
        <v>H</v>
      </c>
      <c r="D531" s="45" t="str">
        <f>Parameter!E$24</f>
        <v>LBS glasses</v>
      </c>
      <c r="E531" s="125">
        <f t="shared" si="93"/>
        <v>0</v>
      </c>
      <c r="F531" s="126">
        <f t="shared" si="93"/>
        <v>0</v>
      </c>
      <c r="G531" s="126">
        <f t="shared" si="93"/>
        <v>0</v>
      </c>
      <c r="H531" s="126">
        <f t="shared" si="93"/>
        <v>0</v>
      </c>
      <c r="I531" s="126">
        <f t="shared" si="93"/>
        <v>0</v>
      </c>
      <c r="J531" s="126">
        <f t="shared" si="93"/>
        <v>0</v>
      </c>
      <c r="K531" s="126">
        <f t="shared" si="93"/>
        <v>0</v>
      </c>
      <c r="L531" s="127">
        <f t="shared" si="93"/>
        <v>0</v>
      </c>
    </row>
    <row r="532" spans="3:12" ht="15.6" hidden="1">
      <c r="C532" s="39" t="str">
        <f t="shared" si="83"/>
        <v>H</v>
      </c>
      <c r="D532" s="45" t="str">
        <f>Parameter!E$25</f>
        <v>LCoS glasses</v>
      </c>
      <c r="E532" s="125">
        <f t="shared" si="93"/>
        <v>0</v>
      </c>
      <c r="F532" s="126">
        <f t="shared" si="93"/>
        <v>0</v>
      </c>
      <c r="G532" s="126">
        <f t="shared" si="93"/>
        <v>0</v>
      </c>
      <c r="H532" s="126">
        <f t="shared" si="93"/>
        <v>0</v>
      </c>
      <c r="I532" s="126">
        <f t="shared" si="93"/>
        <v>0</v>
      </c>
      <c r="J532" s="126">
        <f t="shared" si="93"/>
        <v>0</v>
      </c>
      <c r="K532" s="126">
        <f t="shared" si="93"/>
        <v>0</v>
      </c>
      <c r="L532" s="127">
        <f t="shared" si="93"/>
        <v>0</v>
      </c>
    </row>
    <row r="533" spans="3:12" ht="15.6" hidden="1">
      <c r="C533" s="39" t="str">
        <f t="shared" si="83"/>
        <v>H</v>
      </c>
      <c r="D533" s="45" t="str">
        <f>Parameter!E$26</f>
        <v>Lenovo Legion Glasses 2</v>
      </c>
      <c r="E533" s="125">
        <f t="shared" si="93"/>
        <v>0</v>
      </c>
      <c r="F533" s="126">
        <f t="shared" si="93"/>
        <v>0</v>
      </c>
      <c r="G533" s="126">
        <f t="shared" si="93"/>
        <v>0</v>
      </c>
      <c r="H533" s="126">
        <f t="shared" si="93"/>
        <v>0</v>
      </c>
      <c r="I533" s="126">
        <f t="shared" si="93"/>
        <v>0</v>
      </c>
      <c r="J533" s="126">
        <f t="shared" si="93"/>
        <v>0</v>
      </c>
      <c r="K533" s="126">
        <f t="shared" si="93"/>
        <v>0</v>
      </c>
      <c r="L533" s="127">
        <f t="shared" si="93"/>
        <v>0</v>
      </c>
    </row>
    <row r="534" spans="3:12" ht="15.6" hidden="1">
      <c r="C534" s="39" t="str">
        <f t="shared" si="83"/>
        <v>H</v>
      </c>
      <c r="D534" s="45" t="str">
        <f>Parameter!E$27</f>
        <v>Light</v>
      </c>
      <c r="E534" s="125">
        <f t="shared" si="93"/>
        <v>0</v>
      </c>
      <c r="F534" s="126">
        <f t="shared" si="93"/>
        <v>0</v>
      </c>
      <c r="G534" s="126">
        <f t="shared" si="93"/>
        <v>0</v>
      </c>
      <c r="H534" s="126">
        <f t="shared" si="93"/>
        <v>0</v>
      </c>
      <c r="I534" s="126">
        <f t="shared" si="93"/>
        <v>0</v>
      </c>
      <c r="J534" s="126">
        <f t="shared" si="93"/>
        <v>0</v>
      </c>
      <c r="K534" s="126">
        <f t="shared" si="93"/>
        <v>0</v>
      </c>
      <c r="L534" s="127">
        <f t="shared" si="93"/>
        <v>0</v>
      </c>
    </row>
    <row r="535" spans="3:12" ht="15.6" hidden="1">
      <c r="C535" s="39" t="str">
        <f t="shared" si="83"/>
        <v>H</v>
      </c>
      <c r="D535" s="45" t="str">
        <f>Parameter!E$28</f>
        <v>Max</v>
      </c>
      <c r="E535" s="125">
        <f t="shared" ref="E535:L544" si="94">SUMIF(ARVR_Y_PC_PR, "AR_"&amp;E$514&amp;"_"&amp;$D$513&amp;"_"&amp;$D535, PanelQ)</f>
        <v>0</v>
      </c>
      <c r="F535" s="126">
        <f t="shared" si="94"/>
        <v>0</v>
      </c>
      <c r="G535" s="126">
        <f t="shared" si="94"/>
        <v>0</v>
      </c>
      <c r="H535" s="126">
        <f t="shared" si="94"/>
        <v>0</v>
      </c>
      <c r="I535" s="126">
        <f t="shared" si="94"/>
        <v>0</v>
      </c>
      <c r="J535" s="126">
        <f t="shared" si="94"/>
        <v>0</v>
      </c>
      <c r="K535" s="126">
        <f t="shared" si="94"/>
        <v>0</v>
      </c>
      <c r="L535" s="127">
        <f t="shared" si="94"/>
        <v>0</v>
      </c>
    </row>
    <row r="536" spans="3:12" ht="15.6" hidden="1">
      <c r="C536" s="39" t="str">
        <f t="shared" si="83"/>
        <v>H</v>
      </c>
      <c r="D536" s="45" t="str">
        <f>Parameter!E$29</f>
        <v>Max 2</v>
      </c>
      <c r="E536" s="125">
        <f t="shared" si="94"/>
        <v>0</v>
      </c>
      <c r="F536" s="126">
        <f t="shared" si="94"/>
        <v>0</v>
      </c>
      <c r="G536" s="126">
        <f t="shared" si="94"/>
        <v>0</v>
      </c>
      <c r="H536" s="126">
        <f t="shared" si="94"/>
        <v>0</v>
      </c>
      <c r="I536" s="126">
        <f t="shared" si="94"/>
        <v>0</v>
      </c>
      <c r="J536" s="126">
        <f t="shared" si="94"/>
        <v>0</v>
      </c>
      <c r="K536" s="126">
        <f t="shared" si="94"/>
        <v>0</v>
      </c>
      <c r="L536" s="127">
        <f t="shared" si="94"/>
        <v>0</v>
      </c>
    </row>
    <row r="537" spans="3:12" ht="15.6" hidden="1">
      <c r="C537" s="39" t="str">
        <f t="shared" si="83"/>
        <v>H</v>
      </c>
      <c r="D537" s="45" t="str">
        <f>Parameter!E$30</f>
        <v>Meizu StarV Air 2</v>
      </c>
      <c r="E537" s="125">
        <f t="shared" si="94"/>
        <v>0</v>
      </c>
      <c r="F537" s="126">
        <f t="shared" si="94"/>
        <v>0</v>
      </c>
      <c r="G537" s="126">
        <f t="shared" si="94"/>
        <v>0</v>
      </c>
      <c r="H537" s="126">
        <f t="shared" si="94"/>
        <v>0</v>
      </c>
      <c r="I537" s="126">
        <f t="shared" si="94"/>
        <v>0</v>
      </c>
      <c r="J537" s="126">
        <f t="shared" si="94"/>
        <v>0</v>
      </c>
      <c r="K537" s="126">
        <f t="shared" si="94"/>
        <v>0</v>
      </c>
      <c r="L537" s="127">
        <f t="shared" si="94"/>
        <v>0</v>
      </c>
    </row>
    <row r="538" spans="3:12" ht="15.6" hidden="1">
      <c r="C538" s="39" t="str">
        <f t="shared" si="83"/>
        <v>H</v>
      </c>
      <c r="D538" s="45" t="str">
        <f>Parameter!E$31</f>
        <v>Meizu StarV View</v>
      </c>
      <c r="E538" s="125">
        <f t="shared" si="94"/>
        <v>0</v>
      </c>
      <c r="F538" s="126">
        <f t="shared" si="94"/>
        <v>0</v>
      </c>
      <c r="G538" s="126">
        <f t="shared" si="94"/>
        <v>0</v>
      </c>
      <c r="H538" s="126">
        <f t="shared" si="94"/>
        <v>0</v>
      </c>
      <c r="I538" s="126">
        <f t="shared" si="94"/>
        <v>0</v>
      </c>
      <c r="J538" s="126">
        <f t="shared" si="94"/>
        <v>0</v>
      </c>
      <c r="K538" s="126">
        <f t="shared" si="94"/>
        <v>0</v>
      </c>
      <c r="L538" s="127">
        <f t="shared" si="94"/>
        <v>0</v>
      </c>
    </row>
    <row r="539" spans="3:12" ht="15.6" hidden="1">
      <c r="C539" s="39" t="str">
        <f t="shared" si="83"/>
        <v>H</v>
      </c>
      <c r="D539" s="45" t="str">
        <f>Parameter!E$32</f>
        <v>MiRZA</v>
      </c>
      <c r="E539" s="125">
        <f t="shared" si="94"/>
        <v>0</v>
      </c>
      <c r="F539" s="126">
        <f t="shared" si="94"/>
        <v>0</v>
      </c>
      <c r="G539" s="126">
        <f t="shared" si="94"/>
        <v>0</v>
      </c>
      <c r="H539" s="126">
        <f t="shared" si="94"/>
        <v>0</v>
      </c>
      <c r="I539" s="126">
        <f t="shared" si="94"/>
        <v>0</v>
      </c>
      <c r="J539" s="126">
        <f t="shared" si="94"/>
        <v>0</v>
      </c>
      <c r="K539" s="126">
        <f t="shared" si="94"/>
        <v>0</v>
      </c>
      <c r="L539" s="127">
        <f t="shared" si="94"/>
        <v>0</v>
      </c>
    </row>
    <row r="540" spans="3:12" ht="15.6" hidden="1">
      <c r="C540" s="39" t="str">
        <f t="shared" ref="C540:C566" si="95">IF(SUM(E540:L540)=0, "H", "")</f>
        <v>H</v>
      </c>
      <c r="D540" s="45" t="str">
        <f>Parameter!E$33</f>
        <v>ML 2</v>
      </c>
      <c r="E540" s="125">
        <f t="shared" si="94"/>
        <v>0</v>
      </c>
      <c r="F540" s="126">
        <f t="shared" si="94"/>
        <v>0</v>
      </c>
      <c r="G540" s="126">
        <f t="shared" si="94"/>
        <v>0</v>
      </c>
      <c r="H540" s="126">
        <f t="shared" si="94"/>
        <v>0</v>
      </c>
      <c r="I540" s="126">
        <f t="shared" si="94"/>
        <v>0</v>
      </c>
      <c r="J540" s="126">
        <f t="shared" si="94"/>
        <v>0</v>
      </c>
      <c r="K540" s="126">
        <f t="shared" si="94"/>
        <v>0</v>
      </c>
      <c r="L540" s="127">
        <f t="shared" si="94"/>
        <v>0</v>
      </c>
    </row>
    <row r="541" spans="3:12" ht="15.6" hidden="1">
      <c r="C541" s="39" t="str">
        <f t="shared" si="95"/>
        <v>H</v>
      </c>
      <c r="D541" s="45" t="str">
        <f>Parameter!E$34</f>
        <v>ML One</v>
      </c>
      <c r="E541" s="125">
        <f t="shared" si="94"/>
        <v>0</v>
      </c>
      <c r="F541" s="126">
        <f t="shared" si="94"/>
        <v>0</v>
      </c>
      <c r="G541" s="126">
        <f t="shared" si="94"/>
        <v>0</v>
      </c>
      <c r="H541" s="126">
        <f t="shared" si="94"/>
        <v>0</v>
      </c>
      <c r="I541" s="126">
        <f t="shared" si="94"/>
        <v>0</v>
      </c>
      <c r="J541" s="126">
        <f t="shared" si="94"/>
        <v>0</v>
      </c>
      <c r="K541" s="126">
        <f t="shared" si="94"/>
        <v>0</v>
      </c>
      <c r="L541" s="127">
        <f t="shared" si="94"/>
        <v>0</v>
      </c>
    </row>
    <row r="542" spans="3:12" ht="15.6" hidden="1">
      <c r="C542" s="39" t="str">
        <f t="shared" si="95"/>
        <v>H</v>
      </c>
      <c r="D542" s="45" t="str">
        <f>Parameter!E$35</f>
        <v>Monocular LCoS glasses</v>
      </c>
      <c r="E542" s="125">
        <f t="shared" si="94"/>
        <v>0</v>
      </c>
      <c r="F542" s="126">
        <f t="shared" si="94"/>
        <v>0</v>
      </c>
      <c r="G542" s="126">
        <f t="shared" si="94"/>
        <v>0</v>
      </c>
      <c r="H542" s="126">
        <f t="shared" si="94"/>
        <v>0</v>
      </c>
      <c r="I542" s="126">
        <f t="shared" si="94"/>
        <v>0</v>
      </c>
      <c r="J542" s="126">
        <f t="shared" si="94"/>
        <v>0</v>
      </c>
      <c r="K542" s="126">
        <f t="shared" si="94"/>
        <v>0</v>
      </c>
      <c r="L542" s="127">
        <f t="shared" si="94"/>
        <v>0</v>
      </c>
    </row>
    <row r="543" spans="3:12" ht="15.6" hidden="1">
      <c r="C543" s="39" t="str">
        <f t="shared" si="95"/>
        <v>H</v>
      </c>
      <c r="D543" s="45" t="str">
        <f>Parameter!E$36</f>
        <v>Monocular MicroLED</v>
      </c>
      <c r="E543" s="125">
        <f t="shared" si="94"/>
        <v>0</v>
      </c>
      <c r="F543" s="126">
        <f t="shared" si="94"/>
        <v>0</v>
      </c>
      <c r="G543" s="126">
        <f t="shared" si="94"/>
        <v>0</v>
      </c>
      <c r="H543" s="126">
        <f t="shared" si="94"/>
        <v>0</v>
      </c>
      <c r="I543" s="126">
        <f t="shared" si="94"/>
        <v>0</v>
      </c>
      <c r="J543" s="126">
        <f t="shared" si="94"/>
        <v>0</v>
      </c>
      <c r="K543" s="126">
        <f t="shared" si="94"/>
        <v>0</v>
      </c>
      <c r="L543" s="127">
        <f t="shared" si="94"/>
        <v>0</v>
      </c>
    </row>
    <row r="544" spans="3:12" ht="15.6" hidden="1">
      <c r="C544" s="39" t="str">
        <f t="shared" si="95"/>
        <v>H</v>
      </c>
      <c r="D544" s="45" t="str">
        <f>Parameter!E$37</f>
        <v>Moverio</v>
      </c>
      <c r="E544" s="125">
        <f t="shared" si="94"/>
        <v>0</v>
      </c>
      <c r="F544" s="126">
        <f t="shared" si="94"/>
        <v>0</v>
      </c>
      <c r="G544" s="126">
        <f t="shared" si="94"/>
        <v>0</v>
      </c>
      <c r="H544" s="126">
        <f t="shared" si="94"/>
        <v>0</v>
      </c>
      <c r="I544" s="126">
        <f t="shared" si="94"/>
        <v>0</v>
      </c>
      <c r="J544" s="126">
        <f t="shared" si="94"/>
        <v>0</v>
      </c>
      <c r="K544" s="126">
        <f t="shared" si="94"/>
        <v>0</v>
      </c>
      <c r="L544" s="127">
        <f t="shared" si="94"/>
        <v>0</v>
      </c>
    </row>
    <row r="545" spans="3:12" ht="15.6" hidden="1">
      <c r="C545" s="39" t="str">
        <f t="shared" si="95"/>
        <v>H</v>
      </c>
      <c r="D545" s="45" t="str">
        <f>Parameter!E$38</f>
        <v>MYVU</v>
      </c>
      <c r="E545" s="125">
        <f t="shared" ref="E545:L554" si="96">SUMIF(ARVR_Y_PC_PR, "AR_"&amp;E$514&amp;"_"&amp;$D$513&amp;"_"&amp;$D545, PanelQ)</f>
        <v>0</v>
      </c>
      <c r="F545" s="126">
        <f t="shared" si="96"/>
        <v>0</v>
      </c>
      <c r="G545" s="126">
        <f t="shared" si="96"/>
        <v>0</v>
      </c>
      <c r="H545" s="126">
        <f t="shared" si="96"/>
        <v>0</v>
      </c>
      <c r="I545" s="126">
        <f t="shared" si="96"/>
        <v>0</v>
      </c>
      <c r="J545" s="126">
        <f t="shared" si="96"/>
        <v>0</v>
      </c>
      <c r="K545" s="126">
        <f t="shared" si="96"/>
        <v>0</v>
      </c>
      <c r="L545" s="127">
        <f t="shared" si="96"/>
        <v>0</v>
      </c>
    </row>
    <row r="546" spans="3:12" ht="15.6" hidden="1">
      <c r="C546" s="39" t="str">
        <f t="shared" si="95"/>
        <v>H</v>
      </c>
      <c r="D546" s="45" t="str">
        <f>Parameter!E$39</f>
        <v>NXTWear</v>
      </c>
      <c r="E546" s="125">
        <f t="shared" si="96"/>
        <v>0</v>
      </c>
      <c r="F546" s="126">
        <f t="shared" si="96"/>
        <v>0</v>
      </c>
      <c r="G546" s="126">
        <f t="shared" si="96"/>
        <v>0</v>
      </c>
      <c r="H546" s="126">
        <f t="shared" si="96"/>
        <v>0</v>
      </c>
      <c r="I546" s="126">
        <f t="shared" si="96"/>
        <v>0</v>
      </c>
      <c r="J546" s="126">
        <f t="shared" si="96"/>
        <v>0</v>
      </c>
      <c r="K546" s="126">
        <f t="shared" si="96"/>
        <v>0</v>
      </c>
      <c r="L546" s="127">
        <f t="shared" si="96"/>
        <v>0</v>
      </c>
    </row>
    <row r="547" spans="3:12" ht="15.6" hidden="1">
      <c r="C547" s="39" t="str">
        <f t="shared" si="95"/>
        <v>H</v>
      </c>
      <c r="D547" s="45" t="str">
        <f>Parameter!E$40</f>
        <v>One</v>
      </c>
      <c r="E547" s="125">
        <f t="shared" si="96"/>
        <v>0</v>
      </c>
      <c r="F547" s="126">
        <f t="shared" si="96"/>
        <v>0</v>
      </c>
      <c r="G547" s="126">
        <f t="shared" si="96"/>
        <v>0</v>
      </c>
      <c r="H547" s="126">
        <f t="shared" si="96"/>
        <v>0</v>
      </c>
      <c r="I547" s="126">
        <f t="shared" si="96"/>
        <v>0</v>
      </c>
      <c r="J547" s="126">
        <f t="shared" si="96"/>
        <v>0</v>
      </c>
      <c r="K547" s="126">
        <f t="shared" si="96"/>
        <v>0</v>
      </c>
      <c r="L547" s="127">
        <f t="shared" si="96"/>
        <v>0</v>
      </c>
    </row>
    <row r="548" spans="3:12" ht="15.6" hidden="1">
      <c r="C548" s="39" t="str">
        <f t="shared" si="95"/>
        <v>H</v>
      </c>
      <c r="D548" s="45" t="str">
        <f>Parameter!E$41</f>
        <v>One Pro</v>
      </c>
      <c r="E548" s="125">
        <f t="shared" si="96"/>
        <v>0</v>
      </c>
      <c r="F548" s="126">
        <f t="shared" si="96"/>
        <v>0</v>
      </c>
      <c r="G548" s="126">
        <f t="shared" si="96"/>
        <v>0</v>
      </c>
      <c r="H548" s="126">
        <f t="shared" si="96"/>
        <v>0</v>
      </c>
      <c r="I548" s="126">
        <f t="shared" si="96"/>
        <v>0</v>
      </c>
      <c r="J548" s="126">
        <f t="shared" si="96"/>
        <v>0</v>
      </c>
      <c r="K548" s="126">
        <f t="shared" si="96"/>
        <v>0</v>
      </c>
      <c r="L548" s="127">
        <f t="shared" si="96"/>
        <v>0</v>
      </c>
    </row>
    <row r="549" spans="3:12" ht="15.6" hidden="1">
      <c r="C549" s="39" t="str">
        <f t="shared" si="95"/>
        <v>H</v>
      </c>
      <c r="D549" s="45" t="str">
        <f>Parameter!E$42</f>
        <v>Quark AI</v>
      </c>
      <c r="E549" s="125">
        <f t="shared" si="96"/>
        <v>0</v>
      </c>
      <c r="F549" s="126">
        <f t="shared" si="96"/>
        <v>0</v>
      </c>
      <c r="G549" s="126">
        <f t="shared" si="96"/>
        <v>0</v>
      </c>
      <c r="H549" s="126">
        <f t="shared" si="96"/>
        <v>0</v>
      </c>
      <c r="I549" s="126">
        <f t="shared" si="96"/>
        <v>0</v>
      </c>
      <c r="J549" s="126">
        <f t="shared" si="96"/>
        <v>0</v>
      </c>
      <c r="K549" s="126">
        <f t="shared" si="96"/>
        <v>0</v>
      </c>
      <c r="L549" s="127">
        <f t="shared" si="96"/>
        <v>0</v>
      </c>
    </row>
    <row r="550" spans="3:12" ht="15.6" hidden="1">
      <c r="C550" s="39" t="str">
        <f t="shared" si="95"/>
        <v>H</v>
      </c>
      <c r="D550" s="45" t="str">
        <f>Parameter!E$43</f>
        <v>Ray-Ban Meta Display</v>
      </c>
      <c r="E550" s="125">
        <f t="shared" si="96"/>
        <v>0</v>
      </c>
      <c r="F550" s="126">
        <f t="shared" si="96"/>
        <v>0</v>
      </c>
      <c r="G550" s="126">
        <f t="shared" si="96"/>
        <v>0</v>
      </c>
      <c r="H550" s="126">
        <f t="shared" si="96"/>
        <v>0</v>
      </c>
      <c r="I550" s="126">
        <f t="shared" si="96"/>
        <v>0</v>
      </c>
      <c r="J550" s="126">
        <f t="shared" si="96"/>
        <v>0</v>
      </c>
      <c r="K550" s="126">
        <f t="shared" si="96"/>
        <v>0</v>
      </c>
      <c r="L550" s="127">
        <f t="shared" si="96"/>
        <v>0</v>
      </c>
    </row>
    <row r="551" spans="3:12" ht="15.6" hidden="1">
      <c r="C551" s="39" t="str">
        <f t="shared" si="95"/>
        <v>H</v>
      </c>
      <c r="D551" s="45" t="str">
        <f>Parameter!E$44</f>
        <v>Shield</v>
      </c>
      <c r="E551" s="125">
        <f t="shared" si="96"/>
        <v>0</v>
      </c>
      <c r="F551" s="126">
        <f t="shared" si="96"/>
        <v>0</v>
      </c>
      <c r="G551" s="126">
        <f t="shared" si="96"/>
        <v>0</v>
      </c>
      <c r="H551" s="126">
        <f t="shared" si="96"/>
        <v>0</v>
      </c>
      <c r="I551" s="126">
        <f t="shared" si="96"/>
        <v>0</v>
      </c>
      <c r="J551" s="126">
        <f t="shared" si="96"/>
        <v>0</v>
      </c>
      <c r="K551" s="126">
        <f t="shared" si="96"/>
        <v>0</v>
      </c>
      <c r="L551" s="127">
        <f t="shared" si="96"/>
        <v>0</v>
      </c>
    </row>
    <row r="552" spans="3:12" ht="15.6" hidden="1">
      <c r="C552" s="39" t="str">
        <f t="shared" si="95"/>
        <v>H</v>
      </c>
      <c r="D552" s="45" t="str">
        <f>Parameter!E$45</f>
        <v>SiOLED glasses</v>
      </c>
      <c r="E552" s="125">
        <f t="shared" si="96"/>
        <v>0</v>
      </c>
      <c r="F552" s="126">
        <f t="shared" si="96"/>
        <v>0</v>
      </c>
      <c r="G552" s="126">
        <f t="shared" si="96"/>
        <v>0</v>
      </c>
      <c r="H552" s="126">
        <f t="shared" si="96"/>
        <v>0</v>
      </c>
      <c r="I552" s="126">
        <f t="shared" si="96"/>
        <v>0</v>
      </c>
      <c r="J552" s="126">
        <f t="shared" si="96"/>
        <v>0</v>
      </c>
      <c r="K552" s="126">
        <f t="shared" si="96"/>
        <v>0</v>
      </c>
      <c r="L552" s="127">
        <f t="shared" si="96"/>
        <v>0</v>
      </c>
    </row>
    <row r="553" spans="3:12" ht="15.6" hidden="1">
      <c r="C553" s="39" t="str">
        <f t="shared" si="95"/>
        <v>H</v>
      </c>
      <c r="D553" s="45" t="str">
        <f>Parameter!E$46</f>
        <v>T1</v>
      </c>
      <c r="E553" s="125">
        <f t="shared" si="96"/>
        <v>0</v>
      </c>
      <c r="F553" s="126">
        <f t="shared" si="96"/>
        <v>0</v>
      </c>
      <c r="G553" s="126">
        <f t="shared" si="96"/>
        <v>0</v>
      </c>
      <c r="H553" s="126">
        <f t="shared" si="96"/>
        <v>0</v>
      </c>
      <c r="I553" s="126">
        <f t="shared" si="96"/>
        <v>0</v>
      </c>
      <c r="J553" s="126">
        <f t="shared" si="96"/>
        <v>0</v>
      </c>
      <c r="K553" s="126">
        <f t="shared" si="96"/>
        <v>0</v>
      </c>
      <c r="L553" s="127">
        <f t="shared" si="96"/>
        <v>0</v>
      </c>
    </row>
    <row r="554" spans="3:12" ht="15.6" hidden="1">
      <c r="C554" s="39" t="str">
        <f t="shared" si="95"/>
        <v>H</v>
      </c>
      <c r="D554" s="45" t="str">
        <f>Parameter!E$47</f>
        <v>ThinkReality A3</v>
      </c>
      <c r="E554" s="125">
        <f t="shared" si="96"/>
        <v>0</v>
      </c>
      <c r="F554" s="126">
        <f t="shared" si="96"/>
        <v>0</v>
      </c>
      <c r="G554" s="126">
        <f t="shared" si="96"/>
        <v>0</v>
      </c>
      <c r="H554" s="126">
        <f t="shared" si="96"/>
        <v>0</v>
      </c>
      <c r="I554" s="126">
        <f t="shared" si="96"/>
        <v>0</v>
      </c>
      <c r="J554" s="126">
        <f t="shared" si="96"/>
        <v>0</v>
      </c>
      <c r="K554" s="126">
        <f t="shared" si="96"/>
        <v>0</v>
      </c>
      <c r="L554" s="127">
        <f t="shared" si="96"/>
        <v>0</v>
      </c>
    </row>
    <row r="555" spans="3:12" ht="15.6" hidden="1">
      <c r="C555" s="39" t="str">
        <f t="shared" si="95"/>
        <v>H</v>
      </c>
      <c r="D555" s="45" t="str">
        <f>Parameter!E$48</f>
        <v>Viture Pro</v>
      </c>
      <c r="E555" s="125">
        <f t="shared" ref="E555:L564" si="97">SUMIF(ARVR_Y_PC_PR, "AR_"&amp;E$514&amp;"_"&amp;$D$513&amp;"_"&amp;$D555, PanelQ)</f>
        <v>0</v>
      </c>
      <c r="F555" s="126">
        <f t="shared" si="97"/>
        <v>0</v>
      </c>
      <c r="G555" s="126">
        <f t="shared" si="97"/>
        <v>0</v>
      </c>
      <c r="H555" s="126">
        <f t="shared" si="97"/>
        <v>0</v>
      </c>
      <c r="I555" s="126">
        <f t="shared" si="97"/>
        <v>0</v>
      </c>
      <c r="J555" s="126">
        <f t="shared" si="97"/>
        <v>0</v>
      </c>
      <c r="K555" s="126">
        <f t="shared" si="97"/>
        <v>0</v>
      </c>
      <c r="L555" s="127">
        <f t="shared" si="97"/>
        <v>0</v>
      </c>
    </row>
    <row r="556" spans="3:12" ht="15.6" hidden="1">
      <c r="C556" s="39" t="str">
        <f t="shared" si="95"/>
        <v>H</v>
      </c>
      <c r="D556" s="45" t="str">
        <f>Parameter!E$49</f>
        <v>X3 Pro</v>
      </c>
      <c r="E556" s="125">
        <f t="shared" si="97"/>
        <v>0</v>
      </c>
      <c r="F556" s="126">
        <f t="shared" si="97"/>
        <v>0</v>
      </c>
      <c r="G556" s="126">
        <f t="shared" si="97"/>
        <v>0</v>
      </c>
      <c r="H556" s="126">
        <f t="shared" si="97"/>
        <v>0</v>
      </c>
      <c r="I556" s="126">
        <f t="shared" si="97"/>
        <v>0</v>
      </c>
      <c r="J556" s="126">
        <f t="shared" si="97"/>
        <v>0</v>
      </c>
      <c r="K556" s="126">
        <f t="shared" si="97"/>
        <v>0</v>
      </c>
      <c r="L556" s="127">
        <f t="shared" si="97"/>
        <v>0</v>
      </c>
    </row>
    <row r="557" spans="3:12" ht="15.6" hidden="1">
      <c r="C557" s="39" t="str">
        <f t="shared" si="95"/>
        <v>H</v>
      </c>
      <c r="D557" s="45" t="str">
        <f>Parameter!E$50</f>
        <v>Z100</v>
      </c>
      <c r="E557" s="125">
        <f t="shared" si="97"/>
        <v>0</v>
      </c>
      <c r="F557" s="126">
        <f t="shared" si="97"/>
        <v>0</v>
      </c>
      <c r="G557" s="126">
        <f t="shared" si="97"/>
        <v>0</v>
      </c>
      <c r="H557" s="126">
        <f t="shared" si="97"/>
        <v>0</v>
      </c>
      <c r="I557" s="126">
        <f t="shared" si="97"/>
        <v>0</v>
      </c>
      <c r="J557" s="126">
        <f t="shared" si="97"/>
        <v>0</v>
      </c>
      <c r="K557" s="126">
        <f t="shared" si="97"/>
        <v>0</v>
      </c>
      <c r="L557" s="127">
        <f t="shared" si="97"/>
        <v>0</v>
      </c>
    </row>
    <row r="558" spans="3:12" ht="15.6" hidden="1">
      <c r="C558" s="39" t="str">
        <f t="shared" si="95"/>
        <v>H</v>
      </c>
      <c r="D558" s="45">
        <f>Parameter!E$51</f>
        <v>0</v>
      </c>
      <c r="E558" s="125">
        <f t="shared" si="97"/>
        <v>0</v>
      </c>
      <c r="F558" s="126">
        <f t="shared" si="97"/>
        <v>0</v>
      </c>
      <c r="G558" s="126">
        <f t="shared" si="97"/>
        <v>0</v>
      </c>
      <c r="H558" s="126">
        <f t="shared" si="97"/>
        <v>0</v>
      </c>
      <c r="I558" s="126">
        <f t="shared" si="97"/>
        <v>0</v>
      </c>
      <c r="J558" s="126">
        <f t="shared" si="97"/>
        <v>0</v>
      </c>
      <c r="K558" s="126">
        <f t="shared" si="97"/>
        <v>0</v>
      </c>
      <c r="L558" s="127">
        <f t="shared" si="97"/>
        <v>0</v>
      </c>
    </row>
    <row r="559" spans="3:12" ht="15.6" hidden="1">
      <c r="C559" s="39" t="str">
        <f t="shared" si="95"/>
        <v>H</v>
      </c>
      <c r="D559" s="45">
        <f>Parameter!E$52</f>
        <v>0</v>
      </c>
      <c r="E559" s="125">
        <f t="shared" si="97"/>
        <v>0</v>
      </c>
      <c r="F559" s="126">
        <f t="shared" si="97"/>
        <v>0</v>
      </c>
      <c r="G559" s="126">
        <f t="shared" si="97"/>
        <v>0</v>
      </c>
      <c r="H559" s="126">
        <f t="shared" si="97"/>
        <v>0</v>
      </c>
      <c r="I559" s="126">
        <f t="shared" si="97"/>
        <v>0</v>
      </c>
      <c r="J559" s="126">
        <f t="shared" si="97"/>
        <v>0</v>
      </c>
      <c r="K559" s="126">
        <f t="shared" si="97"/>
        <v>0</v>
      </c>
      <c r="L559" s="127">
        <f t="shared" si="97"/>
        <v>0</v>
      </c>
    </row>
    <row r="560" spans="3:12" ht="15.6" hidden="1">
      <c r="C560" s="39" t="str">
        <f t="shared" si="95"/>
        <v>H</v>
      </c>
      <c r="D560" s="45">
        <f>Parameter!E$53</f>
        <v>0</v>
      </c>
      <c r="E560" s="125">
        <f t="shared" si="97"/>
        <v>0</v>
      </c>
      <c r="F560" s="126">
        <f t="shared" si="97"/>
        <v>0</v>
      </c>
      <c r="G560" s="126">
        <f t="shared" si="97"/>
        <v>0</v>
      </c>
      <c r="H560" s="126">
        <f t="shared" si="97"/>
        <v>0</v>
      </c>
      <c r="I560" s="126">
        <f t="shared" si="97"/>
        <v>0</v>
      </c>
      <c r="J560" s="126">
        <f t="shared" si="97"/>
        <v>0</v>
      </c>
      <c r="K560" s="126">
        <f t="shared" si="97"/>
        <v>0</v>
      </c>
      <c r="L560" s="127">
        <f t="shared" si="97"/>
        <v>0</v>
      </c>
    </row>
    <row r="561" spans="3:12" ht="15.6" hidden="1">
      <c r="C561" s="39" t="str">
        <f t="shared" si="95"/>
        <v>H</v>
      </c>
      <c r="D561" s="45">
        <f>Parameter!E$54</f>
        <v>0</v>
      </c>
      <c r="E561" s="125">
        <f t="shared" si="97"/>
        <v>0</v>
      </c>
      <c r="F561" s="126">
        <f t="shared" si="97"/>
        <v>0</v>
      </c>
      <c r="G561" s="126">
        <f t="shared" si="97"/>
        <v>0</v>
      </c>
      <c r="H561" s="126">
        <f t="shared" si="97"/>
        <v>0</v>
      </c>
      <c r="I561" s="126">
        <f t="shared" si="97"/>
        <v>0</v>
      </c>
      <c r="J561" s="126">
        <f t="shared" si="97"/>
        <v>0</v>
      </c>
      <c r="K561" s="126">
        <f t="shared" si="97"/>
        <v>0</v>
      </c>
      <c r="L561" s="127">
        <f t="shared" si="97"/>
        <v>0</v>
      </c>
    </row>
    <row r="562" spans="3:12" ht="15.6" hidden="1">
      <c r="C562" s="39" t="str">
        <f t="shared" si="95"/>
        <v>H</v>
      </c>
      <c r="D562" s="45">
        <f>Parameter!E$55</f>
        <v>0</v>
      </c>
      <c r="E562" s="125">
        <f t="shared" si="97"/>
        <v>0</v>
      </c>
      <c r="F562" s="126">
        <f t="shared" si="97"/>
        <v>0</v>
      </c>
      <c r="G562" s="126">
        <f t="shared" si="97"/>
        <v>0</v>
      </c>
      <c r="H562" s="126">
        <f t="shared" si="97"/>
        <v>0</v>
      </c>
      <c r="I562" s="126">
        <f t="shared" si="97"/>
        <v>0</v>
      </c>
      <c r="J562" s="126">
        <f t="shared" si="97"/>
        <v>0</v>
      </c>
      <c r="K562" s="126">
        <f t="shared" si="97"/>
        <v>0</v>
      </c>
      <c r="L562" s="127">
        <f t="shared" si="97"/>
        <v>0</v>
      </c>
    </row>
    <row r="563" spans="3:12" ht="15.6" hidden="1">
      <c r="C563" s="39" t="str">
        <f t="shared" si="95"/>
        <v>H</v>
      </c>
      <c r="D563" s="45">
        <f>Parameter!E$56</f>
        <v>0</v>
      </c>
      <c r="E563" s="125">
        <f t="shared" si="97"/>
        <v>0</v>
      </c>
      <c r="F563" s="126">
        <f t="shared" si="97"/>
        <v>0</v>
      </c>
      <c r="G563" s="126">
        <f t="shared" si="97"/>
        <v>0</v>
      </c>
      <c r="H563" s="126">
        <f t="shared" si="97"/>
        <v>0</v>
      </c>
      <c r="I563" s="126">
        <f t="shared" si="97"/>
        <v>0</v>
      </c>
      <c r="J563" s="126">
        <f t="shared" si="97"/>
        <v>0</v>
      </c>
      <c r="K563" s="126">
        <f t="shared" si="97"/>
        <v>0</v>
      </c>
      <c r="L563" s="127">
        <f t="shared" si="97"/>
        <v>0</v>
      </c>
    </row>
    <row r="564" spans="3:12" ht="16.2" hidden="1" thickBot="1">
      <c r="C564" s="39" t="str">
        <f t="shared" si="95"/>
        <v>H</v>
      </c>
      <c r="D564" s="53" t="str">
        <f>Parameter!E$57</f>
        <v>ALL</v>
      </c>
      <c r="E564" s="128">
        <f t="shared" si="97"/>
        <v>0</v>
      </c>
      <c r="F564" s="129">
        <f t="shared" si="97"/>
        <v>0</v>
      </c>
      <c r="G564" s="129">
        <f t="shared" si="97"/>
        <v>0</v>
      </c>
      <c r="H564" s="129">
        <f t="shared" si="97"/>
        <v>0</v>
      </c>
      <c r="I564" s="129">
        <f t="shared" si="97"/>
        <v>0</v>
      </c>
      <c r="J564" s="129">
        <f t="shared" si="97"/>
        <v>0</v>
      </c>
      <c r="K564" s="129">
        <f t="shared" si="97"/>
        <v>0</v>
      </c>
      <c r="L564" s="130">
        <f t="shared" si="97"/>
        <v>0</v>
      </c>
    </row>
    <row r="565" spans="3:12" ht="15.6" hidden="1">
      <c r="C565" s="39" t="str">
        <f t="shared" si="95"/>
        <v>H</v>
      </c>
      <c r="D565" s="54" t="s">
        <v>87</v>
      </c>
      <c r="E565" s="131">
        <f>SUM(E515:E564)</f>
        <v>0</v>
      </c>
      <c r="F565" s="132">
        <f t="shared" ref="F565:L565" si="98">SUM(F515:F564)</f>
        <v>0</v>
      </c>
      <c r="G565" s="132">
        <f t="shared" si="98"/>
        <v>0</v>
      </c>
      <c r="H565" s="132">
        <f t="shared" si="98"/>
        <v>0</v>
      </c>
      <c r="I565" s="132">
        <f t="shared" si="98"/>
        <v>0</v>
      </c>
      <c r="J565" s="132">
        <f t="shared" si="98"/>
        <v>0</v>
      </c>
      <c r="K565" s="132">
        <f t="shared" si="98"/>
        <v>0</v>
      </c>
      <c r="L565" s="133">
        <f t="shared" si="98"/>
        <v>0</v>
      </c>
    </row>
    <row r="566" spans="3:12" ht="16.2" hidden="1" thickBot="1">
      <c r="C566" s="39" t="str">
        <f t="shared" si="95"/>
        <v>H</v>
      </c>
      <c r="D566" s="46" t="s">
        <v>88</v>
      </c>
      <c r="E566" s="47"/>
      <c r="F566" s="50" t="str">
        <f t="shared" ref="F566:G566" si="99">IF(E565*F565=0, "", F565/E565-1)</f>
        <v/>
      </c>
      <c r="G566" s="50" t="str">
        <f t="shared" si="99"/>
        <v/>
      </c>
      <c r="H566" s="50" t="str">
        <f>IF(G565*H565=0, "", H565/G565-1)</f>
        <v/>
      </c>
      <c r="I566" s="50" t="str">
        <f t="shared" ref="I566:L566" si="100">IF(H565*I565=0, "", I565/H565-1)</f>
        <v/>
      </c>
      <c r="J566" s="50" t="str">
        <f t="shared" si="100"/>
        <v/>
      </c>
      <c r="K566" s="50" t="str">
        <f t="shared" si="100"/>
        <v/>
      </c>
      <c r="L566" s="51" t="str">
        <f t="shared" si="100"/>
        <v/>
      </c>
    </row>
    <row r="567" spans="3:12">
      <c r="C567"/>
    </row>
    <row r="568" spans="3:12" ht="14.4" thickBot="1">
      <c r="C568"/>
    </row>
    <row r="569" spans="3:12" ht="15" thickBot="1">
      <c r="C569"/>
      <c r="D569" s="52" t="s">
        <v>87</v>
      </c>
    </row>
    <row r="570" spans="3:12" ht="16.2" thickBot="1">
      <c r="C570"/>
      <c r="D570" s="40" t="s">
        <v>98</v>
      </c>
      <c r="E570" s="41" t="str">
        <f t="shared" ref="E570:L570" si="101">E10</f>
        <v>2022</v>
      </c>
      <c r="F570" s="42" t="str">
        <f t="shared" si="101"/>
        <v>2023</v>
      </c>
      <c r="G570" s="42" t="str">
        <f t="shared" si="101"/>
        <v>2024</v>
      </c>
      <c r="H570" s="42">
        <f t="shared" si="101"/>
        <v>2025</v>
      </c>
      <c r="I570" s="42" t="str">
        <f t="shared" si="101"/>
        <v>2026</v>
      </c>
      <c r="J570" s="42" t="str">
        <f t="shared" si="101"/>
        <v>2027</v>
      </c>
      <c r="K570" s="42" t="str">
        <f t="shared" si="101"/>
        <v>2028</v>
      </c>
      <c r="L570" s="43" t="str">
        <f t="shared" si="101"/>
        <v>2029</v>
      </c>
    </row>
    <row r="571" spans="3:12" ht="15.6">
      <c r="C571" s="39" t="str">
        <f>IF(SUM(E571:L571)=0, "H", "")</f>
        <v/>
      </c>
      <c r="D571" s="44" t="str">
        <f>Parameter!I8</f>
        <v>1x DLP</v>
      </c>
      <c r="E571" s="125">
        <f t="shared" ref="E571:L580" si="102">SUMIF(ARVR_Y_PC, "AR_"&amp;E$10&amp;"_"&amp;$D571, PanelQ)</f>
        <v>2.7520000000000001E-3</v>
      </c>
      <c r="F571" s="126">
        <f t="shared" si="102"/>
        <v>7.0399999999999998E-4</v>
      </c>
      <c r="G571" s="126">
        <f t="shared" si="102"/>
        <v>4.4000000000000002E-4</v>
      </c>
      <c r="H571" s="126">
        <f t="shared" si="102"/>
        <v>4.4000000000000002E-4</v>
      </c>
      <c r="I571" s="126">
        <f t="shared" si="102"/>
        <v>4.4000000000000002E-4</v>
      </c>
      <c r="J571" s="126">
        <f t="shared" si="102"/>
        <v>4.4000000000000002E-4</v>
      </c>
      <c r="K571" s="126">
        <f t="shared" si="102"/>
        <v>4.4000000000000002E-4</v>
      </c>
      <c r="L571" s="127">
        <f t="shared" si="102"/>
        <v>4.4000000000000002E-4</v>
      </c>
    </row>
    <row r="572" spans="3:12" ht="15.6">
      <c r="C572" s="39" t="str">
        <f t="shared" ref="C572:C580" si="103">IF(SUM(E572:L572)=0, "H", "")</f>
        <v/>
      </c>
      <c r="D572" s="44" t="str">
        <f>Parameter!I9</f>
        <v>1x LCoS</v>
      </c>
      <c r="E572" s="125">
        <f t="shared" si="102"/>
        <v>0</v>
      </c>
      <c r="F572" s="126">
        <f t="shared" si="102"/>
        <v>0</v>
      </c>
      <c r="G572" s="126">
        <f t="shared" si="102"/>
        <v>0</v>
      </c>
      <c r="H572" s="126">
        <f t="shared" si="102"/>
        <v>0.15500000000000003</v>
      </c>
      <c r="I572" s="126">
        <f t="shared" si="102"/>
        <v>0.24199999999999999</v>
      </c>
      <c r="J572" s="126">
        <f t="shared" si="102"/>
        <v>0.36849999999999994</v>
      </c>
      <c r="K572" s="126">
        <f t="shared" si="102"/>
        <v>0.495</v>
      </c>
      <c r="L572" s="127">
        <f t="shared" si="102"/>
        <v>0.88</v>
      </c>
    </row>
    <row r="573" spans="3:12" ht="15.6">
      <c r="C573" s="39" t="str">
        <f t="shared" si="103"/>
        <v/>
      </c>
      <c r="D573" s="45" t="str">
        <f>Parameter!I10</f>
        <v>1x Micro LCD</v>
      </c>
      <c r="E573" s="125">
        <f t="shared" si="102"/>
        <v>1.2652E-2</v>
      </c>
      <c r="F573" s="126">
        <f t="shared" si="102"/>
        <v>0</v>
      </c>
      <c r="G573" s="126">
        <f t="shared" si="102"/>
        <v>0</v>
      </c>
      <c r="H573" s="126">
        <f t="shared" si="102"/>
        <v>0</v>
      </c>
      <c r="I573" s="126">
        <f t="shared" si="102"/>
        <v>0</v>
      </c>
      <c r="J573" s="126">
        <f t="shared" si="102"/>
        <v>0</v>
      </c>
      <c r="K573" s="126">
        <f t="shared" si="102"/>
        <v>0</v>
      </c>
      <c r="L573" s="127">
        <f t="shared" si="102"/>
        <v>0</v>
      </c>
    </row>
    <row r="574" spans="3:12" ht="15.6">
      <c r="C574" s="39" t="str">
        <f t="shared" si="103"/>
        <v/>
      </c>
      <c r="D574" s="45" t="str">
        <f>Parameter!I11</f>
        <v>1x MicroLED</v>
      </c>
      <c r="E574" s="125">
        <f t="shared" si="102"/>
        <v>3.3039999999999996E-3</v>
      </c>
      <c r="F574" s="126">
        <f t="shared" si="102"/>
        <v>3.0469999999999997E-2</v>
      </c>
      <c r="G574" s="126">
        <f t="shared" si="102"/>
        <v>3.9539999999999999E-2</v>
      </c>
      <c r="H574" s="126">
        <f t="shared" si="102"/>
        <v>0.21130000000000002</v>
      </c>
      <c r="I574" s="126">
        <f t="shared" si="102"/>
        <v>0.20349999999999999</v>
      </c>
      <c r="J574" s="126">
        <f t="shared" si="102"/>
        <v>0.70400000000000007</v>
      </c>
      <c r="K574" s="126">
        <f t="shared" si="102"/>
        <v>1.0230000000000001</v>
      </c>
      <c r="L574" s="127">
        <f t="shared" si="102"/>
        <v>1.3529999999999998</v>
      </c>
    </row>
    <row r="575" spans="3:12" ht="15.6">
      <c r="C575" s="39" t="str">
        <f t="shared" si="103"/>
        <v/>
      </c>
      <c r="D575" s="45" t="str">
        <f>Parameter!I12</f>
        <v>2x LBS</v>
      </c>
      <c r="E575" s="125">
        <f t="shared" si="102"/>
        <v>3.0799999999999998E-2</v>
      </c>
      <c r="F575" s="126">
        <f t="shared" si="102"/>
        <v>0</v>
      </c>
      <c r="G575" s="126">
        <f t="shared" si="102"/>
        <v>0</v>
      </c>
      <c r="H575" s="126">
        <f t="shared" si="102"/>
        <v>0</v>
      </c>
      <c r="I575" s="126">
        <f t="shared" si="102"/>
        <v>0</v>
      </c>
      <c r="J575" s="126">
        <f t="shared" si="102"/>
        <v>0</v>
      </c>
      <c r="K575" s="126">
        <f t="shared" si="102"/>
        <v>0</v>
      </c>
      <c r="L575" s="127">
        <f t="shared" si="102"/>
        <v>0</v>
      </c>
    </row>
    <row r="576" spans="3:12" ht="15.6">
      <c r="C576" s="39" t="str">
        <f t="shared" si="103"/>
        <v/>
      </c>
      <c r="D576" s="45" t="str">
        <f>Parameter!I13</f>
        <v>2x LCoS</v>
      </c>
      <c r="E576" s="125">
        <f t="shared" si="102"/>
        <v>3.8500000000000006E-2</v>
      </c>
      <c r="F576" s="126">
        <f t="shared" si="102"/>
        <v>2.1164000000000002E-2</v>
      </c>
      <c r="G576" s="126">
        <f t="shared" si="102"/>
        <v>4.8400000000000006E-3</v>
      </c>
      <c r="H576" s="126">
        <f t="shared" si="102"/>
        <v>3.5199999999999995E-2</v>
      </c>
      <c r="I576" s="126">
        <f t="shared" si="102"/>
        <v>0.187</v>
      </c>
      <c r="J576" s="126">
        <f t="shared" si="102"/>
        <v>0.187</v>
      </c>
      <c r="K576" s="126">
        <f t="shared" si="102"/>
        <v>1.056</v>
      </c>
      <c r="L576" s="127">
        <f t="shared" si="102"/>
        <v>1.232</v>
      </c>
    </row>
    <row r="577" spans="3:12" ht="15.6">
      <c r="C577" s="39" t="str">
        <f t="shared" si="103"/>
        <v/>
      </c>
      <c r="D577" s="45" t="str">
        <f>Parameter!I14</f>
        <v>2x MicroLED</v>
      </c>
      <c r="E577" s="125">
        <f t="shared" si="102"/>
        <v>3.3000000000000004E-3</v>
      </c>
      <c r="F577" s="126">
        <f t="shared" si="102"/>
        <v>3.0590000000000003E-2</v>
      </c>
      <c r="G577" s="126">
        <f t="shared" si="102"/>
        <v>4.9373999999999994E-2</v>
      </c>
      <c r="H577" s="126">
        <f t="shared" si="102"/>
        <v>0.154</v>
      </c>
      <c r="I577" s="126">
        <f t="shared" si="102"/>
        <v>0.19359999999999999</v>
      </c>
      <c r="J577" s="126">
        <f t="shared" si="102"/>
        <v>0.30139999999999995</v>
      </c>
      <c r="K577" s="126">
        <f t="shared" si="102"/>
        <v>0.70399999999999996</v>
      </c>
      <c r="L577" s="127">
        <f t="shared" si="102"/>
        <v>1.232</v>
      </c>
    </row>
    <row r="578" spans="3:12" ht="16.2" thickBot="1">
      <c r="C578" s="39" t="str">
        <f t="shared" si="103"/>
        <v/>
      </c>
      <c r="D578" s="45" t="str">
        <f>Parameter!I15</f>
        <v>2x SiOLED</v>
      </c>
      <c r="E578" s="125">
        <f t="shared" si="102"/>
        <v>0.57310000000000005</v>
      </c>
      <c r="F578" s="126">
        <f t="shared" si="102"/>
        <v>0.91990799999999995</v>
      </c>
      <c r="G578" s="126">
        <f t="shared" si="102"/>
        <v>0.74805200000000016</v>
      </c>
      <c r="H578" s="126">
        <f t="shared" si="102"/>
        <v>1.3280000000000001</v>
      </c>
      <c r="I578" s="126">
        <f t="shared" si="102"/>
        <v>1.6500000000000001</v>
      </c>
      <c r="J578" s="126">
        <f t="shared" si="102"/>
        <v>2.1669999999999998</v>
      </c>
      <c r="K578" s="126">
        <f t="shared" si="102"/>
        <v>3.1240000000000001</v>
      </c>
      <c r="L578" s="127">
        <f t="shared" si="102"/>
        <v>4.4219999999999997</v>
      </c>
    </row>
    <row r="579" spans="3:12" ht="15.6" hidden="1">
      <c r="C579" s="39" t="str">
        <f t="shared" si="103"/>
        <v>H</v>
      </c>
      <c r="D579" s="45">
        <f>Parameter!I16</f>
        <v>0</v>
      </c>
      <c r="E579" s="125">
        <f t="shared" si="102"/>
        <v>0</v>
      </c>
      <c r="F579" s="126">
        <f t="shared" si="102"/>
        <v>0</v>
      </c>
      <c r="G579" s="126">
        <f t="shared" si="102"/>
        <v>0</v>
      </c>
      <c r="H579" s="126">
        <f t="shared" si="102"/>
        <v>0</v>
      </c>
      <c r="I579" s="126">
        <f t="shared" si="102"/>
        <v>0</v>
      </c>
      <c r="J579" s="126">
        <f t="shared" si="102"/>
        <v>0</v>
      </c>
      <c r="K579" s="126">
        <f t="shared" si="102"/>
        <v>0</v>
      </c>
      <c r="L579" s="127">
        <f t="shared" si="102"/>
        <v>0</v>
      </c>
    </row>
    <row r="580" spans="3:12" ht="16.2" hidden="1" thickBot="1">
      <c r="C580" s="39" t="str">
        <f t="shared" si="103"/>
        <v>H</v>
      </c>
      <c r="D580" s="45">
        <f>Parameter!I17</f>
        <v>0</v>
      </c>
      <c r="E580" s="125">
        <f t="shared" si="102"/>
        <v>0</v>
      </c>
      <c r="F580" s="126">
        <f t="shared" si="102"/>
        <v>0</v>
      </c>
      <c r="G580" s="126">
        <f t="shared" si="102"/>
        <v>0</v>
      </c>
      <c r="H580" s="126">
        <f t="shared" si="102"/>
        <v>0</v>
      </c>
      <c r="I580" s="126">
        <f t="shared" si="102"/>
        <v>0</v>
      </c>
      <c r="J580" s="126">
        <f t="shared" si="102"/>
        <v>0</v>
      </c>
      <c r="K580" s="126">
        <f t="shared" si="102"/>
        <v>0</v>
      </c>
      <c r="L580" s="127">
        <f t="shared" si="102"/>
        <v>0</v>
      </c>
    </row>
    <row r="581" spans="3:12" ht="15.6">
      <c r="C581"/>
      <c r="D581" s="54" t="s">
        <v>87</v>
      </c>
      <c r="E581" s="131">
        <f t="shared" ref="E581:L581" si="104">SUM(E571:E580)</f>
        <v>0.66440800000000011</v>
      </c>
      <c r="F581" s="132">
        <f t="shared" si="104"/>
        <v>1.0028359999999998</v>
      </c>
      <c r="G581" s="132">
        <f t="shared" si="104"/>
        <v>0.84224600000000016</v>
      </c>
      <c r="H581" s="132">
        <f t="shared" si="104"/>
        <v>1.8839400000000002</v>
      </c>
      <c r="I581" s="132">
        <f t="shared" si="104"/>
        <v>2.47654</v>
      </c>
      <c r="J581" s="132">
        <f t="shared" si="104"/>
        <v>3.7283399999999998</v>
      </c>
      <c r="K581" s="132">
        <f t="shared" si="104"/>
        <v>6.4024400000000004</v>
      </c>
      <c r="L581" s="133">
        <f t="shared" si="104"/>
        <v>9.1194400000000009</v>
      </c>
    </row>
    <row r="582" spans="3:12" ht="16.2" thickBot="1">
      <c r="C582"/>
      <c r="D582" s="46" t="s">
        <v>88</v>
      </c>
      <c r="E582" s="47"/>
      <c r="F582" s="50">
        <f t="shared" ref="F582:G582" si="105">IF(E581*F581=0, "", F581/E581-1)</f>
        <v>0.5093677378959911</v>
      </c>
      <c r="G582" s="50">
        <f t="shared" si="105"/>
        <v>-0.16013585471602509</v>
      </c>
      <c r="H582" s="50">
        <f>IF(G581*H581=0, "", H581/G581-1)</f>
        <v>1.23680492397708</v>
      </c>
      <c r="I582" s="50">
        <f t="shared" ref="I582:L582" si="106">IF(H581*I581=0, "", I581/H581-1)</f>
        <v>0.3145535420448633</v>
      </c>
      <c r="J582" s="50">
        <f t="shared" si="106"/>
        <v>0.5054632673003463</v>
      </c>
      <c r="K582" s="50">
        <f t="shared" si="106"/>
        <v>0.71723608898330116</v>
      </c>
      <c r="L582" s="51">
        <f t="shared" si="106"/>
        <v>0.4243694591437015</v>
      </c>
    </row>
    <row r="583" spans="3:12">
      <c r="C583"/>
    </row>
    <row r="584" spans="3:12">
      <c r="C584"/>
    </row>
    <row r="585" spans="3:12">
      <c r="C585"/>
    </row>
    <row r="586" spans="3:12">
      <c r="C586"/>
    </row>
    <row r="587" spans="3:12">
      <c r="C587"/>
    </row>
    <row r="588" spans="3:12">
      <c r="C588"/>
    </row>
    <row r="589" spans="3:12">
      <c r="C589"/>
    </row>
    <row r="590" spans="3:12">
      <c r="C590"/>
    </row>
    <row r="591" spans="3:12">
      <c r="C591"/>
    </row>
    <row r="592" spans="3:12">
      <c r="C592"/>
    </row>
    <row r="593" spans="3:3">
      <c r="C593"/>
    </row>
    <row r="594" spans="3:3">
      <c r="C594"/>
    </row>
    <row r="595" spans="3:3">
      <c r="C595"/>
    </row>
    <row r="596" spans="3:3">
      <c r="C596"/>
    </row>
    <row r="597" spans="3:3">
      <c r="C597"/>
    </row>
    <row r="598" spans="3:3">
      <c r="C598"/>
    </row>
    <row r="599" spans="3:3">
      <c r="C599"/>
    </row>
    <row r="600" spans="3:3">
      <c r="C600"/>
    </row>
    <row r="601" spans="3:3">
      <c r="C601"/>
    </row>
    <row r="602" spans="3:3">
      <c r="C602"/>
    </row>
    <row r="603" spans="3:3">
      <c r="C603"/>
    </row>
    <row r="604" spans="3:3">
      <c r="C604"/>
    </row>
    <row r="605" spans="3:3">
      <c r="C605"/>
    </row>
    <row r="606" spans="3:3">
      <c r="C606"/>
    </row>
    <row r="607" spans="3:3">
      <c r="C607"/>
    </row>
    <row r="608" spans="3:3">
      <c r="C608"/>
    </row>
    <row r="609" spans="3:3">
      <c r="C609"/>
    </row>
    <row r="610" spans="3:3">
      <c r="C610"/>
    </row>
    <row r="611" spans="3:3">
      <c r="C611"/>
    </row>
    <row r="612" spans="3:3">
      <c r="C612"/>
    </row>
    <row r="613" spans="3:3">
      <c r="C613"/>
    </row>
    <row r="614" spans="3:3">
      <c r="C614"/>
    </row>
    <row r="615" spans="3:3">
      <c r="C615"/>
    </row>
    <row r="616" spans="3:3">
      <c r="C616"/>
    </row>
    <row r="617" spans="3:3">
      <c r="C617"/>
    </row>
    <row r="618" spans="3:3">
      <c r="C618"/>
    </row>
    <row r="619" spans="3:3">
      <c r="C619"/>
    </row>
    <row r="620" spans="3:3">
      <c r="C620"/>
    </row>
    <row r="621" spans="3:3">
      <c r="C621"/>
    </row>
    <row r="622" spans="3:3">
      <c r="C622"/>
    </row>
    <row r="623" spans="3:3">
      <c r="C623"/>
    </row>
    <row r="624" spans="3:3">
      <c r="C624"/>
    </row>
    <row r="625" spans="3:3">
      <c r="C625"/>
    </row>
    <row r="626" spans="3:3">
      <c r="C626"/>
    </row>
    <row r="627" spans="3:3">
      <c r="C627"/>
    </row>
    <row r="628" spans="3:3">
      <c r="C628"/>
    </row>
    <row r="629" spans="3:3">
      <c r="C629"/>
    </row>
    <row r="630" spans="3:3">
      <c r="C630"/>
    </row>
    <row r="631" spans="3:3">
      <c r="C631"/>
    </row>
    <row r="632" spans="3:3">
      <c r="C632"/>
    </row>
    <row r="633" spans="3:3">
      <c r="C633"/>
    </row>
    <row r="634" spans="3:3">
      <c r="C634"/>
    </row>
    <row r="635" spans="3:3">
      <c r="C635"/>
    </row>
    <row r="636" spans="3:3">
      <c r="C636"/>
    </row>
    <row r="637" spans="3:3">
      <c r="C637"/>
    </row>
    <row r="638" spans="3:3">
      <c r="C638"/>
    </row>
    <row r="639" spans="3:3">
      <c r="C639"/>
    </row>
    <row r="640" spans="3:3">
      <c r="C640"/>
    </row>
    <row r="641" spans="3:3">
      <c r="C641"/>
    </row>
    <row r="642" spans="3:3">
      <c r="C642"/>
    </row>
    <row r="643" spans="3:3">
      <c r="C643"/>
    </row>
    <row r="644" spans="3:3">
      <c r="C644"/>
    </row>
    <row r="645" spans="3:3">
      <c r="C645"/>
    </row>
    <row r="646" spans="3:3">
      <c r="C646"/>
    </row>
    <row r="647" spans="3:3">
      <c r="C647"/>
    </row>
    <row r="648" spans="3:3">
      <c r="C648"/>
    </row>
    <row r="649" spans="3:3">
      <c r="C649"/>
    </row>
    <row r="650" spans="3:3">
      <c r="C650"/>
    </row>
    <row r="651" spans="3:3">
      <c r="C651"/>
    </row>
    <row r="652" spans="3:3">
      <c r="C652"/>
    </row>
    <row r="653" spans="3:3">
      <c r="C653"/>
    </row>
    <row r="654" spans="3:3">
      <c r="C654"/>
    </row>
    <row r="655" spans="3:3">
      <c r="C655"/>
    </row>
    <row r="656" spans="3:3">
      <c r="C656"/>
    </row>
    <row r="657" spans="3:3">
      <c r="C657"/>
    </row>
    <row r="658" spans="3:3">
      <c r="C658"/>
    </row>
    <row r="659" spans="3:3">
      <c r="C659"/>
    </row>
    <row r="660" spans="3:3">
      <c r="C660"/>
    </row>
    <row r="661" spans="3:3">
      <c r="C661"/>
    </row>
    <row r="662" spans="3:3">
      <c r="C662"/>
    </row>
    <row r="663" spans="3:3">
      <c r="C663"/>
    </row>
    <row r="664" spans="3:3">
      <c r="C664"/>
    </row>
    <row r="665" spans="3:3">
      <c r="C665"/>
    </row>
    <row r="666" spans="3:3">
      <c r="C666"/>
    </row>
    <row r="667" spans="3:3">
      <c r="C667"/>
    </row>
    <row r="668" spans="3:3">
      <c r="C668"/>
    </row>
    <row r="669" spans="3:3">
      <c r="C669"/>
    </row>
    <row r="670" spans="3:3">
      <c r="C670"/>
    </row>
    <row r="671" spans="3:3">
      <c r="C671"/>
    </row>
    <row r="672" spans="3:3">
      <c r="C672"/>
    </row>
    <row r="673" spans="3:3">
      <c r="C673"/>
    </row>
    <row r="674" spans="3:3">
      <c r="C674"/>
    </row>
    <row r="675" spans="3:3">
      <c r="C675"/>
    </row>
    <row r="676" spans="3:3">
      <c r="C676"/>
    </row>
    <row r="677" spans="3:3">
      <c r="C677"/>
    </row>
    <row r="678" spans="3:3">
      <c r="C678"/>
    </row>
    <row r="679" spans="3:3">
      <c r="C679"/>
    </row>
    <row r="680" spans="3:3">
      <c r="C680"/>
    </row>
    <row r="681" spans="3:3">
      <c r="C681"/>
    </row>
    <row r="682" spans="3:3">
      <c r="C682"/>
    </row>
    <row r="683" spans="3:3">
      <c r="C683"/>
    </row>
    <row r="684" spans="3:3">
      <c r="C684"/>
    </row>
    <row r="685" spans="3:3">
      <c r="C685"/>
    </row>
    <row r="686" spans="3:3">
      <c r="C686"/>
    </row>
    <row r="687" spans="3:3">
      <c r="C687"/>
    </row>
    <row r="688" spans="3:3">
      <c r="C688"/>
    </row>
    <row r="689" spans="3:3">
      <c r="C689"/>
    </row>
    <row r="690" spans="3:3">
      <c r="C690"/>
    </row>
    <row r="691" spans="3:3">
      <c r="C691"/>
    </row>
    <row r="692" spans="3:3">
      <c r="C692"/>
    </row>
    <row r="693" spans="3:3">
      <c r="C693"/>
    </row>
    <row r="694" spans="3:3">
      <c r="C694"/>
    </row>
    <row r="695" spans="3:3">
      <c r="C695"/>
    </row>
    <row r="696" spans="3:3">
      <c r="C696"/>
    </row>
    <row r="697" spans="3:3">
      <c r="C697"/>
    </row>
    <row r="698" spans="3:3">
      <c r="C698"/>
    </row>
    <row r="699" spans="3:3">
      <c r="C699"/>
    </row>
    <row r="700" spans="3:3">
      <c r="C700"/>
    </row>
    <row r="701" spans="3:3">
      <c r="C701"/>
    </row>
    <row r="702" spans="3:3">
      <c r="C702"/>
    </row>
    <row r="703" spans="3:3">
      <c r="C703"/>
    </row>
    <row r="704" spans="3:3">
      <c r="C704"/>
    </row>
    <row r="705" spans="3:3">
      <c r="C705"/>
    </row>
    <row r="706" spans="3:3">
      <c r="C706"/>
    </row>
    <row r="707" spans="3:3">
      <c r="C707"/>
    </row>
    <row r="708" spans="3:3">
      <c r="C708"/>
    </row>
    <row r="709" spans="3:3">
      <c r="C709"/>
    </row>
    <row r="710" spans="3:3">
      <c r="C710"/>
    </row>
    <row r="711" spans="3:3">
      <c r="C711"/>
    </row>
    <row r="712" spans="3:3">
      <c r="C712"/>
    </row>
    <row r="713" spans="3:3">
      <c r="C713"/>
    </row>
    <row r="714" spans="3:3">
      <c r="C714"/>
    </row>
    <row r="715" spans="3:3">
      <c r="C715"/>
    </row>
    <row r="716" spans="3:3">
      <c r="C716"/>
    </row>
    <row r="717" spans="3:3">
      <c r="C717"/>
    </row>
    <row r="718" spans="3:3">
      <c r="C718"/>
    </row>
    <row r="719" spans="3:3">
      <c r="C719"/>
    </row>
    <row r="720" spans="3:3">
      <c r="C720"/>
    </row>
    <row r="721" spans="3:3">
      <c r="C721"/>
    </row>
    <row r="722" spans="3:3">
      <c r="C722"/>
    </row>
    <row r="723" spans="3:3">
      <c r="C723"/>
    </row>
    <row r="724" spans="3:3">
      <c r="C724"/>
    </row>
    <row r="725" spans="3:3">
      <c r="C725"/>
    </row>
    <row r="726" spans="3:3">
      <c r="C726"/>
    </row>
    <row r="727" spans="3:3">
      <c r="C727"/>
    </row>
    <row r="728" spans="3:3">
      <c r="C728"/>
    </row>
    <row r="729" spans="3:3">
      <c r="C729"/>
    </row>
    <row r="730" spans="3:3">
      <c r="C730"/>
    </row>
    <row r="731" spans="3:3">
      <c r="C731"/>
    </row>
    <row r="732" spans="3:3">
      <c r="C732"/>
    </row>
    <row r="733" spans="3:3">
      <c r="C733"/>
    </row>
    <row r="734" spans="3:3">
      <c r="C734"/>
    </row>
    <row r="735" spans="3:3">
      <c r="C735"/>
    </row>
    <row r="736" spans="3:3">
      <c r="C736"/>
    </row>
    <row r="737" spans="3:3">
      <c r="C737"/>
    </row>
    <row r="738" spans="3:3">
      <c r="C738"/>
    </row>
    <row r="739" spans="3:3">
      <c r="C739"/>
    </row>
    <row r="740" spans="3:3">
      <c r="C740"/>
    </row>
    <row r="741" spans="3:3">
      <c r="C741"/>
    </row>
    <row r="742" spans="3:3">
      <c r="C742"/>
    </row>
    <row r="743" spans="3:3">
      <c r="C743"/>
    </row>
    <row r="744" spans="3:3">
      <c r="C744"/>
    </row>
    <row r="745" spans="3:3">
      <c r="C745"/>
    </row>
    <row r="746" spans="3:3">
      <c r="C746"/>
    </row>
    <row r="747" spans="3:3">
      <c r="C747"/>
    </row>
    <row r="748" spans="3:3">
      <c r="C748"/>
    </row>
    <row r="749" spans="3:3">
      <c r="C749"/>
    </row>
    <row r="750" spans="3:3">
      <c r="C750"/>
    </row>
    <row r="751" spans="3:3">
      <c r="C751"/>
    </row>
    <row r="752" spans="3:3">
      <c r="C752"/>
    </row>
    <row r="753" spans="3:3">
      <c r="C753"/>
    </row>
    <row r="754" spans="3:3">
      <c r="C754"/>
    </row>
    <row r="755" spans="3:3">
      <c r="C755"/>
    </row>
    <row r="756" spans="3:3">
      <c r="C756"/>
    </row>
    <row r="757" spans="3:3">
      <c r="C757"/>
    </row>
    <row r="758" spans="3:3">
      <c r="C758"/>
    </row>
    <row r="759" spans="3:3">
      <c r="C759"/>
    </row>
    <row r="760" spans="3:3">
      <c r="C760"/>
    </row>
    <row r="761" spans="3:3">
      <c r="C761"/>
    </row>
    <row r="762" spans="3:3">
      <c r="C762"/>
    </row>
    <row r="763" spans="3:3">
      <c r="C763"/>
    </row>
    <row r="764" spans="3:3">
      <c r="C764"/>
    </row>
    <row r="765" spans="3:3">
      <c r="C765"/>
    </row>
    <row r="766" spans="3:3">
      <c r="C766"/>
    </row>
    <row r="767" spans="3:3">
      <c r="C767"/>
    </row>
    <row r="768" spans="3:3">
      <c r="C768"/>
    </row>
    <row r="769" spans="3:3">
      <c r="C769"/>
    </row>
    <row r="770" spans="3:3">
      <c r="C770"/>
    </row>
    <row r="771" spans="3:3">
      <c r="C771"/>
    </row>
    <row r="772" spans="3:3">
      <c r="C772"/>
    </row>
    <row r="773" spans="3:3">
      <c r="C773"/>
    </row>
    <row r="774" spans="3:3">
      <c r="C774"/>
    </row>
    <row r="775" spans="3:3">
      <c r="C775"/>
    </row>
    <row r="776" spans="3:3">
      <c r="C776"/>
    </row>
    <row r="777" spans="3:3">
      <c r="C777"/>
    </row>
    <row r="778" spans="3:3">
      <c r="C778"/>
    </row>
    <row r="779" spans="3:3">
      <c r="C779"/>
    </row>
    <row r="780" spans="3:3">
      <c r="C780"/>
    </row>
    <row r="781" spans="3:3">
      <c r="C781"/>
    </row>
    <row r="782" spans="3:3">
      <c r="C782"/>
    </row>
    <row r="783" spans="3:3">
      <c r="C783"/>
    </row>
    <row r="784" spans="3:3">
      <c r="C784"/>
    </row>
    <row r="785" spans="3:3">
      <c r="C785"/>
    </row>
    <row r="786" spans="3:3">
      <c r="C786"/>
    </row>
    <row r="787" spans="3:3">
      <c r="C787"/>
    </row>
    <row r="788" spans="3:3">
      <c r="C788"/>
    </row>
    <row r="789" spans="3:3">
      <c r="C789"/>
    </row>
    <row r="790" spans="3:3">
      <c r="C790"/>
    </row>
    <row r="791" spans="3:3">
      <c r="C791"/>
    </row>
    <row r="792" spans="3:3">
      <c r="C792"/>
    </row>
    <row r="793" spans="3:3">
      <c r="C793"/>
    </row>
    <row r="794" spans="3:3">
      <c r="C794"/>
    </row>
    <row r="795" spans="3:3">
      <c r="C795"/>
    </row>
    <row r="796" spans="3:3">
      <c r="C796"/>
    </row>
    <row r="797" spans="3:3">
      <c r="C797"/>
    </row>
    <row r="798" spans="3:3">
      <c r="C798"/>
    </row>
    <row r="799" spans="3:3">
      <c r="C799"/>
    </row>
    <row r="800" spans="3:3">
      <c r="C800"/>
    </row>
    <row r="801" spans="3:3">
      <c r="C801"/>
    </row>
    <row r="802" spans="3:3">
      <c r="C802"/>
    </row>
    <row r="803" spans="3:3">
      <c r="C803"/>
    </row>
    <row r="804" spans="3:3">
      <c r="C804"/>
    </row>
    <row r="805" spans="3:3">
      <c r="C805"/>
    </row>
    <row r="806" spans="3:3">
      <c r="C806"/>
    </row>
    <row r="807" spans="3:3">
      <c r="C807"/>
    </row>
    <row r="808" spans="3:3">
      <c r="C808"/>
    </row>
    <row r="809" spans="3:3">
      <c r="C809"/>
    </row>
    <row r="810" spans="3:3">
      <c r="C810"/>
    </row>
    <row r="811" spans="3:3">
      <c r="C811"/>
    </row>
    <row r="812" spans="3:3">
      <c r="C812"/>
    </row>
    <row r="813" spans="3:3">
      <c r="C813"/>
    </row>
    <row r="814" spans="3:3">
      <c r="C814"/>
    </row>
    <row r="815" spans="3:3">
      <c r="C815"/>
    </row>
    <row r="816" spans="3:3">
      <c r="C816"/>
    </row>
    <row r="817" spans="3:3">
      <c r="C817"/>
    </row>
    <row r="818" spans="3:3">
      <c r="C818"/>
    </row>
    <row r="819" spans="3:3">
      <c r="C819"/>
    </row>
    <row r="820" spans="3:3">
      <c r="C820"/>
    </row>
    <row r="821" spans="3:3">
      <c r="C821"/>
    </row>
    <row r="822" spans="3:3">
      <c r="C822"/>
    </row>
    <row r="823" spans="3:3">
      <c r="C823"/>
    </row>
    <row r="824" spans="3:3">
      <c r="C824"/>
    </row>
    <row r="825" spans="3:3">
      <c r="C825"/>
    </row>
    <row r="826" spans="3:3">
      <c r="C826"/>
    </row>
    <row r="827" spans="3:3">
      <c r="C827"/>
    </row>
    <row r="828" spans="3:3">
      <c r="C828"/>
    </row>
    <row r="829" spans="3:3">
      <c r="C829"/>
    </row>
    <row r="830" spans="3:3">
      <c r="C830"/>
    </row>
    <row r="831" spans="3:3">
      <c r="C831"/>
    </row>
    <row r="832" spans="3:3">
      <c r="C832"/>
    </row>
    <row r="833" spans="3:3">
      <c r="C833"/>
    </row>
    <row r="834" spans="3:3">
      <c r="C834"/>
    </row>
    <row r="835" spans="3:3">
      <c r="C835"/>
    </row>
    <row r="836" spans="3:3">
      <c r="C836"/>
    </row>
    <row r="837" spans="3:3">
      <c r="C837"/>
    </row>
    <row r="838" spans="3:3">
      <c r="C838"/>
    </row>
    <row r="839" spans="3:3">
      <c r="C839"/>
    </row>
    <row r="840" spans="3:3">
      <c r="C840"/>
    </row>
    <row r="841" spans="3:3">
      <c r="C841"/>
    </row>
    <row r="842" spans="3:3">
      <c r="C842"/>
    </row>
    <row r="843" spans="3:3">
      <c r="C843"/>
    </row>
    <row r="844" spans="3:3">
      <c r="C844"/>
    </row>
    <row r="845" spans="3:3">
      <c r="C845"/>
    </row>
    <row r="846" spans="3:3">
      <c r="C846"/>
    </row>
    <row r="847" spans="3:3">
      <c r="C847"/>
    </row>
    <row r="848" spans="3:3">
      <c r="C848"/>
    </row>
    <row r="849" spans="3:3">
      <c r="C849"/>
    </row>
    <row r="850" spans="3:3">
      <c r="C850"/>
    </row>
    <row r="851" spans="3:3">
      <c r="C851"/>
    </row>
    <row r="852" spans="3:3">
      <c r="C852"/>
    </row>
    <row r="853" spans="3:3">
      <c r="C853"/>
    </row>
    <row r="854" spans="3:3">
      <c r="C854"/>
    </row>
    <row r="855" spans="3:3">
      <c r="C855"/>
    </row>
    <row r="856" spans="3:3">
      <c r="C856"/>
    </row>
    <row r="857" spans="3:3">
      <c r="C857"/>
    </row>
    <row r="858" spans="3:3">
      <c r="C858"/>
    </row>
    <row r="859" spans="3:3">
      <c r="C859"/>
    </row>
    <row r="860" spans="3:3">
      <c r="C860"/>
    </row>
    <row r="861" spans="3:3">
      <c r="C861"/>
    </row>
    <row r="862" spans="3:3">
      <c r="C862"/>
    </row>
    <row r="863" spans="3:3">
      <c r="C863"/>
    </row>
    <row r="864" spans="3:3">
      <c r="C864"/>
    </row>
    <row r="865" spans="3:3">
      <c r="C865"/>
    </row>
    <row r="866" spans="3:3">
      <c r="C866"/>
    </row>
    <row r="867" spans="3:3">
      <c r="C867"/>
    </row>
    <row r="868" spans="3:3">
      <c r="C868"/>
    </row>
    <row r="869" spans="3:3">
      <c r="C869"/>
    </row>
    <row r="870" spans="3:3">
      <c r="C870"/>
    </row>
    <row r="871" spans="3:3">
      <c r="C871"/>
    </row>
    <row r="872" spans="3:3">
      <c r="C872"/>
    </row>
    <row r="873" spans="3:3">
      <c r="C873"/>
    </row>
    <row r="874" spans="3:3">
      <c r="C874"/>
    </row>
    <row r="875" spans="3:3">
      <c r="C875"/>
    </row>
    <row r="876" spans="3:3">
      <c r="C876"/>
    </row>
    <row r="877" spans="3:3">
      <c r="C877"/>
    </row>
    <row r="878" spans="3:3">
      <c r="C878"/>
    </row>
    <row r="879" spans="3:3">
      <c r="C879"/>
    </row>
    <row r="880" spans="3:3">
      <c r="C880"/>
    </row>
    <row r="881" spans="3:3">
      <c r="C881"/>
    </row>
    <row r="882" spans="3:3">
      <c r="C882"/>
    </row>
    <row r="883" spans="3:3">
      <c r="C883"/>
    </row>
    <row r="884" spans="3:3">
      <c r="C884"/>
    </row>
    <row r="885" spans="3:3">
      <c r="C885"/>
    </row>
    <row r="886" spans="3:3">
      <c r="C886"/>
    </row>
    <row r="887" spans="3:3">
      <c r="C887"/>
    </row>
    <row r="888" spans="3:3">
      <c r="C888"/>
    </row>
    <row r="889" spans="3:3">
      <c r="C889"/>
    </row>
    <row r="890" spans="3:3">
      <c r="C890"/>
    </row>
    <row r="891" spans="3:3">
      <c r="C891"/>
    </row>
    <row r="892" spans="3:3">
      <c r="C892"/>
    </row>
    <row r="893" spans="3:3">
      <c r="C893"/>
    </row>
    <row r="894" spans="3:3">
      <c r="C894"/>
    </row>
    <row r="895" spans="3:3">
      <c r="C895"/>
    </row>
    <row r="896" spans="3:3">
      <c r="C896"/>
    </row>
    <row r="897" spans="3:3">
      <c r="C897"/>
    </row>
    <row r="898" spans="3:3">
      <c r="C898"/>
    </row>
    <row r="899" spans="3:3">
      <c r="C899"/>
    </row>
    <row r="900" spans="3:3">
      <c r="C900"/>
    </row>
    <row r="901" spans="3:3">
      <c r="C901"/>
    </row>
    <row r="902" spans="3:3">
      <c r="C902"/>
    </row>
    <row r="903" spans="3:3">
      <c r="C903"/>
    </row>
    <row r="904" spans="3:3">
      <c r="C904"/>
    </row>
    <row r="905" spans="3:3">
      <c r="C905"/>
    </row>
    <row r="906" spans="3:3">
      <c r="C906"/>
    </row>
    <row r="907" spans="3:3">
      <c r="C907"/>
    </row>
    <row r="908" spans="3:3">
      <c r="C908"/>
    </row>
    <row r="909" spans="3:3">
      <c r="C909"/>
    </row>
    <row r="910" spans="3:3">
      <c r="C910"/>
    </row>
    <row r="911" spans="3:3">
      <c r="C911"/>
    </row>
    <row r="912" spans="3:3">
      <c r="C912"/>
    </row>
    <row r="913" spans="3:3">
      <c r="C913"/>
    </row>
    <row r="914" spans="3:3">
      <c r="C914"/>
    </row>
    <row r="915" spans="3:3">
      <c r="C915"/>
    </row>
    <row r="916" spans="3:3">
      <c r="C916"/>
    </row>
    <row r="917" spans="3:3">
      <c r="C917"/>
    </row>
    <row r="918" spans="3:3">
      <c r="C918"/>
    </row>
    <row r="919" spans="3:3">
      <c r="C919"/>
    </row>
    <row r="920" spans="3:3">
      <c r="C920"/>
    </row>
    <row r="921" spans="3:3">
      <c r="C921"/>
    </row>
    <row r="922" spans="3:3">
      <c r="C922"/>
    </row>
    <row r="923" spans="3:3">
      <c r="C923"/>
    </row>
    <row r="924" spans="3:3">
      <c r="C924"/>
    </row>
    <row r="925" spans="3:3">
      <c r="C925"/>
    </row>
    <row r="926" spans="3:3">
      <c r="C926"/>
    </row>
    <row r="927" spans="3:3">
      <c r="C927"/>
    </row>
    <row r="928" spans="3:3">
      <c r="C928"/>
    </row>
    <row r="929" spans="3:3">
      <c r="C929"/>
    </row>
    <row r="930" spans="3:3">
      <c r="C930"/>
    </row>
    <row r="931" spans="3:3">
      <c r="C931"/>
    </row>
    <row r="932" spans="3:3">
      <c r="C932"/>
    </row>
    <row r="933" spans="3:3">
      <c r="C933"/>
    </row>
    <row r="934" spans="3:3">
      <c r="C934"/>
    </row>
    <row r="935" spans="3:3">
      <c r="C935"/>
    </row>
    <row r="936" spans="3:3">
      <c r="C936"/>
    </row>
    <row r="937" spans="3:3">
      <c r="C937"/>
    </row>
    <row r="938" spans="3:3">
      <c r="C938"/>
    </row>
    <row r="939" spans="3:3">
      <c r="C939"/>
    </row>
    <row r="940" spans="3:3">
      <c r="C940"/>
    </row>
    <row r="941" spans="3:3">
      <c r="C941"/>
    </row>
    <row r="942" spans="3:3">
      <c r="C942"/>
    </row>
    <row r="943" spans="3:3">
      <c r="C943"/>
    </row>
    <row r="944" spans="3:3">
      <c r="C944"/>
    </row>
    <row r="945" spans="3:3">
      <c r="C945"/>
    </row>
    <row r="946" spans="3:3">
      <c r="C946"/>
    </row>
    <row r="947" spans="3:3">
      <c r="C947"/>
    </row>
    <row r="948" spans="3:3">
      <c r="C948"/>
    </row>
    <row r="949" spans="3:3">
      <c r="C949"/>
    </row>
    <row r="950" spans="3:3">
      <c r="C950"/>
    </row>
    <row r="951" spans="3:3">
      <c r="C951"/>
    </row>
    <row r="952" spans="3:3">
      <c r="C952"/>
    </row>
    <row r="953" spans="3:3">
      <c r="C953"/>
    </row>
    <row r="954" spans="3:3">
      <c r="C954"/>
    </row>
    <row r="955" spans="3:3">
      <c r="C955"/>
    </row>
    <row r="956" spans="3:3">
      <c r="C956"/>
    </row>
    <row r="957" spans="3:3">
      <c r="C957"/>
    </row>
    <row r="958" spans="3:3">
      <c r="C958"/>
    </row>
    <row r="959" spans="3:3">
      <c r="C959"/>
    </row>
    <row r="960" spans="3:3">
      <c r="C960"/>
    </row>
    <row r="961" spans="3:3">
      <c r="C961"/>
    </row>
    <row r="962" spans="3:3">
      <c r="C962"/>
    </row>
    <row r="963" spans="3:3">
      <c r="C963"/>
    </row>
    <row r="964" spans="3:3">
      <c r="C964"/>
    </row>
    <row r="965" spans="3:3">
      <c r="C965"/>
    </row>
    <row r="966" spans="3:3">
      <c r="C966"/>
    </row>
    <row r="967" spans="3:3">
      <c r="C967"/>
    </row>
    <row r="968" spans="3:3">
      <c r="C968"/>
    </row>
    <row r="969" spans="3:3">
      <c r="C969"/>
    </row>
    <row r="970" spans="3:3">
      <c r="C970"/>
    </row>
    <row r="971" spans="3:3">
      <c r="C971"/>
    </row>
    <row r="972" spans="3:3">
      <c r="C972"/>
    </row>
    <row r="973" spans="3:3">
      <c r="C973"/>
    </row>
    <row r="974" spans="3:3">
      <c r="C974"/>
    </row>
    <row r="975" spans="3:3">
      <c r="C975"/>
    </row>
    <row r="976" spans="3:3">
      <c r="C976"/>
    </row>
    <row r="977" spans="3:3">
      <c r="C977"/>
    </row>
    <row r="978" spans="3:3">
      <c r="C978"/>
    </row>
    <row r="979" spans="3:3">
      <c r="C979"/>
    </row>
    <row r="980" spans="3:3">
      <c r="C980"/>
    </row>
    <row r="981" spans="3:3">
      <c r="C981"/>
    </row>
    <row r="982" spans="3:3">
      <c r="C982"/>
    </row>
    <row r="983" spans="3:3">
      <c r="C983"/>
    </row>
    <row r="984" spans="3:3">
      <c r="C984"/>
    </row>
    <row r="985" spans="3:3">
      <c r="C985"/>
    </row>
    <row r="986" spans="3:3">
      <c r="C986"/>
    </row>
    <row r="987" spans="3:3">
      <c r="C987"/>
    </row>
    <row r="988" spans="3:3">
      <c r="C988"/>
    </row>
    <row r="989" spans="3:3">
      <c r="C989"/>
    </row>
    <row r="990" spans="3:3">
      <c r="C990"/>
    </row>
    <row r="991" spans="3:3">
      <c r="C991"/>
    </row>
    <row r="992" spans="3:3">
      <c r="C992"/>
    </row>
    <row r="993" spans="3:3">
      <c r="C993"/>
    </row>
    <row r="994" spans="3:3">
      <c r="C994"/>
    </row>
    <row r="995" spans="3:3">
      <c r="C995"/>
    </row>
    <row r="996" spans="3:3">
      <c r="C996"/>
    </row>
    <row r="997" spans="3:3">
      <c r="C997"/>
    </row>
    <row r="998" spans="3:3">
      <c r="C998"/>
    </row>
    <row r="999" spans="3:3">
      <c r="C999"/>
    </row>
    <row r="1000" spans="3:3">
      <c r="C1000"/>
    </row>
    <row r="1001" spans="3:3">
      <c r="C1001"/>
    </row>
    <row r="1002" spans="3:3">
      <c r="C1002"/>
    </row>
    <row r="1003" spans="3:3">
      <c r="C1003"/>
    </row>
    <row r="1004" spans="3:3">
      <c r="C1004"/>
    </row>
    <row r="1005" spans="3:3">
      <c r="C1005"/>
    </row>
    <row r="1006" spans="3:3">
      <c r="C1006"/>
    </row>
    <row r="1007" spans="3:3">
      <c r="C1007"/>
    </row>
    <row r="1008" spans="3:3">
      <c r="C1008"/>
    </row>
    <row r="1009" spans="3:3">
      <c r="C1009"/>
    </row>
    <row r="1010" spans="3:3">
      <c r="C1010"/>
    </row>
    <row r="1011" spans="3:3">
      <c r="C1011"/>
    </row>
    <row r="1012" spans="3:3">
      <c r="C1012"/>
    </row>
    <row r="1013" spans="3:3">
      <c r="C1013"/>
    </row>
    <row r="1014" spans="3:3">
      <c r="C1014"/>
    </row>
    <row r="1015" spans="3:3">
      <c r="C1015"/>
    </row>
    <row r="1016" spans="3:3">
      <c r="C1016"/>
    </row>
    <row r="1017" spans="3:3">
      <c r="C1017"/>
    </row>
    <row r="1018" spans="3:3">
      <c r="C1018"/>
    </row>
    <row r="1019" spans="3:3">
      <c r="C1019"/>
    </row>
    <row r="1020" spans="3:3">
      <c r="C1020"/>
    </row>
    <row r="1021" spans="3:3">
      <c r="C1021"/>
    </row>
    <row r="1022" spans="3:3">
      <c r="C1022"/>
    </row>
    <row r="1023" spans="3:3">
      <c r="C1023"/>
    </row>
    <row r="1024" spans="3:3">
      <c r="C1024"/>
    </row>
    <row r="1025" spans="3:3">
      <c r="C1025"/>
    </row>
    <row r="1026" spans="3:3">
      <c r="C1026"/>
    </row>
    <row r="1027" spans="3:3">
      <c r="C1027"/>
    </row>
    <row r="1028" spans="3:3">
      <c r="C1028"/>
    </row>
    <row r="1029" spans="3:3">
      <c r="C1029"/>
    </row>
    <row r="1030" spans="3:3">
      <c r="C1030"/>
    </row>
    <row r="1031" spans="3:3">
      <c r="C1031"/>
    </row>
    <row r="1032" spans="3:3">
      <c r="C1032"/>
    </row>
    <row r="1033" spans="3:3">
      <c r="C1033"/>
    </row>
    <row r="1034" spans="3:3">
      <c r="C1034"/>
    </row>
    <row r="1035" spans="3:3">
      <c r="C1035"/>
    </row>
    <row r="1036" spans="3:3">
      <c r="C1036"/>
    </row>
    <row r="1037" spans="3:3">
      <c r="C1037"/>
    </row>
    <row r="1038" spans="3:3">
      <c r="C1038"/>
    </row>
    <row r="1039" spans="3:3">
      <c r="C1039"/>
    </row>
    <row r="1040" spans="3:3">
      <c r="C1040"/>
    </row>
    <row r="1041" spans="3:3">
      <c r="C1041"/>
    </row>
    <row r="1042" spans="3:3">
      <c r="C1042"/>
    </row>
    <row r="1043" spans="3:3">
      <c r="C1043"/>
    </row>
    <row r="1044" spans="3:3">
      <c r="C1044"/>
    </row>
    <row r="1045" spans="3:3">
      <c r="C1045"/>
    </row>
    <row r="1046" spans="3:3">
      <c r="C1046"/>
    </row>
    <row r="1047" spans="3:3">
      <c r="C1047"/>
    </row>
    <row r="1048" spans="3:3">
      <c r="C1048"/>
    </row>
    <row r="1049" spans="3:3">
      <c r="C1049"/>
    </row>
    <row r="1050" spans="3:3">
      <c r="C1050"/>
    </row>
    <row r="1051" spans="3:3">
      <c r="C1051"/>
    </row>
    <row r="1052" spans="3:3">
      <c r="C1052"/>
    </row>
    <row r="1053" spans="3:3">
      <c r="C1053"/>
    </row>
    <row r="1054" spans="3:3">
      <c r="C1054"/>
    </row>
    <row r="1055" spans="3:3">
      <c r="C1055"/>
    </row>
    <row r="1056" spans="3:3">
      <c r="C1056"/>
    </row>
    <row r="1057" spans="3:3">
      <c r="C1057"/>
    </row>
    <row r="1058" spans="3:3">
      <c r="C1058"/>
    </row>
    <row r="1059" spans="3:3">
      <c r="C1059"/>
    </row>
    <row r="1060" spans="3:3">
      <c r="C1060"/>
    </row>
    <row r="1061" spans="3:3">
      <c r="C1061"/>
    </row>
    <row r="1062" spans="3:3">
      <c r="C1062"/>
    </row>
    <row r="1063" spans="3:3">
      <c r="C1063"/>
    </row>
    <row r="1064" spans="3:3">
      <c r="C1064"/>
    </row>
    <row r="1065" spans="3:3">
      <c r="C1065"/>
    </row>
    <row r="1066" spans="3:3">
      <c r="C1066"/>
    </row>
    <row r="1067" spans="3:3">
      <c r="C1067"/>
    </row>
    <row r="1068" spans="3:3">
      <c r="C1068"/>
    </row>
    <row r="1069" spans="3:3">
      <c r="C1069"/>
    </row>
    <row r="1070" spans="3:3">
      <c r="C1070"/>
    </row>
    <row r="1071" spans="3:3">
      <c r="C1071"/>
    </row>
    <row r="1072" spans="3:3">
      <c r="C1072"/>
    </row>
    <row r="1073" spans="3:3">
      <c r="C1073"/>
    </row>
    <row r="1074" spans="3:3">
      <c r="C1074"/>
    </row>
    <row r="1075" spans="3:3">
      <c r="C1075"/>
    </row>
    <row r="1076" spans="3:3">
      <c r="C1076"/>
    </row>
    <row r="1077" spans="3:3">
      <c r="C1077"/>
    </row>
    <row r="1078" spans="3:3">
      <c r="C1078"/>
    </row>
    <row r="1079" spans="3:3">
      <c r="C1079"/>
    </row>
    <row r="1080" spans="3:3">
      <c r="C1080"/>
    </row>
    <row r="1081" spans="3:3">
      <c r="C1081"/>
    </row>
    <row r="1082" spans="3:3">
      <c r="C1082"/>
    </row>
    <row r="1083" spans="3:3">
      <c r="C1083"/>
    </row>
    <row r="1084" spans="3:3">
      <c r="C1084"/>
    </row>
    <row r="1085" spans="3:3">
      <c r="C1085"/>
    </row>
    <row r="1086" spans="3:3">
      <c r="C1086"/>
    </row>
    <row r="1087" spans="3:3">
      <c r="C1087"/>
    </row>
    <row r="1088" spans="3:3">
      <c r="C1088"/>
    </row>
    <row r="1089" spans="3:3">
      <c r="C1089"/>
    </row>
    <row r="1090" spans="3:3">
      <c r="C1090"/>
    </row>
    <row r="1091" spans="3:3">
      <c r="C1091"/>
    </row>
    <row r="1092" spans="3:3">
      <c r="C1092"/>
    </row>
    <row r="1093" spans="3:3">
      <c r="C1093"/>
    </row>
    <row r="1094" spans="3:3">
      <c r="C1094"/>
    </row>
    <row r="1095" spans="3:3">
      <c r="C1095"/>
    </row>
    <row r="1096" spans="3:3">
      <c r="C1096"/>
    </row>
    <row r="1097" spans="3:3">
      <c r="C1097"/>
    </row>
    <row r="1098" spans="3:3">
      <c r="C1098"/>
    </row>
    <row r="1099" spans="3:3">
      <c r="C1099"/>
    </row>
    <row r="1100" spans="3:3">
      <c r="C1100"/>
    </row>
    <row r="1101" spans="3:3">
      <c r="C1101"/>
    </row>
    <row r="1102" spans="3:3">
      <c r="C1102"/>
    </row>
    <row r="1103" spans="3:3">
      <c r="C1103"/>
    </row>
    <row r="1104" spans="3:3">
      <c r="C1104"/>
    </row>
    <row r="1105" spans="3:3">
      <c r="C1105"/>
    </row>
    <row r="1106" spans="3:3">
      <c r="C1106"/>
    </row>
    <row r="1107" spans="3:3">
      <c r="C1107"/>
    </row>
    <row r="1108" spans="3:3">
      <c r="C1108"/>
    </row>
    <row r="1109" spans="3:3">
      <c r="C1109"/>
    </row>
    <row r="1110" spans="3:3">
      <c r="C1110"/>
    </row>
    <row r="1111" spans="3:3">
      <c r="C1111"/>
    </row>
    <row r="1112" spans="3:3">
      <c r="C1112"/>
    </row>
    <row r="1113" spans="3:3">
      <c r="C1113"/>
    </row>
    <row r="1114" spans="3:3">
      <c r="C1114"/>
    </row>
    <row r="1115" spans="3:3">
      <c r="C1115"/>
    </row>
    <row r="1116" spans="3:3">
      <c r="C1116"/>
    </row>
    <row r="1117" spans="3:3">
      <c r="C1117"/>
    </row>
    <row r="1118" spans="3:3">
      <c r="C1118"/>
    </row>
    <row r="1119" spans="3:3">
      <c r="C1119"/>
    </row>
    <row r="1120" spans="3:3">
      <c r="C1120"/>
    </row>
    <row r="1121" spans="3:3">
      <c r="C1121"/>
    </row>
    <row r="1122" spans="3:3">
      <c r="C1122"/>
    </row>
    <row r="1123" spans="3:3">
      <c r="C1123"/>
    </row>
    <row r="1124" spans="3:3">
      <c r="C1124"/>
    </row>
    <row r="1125" spans="3:3">
      <c r="C1125"/>
    </row>
    <row r="1126" spans="3:3">
      <c r="C1126"/>
    </row>
    <row r="1127" spans="3:3">
      <c r="C1127"/>
    </row>
    <row r="1128" spans="3:3">
      <c r="C1128"/>
    </row>
    <row r="1129" spans="3:3">
      <c r="C1129"/>
    </row>
    <row r="1130" spans="3:3">
      <c r="C1130"/>
    </row>
    <row r="1131" spans="3:3">
      <c r="C1131"/>
    </row>
    <row r="1132" spans="3:3">
      <c r="C1132"/>
    </row>
    <row r="1133" spans="3:3">
      <c r="C1133"/>
    </row>
    <row r="1134" spans="3:3">
      <c r="C1134"/>
    </row>
    <row r="1135" spans="3:3">
      <c r="C1135"/>
    </row>
    <row r="1136" spans="3:3">
      <c r="C1136"/>
    </row>
    <row r="1137" spans="3:3">
      <c r="C1137"/>
    </row>
    <row r="1138" spans="3:3">
      <c r="C1138"/>
    </row>
    <row r="1139" spans="3:3">
      <c r="C1139"/>
    </row>
    <row r="1140" spans="3:3">
      <c r="C1140"/>
    </row>
    <row r="1141" spans="3:3">
      <c r="C1141"/>
    </row>
    <row r="1142" spans="3:3">
      <c r="C1142"/>
    </row>
    <row r="1143" spans="3:3">
      <c r="C1143"/>
    </row>
    <row r="1144" spans="3:3">
      <c r="C1144"/>
    </row>
    <row r="1145" spans="3:3">
      <c r="C1145"/>
    </row>
    <row r="1146" spans="3:3">
      <c r="C1146"/>
    </row>
    <row r="1147" spans="3:3">
      <c r="C1147"/>
    </row>
    <row r="1148" spans="3:3">
      <c r="C1148"/>
    </row>
    <row r="1149" spans="3:3">
      <c r="C1149"/>
    </row>
    <row r="1150" spans="3:3">
      <c r="C1150"/>
    </row>
    <row r="1151" spans="3:3">
      <c r="C1151"/>
    </row>
    <row r="1152" spans="3:3">
      <c r="C1152"/>
    </row>
    <row r="1153" spans="3:3">
      <c r="C1153"/>
    </row>
    <row r="1154" spans="3:3">
      <c r="C1154"/>
    </row>
    <row r="1155" spans="3:3">
      <c r="C1155"/>
    </row>
    <row r="1156" spans="3:3">
      <c r="C1156"/>
    </row>
    <row r="1157" spans="3:3">
      <c r="C1157"/>
    </row>
    <row r="1158" spans="3:3">
      <c r="C1158"/>
    </row>
    <row r="1159" spans="3:3">
      <c r="C1159"/>
    </row>
    <row r="1160" spans="3:3">
      <c r="C1160"/>
    </row>
    <row r="1161" spans="3:3">
      <c r="C1161"/>
    </row>
    <row r="1162" spans="3:3">
      <c r="C1162"/>
    </row>
    <row r="1163" spans="3:3">
      <c r="C1163"/>
    </row>
    <row r="1164" spans="3:3">
      <c r="C1164"/>
    </row>
    <row r="1165" spans="3:3">
      <c r="C1165"/>
    </row>
    <row r="1166" spans="3:3">
      <c r="C1166"/>
    </row>
    <row r="1167" spans="3:3">
      <c r="C1167"/>
    </row>
    <row r="1168" spans="3:3">
      <c r="C1168"/>
    </row>
    <row r="1169" spans="3:3">
      <c r="C1169"/>
    </row>
    <row r="1170" spans="3:3">
      <c r="C1170"/>
    </row>
    <row r="1171" spans="3:3">
      <c r="C1171"/>
    </row>
    <row r="1172" spans="3:3">
      <c r="C1172"/>
    </row>
    <row r="1173" spans="3:3">
      <c r="C1173"/>
    </row>
    <row r="1174" spans="3:3">
      <c r="C1174"/>
    </row>
    <row r="1175" spans="3:3">
      <c r="C1175"/>
    </row>
    <row r="1176" spans="3:3">
      <c r="C1176"/>
    </row>
    <row r="1177" spans="3:3">
      <c r="C1177"/>
    </row>
    <row r="1178" spans="3:3">
      <c r="C1178"/>
    </row>
    <row r="1179" spans="3:3">
      <c r="C1179"/>
    </row>
    <row r="1180" spans="3:3">
      <c r="C1180"/>
    </row>
    <row r="1181" spans="3:3">
      <c r="C1181"/>
    </row>
    <row r="1182" spans="3:3">
      <c r="C1182"/>
    </row>
    <row r="1183" spans="3:3">
      <c r="C1183"/>
    </row>
    <row r="1184" spans="3:3">
      <c r="C1184"/>
    </row>
    <row r="1185" spans="3:3">
      <c r="C1185"/>
    </row>
    <row r="1186" spans="3:3">
      <c r="C1186"/>
    </row>
    <row r="1187" spans="3:3">
      <c r="C1187"/>
    </row>
    <row r="1188" spans="3:3">
      <c r="C1188"/>
    </row>
    <row r="1189" spans="3:3">
      <c r="C1189"/>
    </row>
    <row r="1190" spans="3:3">
      <c r="C1190"/>
    </row>
    <row r="1191" spans="3:3">
      <c r="C1191"/>
    </row>
    <row r="1192" spans="3:3">
      <c r="C1192"/>
    </row>
    <row r="1193" spans="3:3">
      <c r="C1193"/>
    </row>
    <row r="1194" spans="3:3">
      <c r="C1194"/>
    </row>
    <row r="1195" spans="3:3">
      <c r="C1195"/>
    </row>
    <row r="1196" spans="3:3">
      <c r="C1196"/>
    </row>
    <row r="1197" spans="3:3">
      <c r="C1197"/>
    </row>
    <row r="1198" spans="3:3">
      <c r="C1198"/>
    </row>
    <row r="1199" spans="3:3">
      <c r="C1199"/>
    </row>
    <row r="1200" spans="3:3">
      <c r="C1200"/>
    </row>
    <row r="1201" spans="3:3">
      <c r="C1201"/>
    </row>
    <row r="1202" spans="3:3">
      <c r="C1202"/>
    </row>
    <row r="1203" spans="3:3">
      <c r="C1203"/>
    </row>
    <row r="1204" spans="3:3">
      <c r="C1204"/>
    </row>
    <row r="1205" spans="3:3">
      <c r="C1205"/>
    </row>
    <row r="1206" spans="3:3">
      <c r="C1206"/>
    </row>
    <row r="1207" spans="3:3">
      <c r="C1207"/>
    </row>
    <row r="1208" spans="3:3">
      <c r="C1208"/>
    </row>
    <row r="1209" spans="3:3">
      <c r="C1209"/>
    </row>
    <row r="1210" spans="3:3">
      <c r="C1210"/>
    </row>
    <row r="1211" spans="3:3">
      <c r="C1211"/>
    </row>
    <row r="1212" spans="3:3">
      <c r="C1212"/>
    </row>
    <row r="1213" spans="3:3">
      <c r="C1213"/>
    </row>
    <row r="1214" spans="3:3">
      <c r="C1214"/>
    </row>
    <row r="1215" spans="3:3">
      <c r="C1215"/>
    </row>
    <row r="1216" spans="3:3">
      <c r="C1216"/>
    </row>
    <row r="1217" spans="3:3">
      <c r="C1217"/>
    </row>
    <row r="1218" spans="3:3">
      <c r="C1218"/>
    </row>
    <row r="1219" spans="3:3">
      <c r="C1219"/>
    </row>
    <row r="1220" spans="3:3">
      <c r="C1220"/>
    </row>
    <row r="1221" spans="3:3">
      <c r="C1221"/>
    </row>
    <row r="1222" spans="3:3">
      <c r="C1222"/>
    </row>
    <row r="1223" spans="3:3">
      <c r="C1223"/>
    </row>
    <row r="1224" spans="3:3">
      <c r="C1224"/>
    </row>
    <row r="1225" spans="3:3">
      <c r="C1225"/>
    </row>
    <row r="1226" spans="3:3">
      <c r="C1226"/>
    </row>
    <row r="1227" spans="3:3">
      <c r="C1227"/>
    </row>
    <row r="1228" spans="3:3">
      <c r="C1228"/>
    </row>
    <row r="1229" spans="3:3">
      <c r="C1229"/>
    </row>
    <row r="1230" spans="3:3">
      <c r="C1230"/>
    </row>
    <row r="1231" spans="3:3">
      <c r="C1231"/>
    </row>
    <row r="1232" spans="3:3">
      <c r="C1232"/>
    </row>
    <row r="1233" spans="3:3">
      <c r="C1233"/>
    </row>
    <row r="1234" spans="3:3">
      <c r="C1234"/>
    </row>
    <row r="1235" spans="3:3">
      <c r="C1235"/>
    </row>
    <row r="1236" spans="3:3">
      <c r="C1236"/>
    </row>
    <row r="1237" spans="3:3">
      <c r="C1237"/>
    </row>
    <row r="1238" spans="3:3">
      <c r="C1238"/>
    </row>
    <row r="1239" spans="3:3">
      <c r="C1239"/>
    </row>
    <row r="1240" spans="3:3">
      <c r="C1240"/>
    </row>
    <row r="1241" spans="3:3">
      <c r="C1241"/>
    </row>
    <row r="1242" spans="3:3">
      <c r="C1242"/>
    </row>
    <row r="1243" spans="3:3">
      <c r="C1243"/>
    </row>
    <row r="1244" spans="3:3">
      <c r="C1244"/>
    </row>
    <row r="1245" spans="3:3">
      <c r="C1245"/>
    </row>
    <row r="1246" spans="3:3">
      <c r="C1246"/>
    </row>
    <row r="1247" spans="3:3">
      <c r="C1247"/>
    </row>
    <row r="1248" spans="3:3">
      <c r="C1248"/>
    </row>
    <row r="1249" spans="3:3">
      <c r="C1249"/>
    </row>
    <row r="1250" spans="3:3">
      <c r="C1250"/>
    </row>
    <row r="1251" spans="3:3">
      <c r="C1251"/>
    </row>
    <row r="1252" spans="3:3">
      <c r="C1252"/>
    </row>
    <row r="1253" spans="3:3">
      <c r="C1253"/>
    </row>
    <row r="1254" spans="3:3">
      <c r="C1254"/>
    </row>
    <row r="1255" spans="3:3">
      <c r="C1255"/>
    </row>
    <row r="1256" spans="3:3">
      <c r="C1256"/>
    </row>
    <row r="1257" spans="3:3">
      <c r="C1257"/>
    </row>
    <row r="1258" spans="3:3">
      <c r="C1258"/>
    </row>
    <row r="1259" spans="3:3">
      <c r="C1259"/>
    </row>
    <row r="1260" spans="3:3">
      <c r="C1260"/>
    </row>
    <row r="1261" spans="3:3">
      <c r="C1261"/>
    </row>
    <row r="1262" spans="3:3">
      <c r="C1262"/>
    </row>
    <row r="1263" spans="3:3">
      <c r="C1263"/>
    </row>
    <row r="1264" spans="3:3">
      <c r="C1264"/>
    </row>
    <row r="1265" spans="3:3">
      <c r="C1265"/>
    </row>
    <row r="1266" spans="3:3">
      <c r="C1266"/>
    </row>
    <row r="1267" spans="3:3">
      <c r="C1267"/>
    </row>
    <row r="1268" spans="3:3">
      <c r="C1268"/>
    </row>
    <row r="1269" spans="3:3">
      <c r="C1269"/>
    </row>
    <row r="1270" spans="3:3">
      <c r="C1270"/>
    </row>
    <row r="1271" spans="3:3">
      <c r="C1271"/>
    </row>
    <row r="1272" spans="3:3">
      <c r="C1272"/>
    </row>
    <row r="1273" spans="3:3">
      <c r="C1273"/>
    </row>
    <row r="1274" spans="3:3">
      <c r="C1274"/>
    </row>
    <row r="1275" spans="3:3">
      <c r="C1275"/>
    </row>
    <row r="1276" spans="3:3">
      <c r="C1276"/>
    </row>
    <row r="1277" spans="3:3">
      <c r="C1277"/>
    </row>
    <row r="1278" spans="3:3">
      <c r="C1278"/>
    </row>
    <row r="1279" spans="3:3">
      <c r="C1279"/>
    </row>
    <row r="1280" spans="3:3">
      <c r="C1280"/>
    </row>
    <row r="1281" spans="3:3">
      <c r="C1281"/>
    </row>
    <row r="1282" spans="3:3">
      <c r="C1282"/>
    </row>
    <row r="1283" spans="3:3">
      <c r="C1283"/>
    </row>
    <row r="1284" spans="3:3">
      <c r="C1284"/>
    </row>
    <row r="1285" spans="3:3">
      <c r="C1285"/>
    </row>
    <row r="1286" spans="3:3">
      <c r="C1286"/>
    </row>
    <row r="1287" spans="3:3">
      <c r="C1287"/>
    </row>
    <row r="1288" spans="3:3">
      <c r="C1288"/>
    </row>
    <row r="1289" spans="3:3">
      <c r="C1289"/>
    </row>
    <row r="1290" spans="3:3">
      <c r="C1290"/>
    </row>
    <row r="1291" spans="3:3">
      <c r="C1291"/>
    </row>
    <row r="1292" spans="3:3">
      <c r="C1292"/>
    </row>
    <row r="1293" spans="3:3">
      <c r="C1293"/>
    </row>
    <row r="1294" spans="3:3">
      <c r="C1294"/>
    </row>
    <row r="1295" spans="3:3">
      <c r="C1295"/>
    </row>
    <row r="1296" spans="3:3">
      <c r="C1296"/>
    </row>
    <row r="1297" spans="3:3">
      <c r="C1297"/>
    </row>
    <row r="1298" spans="3:3">
      <c r="C1298"/>
    </row>
    <row r="1299" spans="3:3">
      <c r="C1299"/>
    </row>
    <row r="1300" spans="3:3">
      <c r="C1300"/>
    </row>
    <row r="1301" spans="3:3">
      <c r="C1301"/>
    </row>
    <row r="1302" spans="3:3">
      <c r="C1302"/>
    </row>
    <row r="1303" spans="3:3">
      <c r="C1303"/>
    </row>
    <row r="1304" spans="3:3">
      <c r="C1304"/>
    </row>
    <row r="1305" spans="3:3">
      <c r="C1305"/>
    </row>
    <row r="1306" spans="3:3">
      <c r="C1306"/>
    </row>
    <row r="1307" spans="3:3">
      <c r="C1307"/>
    </row>
    <row r="1308" spans="3:3">
      <c r="C1308"/>
    </row>
    <row r="1309" spans="3:3">
      <c r="C1309"/>
    </row>
    <row r="1310" spans="3:3">
      <c r="C1310"/>
    </row>
    <row r="1311" spans="3:3">
      <c r="C1311"/>
    </row>
    <row r="1312" spans="3:3">
      <c r="C1312"/>
    </row>
    <row r="1313" spans="3:3">
      <c r="C1313"/>
    </row>
    <row r="1314" spans="3:3">
      <c r="C1314"/>
    </row>
    <row r="1315" spans="3:3">
      <c r="C1315"/>
    </row>
    <row r="1316" spans="3:3">
      <c r="C1316"/>
    </row>
    <row r="1317" spans="3:3">
      <c r="C1317"/>
    </row>
    <row r="1318" spans="3:3">
      <c r="C1318"/>
    </row>
    <row r="1319" spans="3:3">
      <c r="C1319"/>
    </row>
    <row r="1320" spans="3:3">
      <c r="C1320"/>
    </row>
    <row r="1321" spans="3:3">
      <c r="C1321"/>
    </row>
    <row r="1322" spans="3:3">
      <c r="C1322"/>
    </row>
    <row r="1323" spans="3:3">
      <c r="C1323"/>
    </row>
    <row r="1324" spans="3:3">
      <c r="C1324"/>
    </row>
    <row r="1325" spans="3:3">
      <c r="C1325"/>
    </row>
    <row r="1326" spans="3:3">
      <c r="C1326"/>
    </row>
    <row r="1327" spans="3:3">
      <c r="C1327"/>
    </row>
    <row r="1328" spans="3:3">
      <c r="C1328"/>
    </row>
    <row r="1329" spans="3:3">
      <c r="C1329"/>
    </row>
    <row r="1330" spans="3:3">
      <c r="C1330"/>
    </row>
    <row r="1331" spans="3:3">
      <c r="C1331"/>
    </row>
    <row r="1332" spans="3:3">
      <c r="C1332"/>
    </row>
    <row r="1333" spans="3:3">
      <c r="C1333"/>
    </row>
    <row r="1334" spans="3:3">
      <c r="C1334"/>
    </row>
    <row r="1335" spans="3:3">
      <c r="C1335"/>
    </row>
    <row r="1336" spans="3:3">
      <c r="C1336"/>
    </row>
    <row r="1337" spans="3:3">
      <c r="C1337"/>
    </row>
    <row r="1338" spans="3:3">
      <c r="C1338"/>
    </row>
    <row r="1339" spans="3:3">
      <c r="C1339"/>
    </row>
    <row r="1340" spans="3:3">
      <c r="C1340"/>
    </row>
    <row r="1341" spans="3:3">
      <c r="C1341"/>
    </row>
    <row r="1342" spans="3:3">
      <c r="C1342"/>
    </row>
    <row r="1343" spans="3:3">
      <c r="C1343"/>
    </row>
    <row r="1344" spans="3:3">
      <c r="C1344"/>
    </row>
    <row r="1345" spans="3:3">
      <c r="C1345"/>
    </row>
    <row r="1346" spans="3:3">
      <c r="C1346"/>
    </row>
    <row r="1347" spans="3:3">
      <c r="C1347"/>
    </row>
    <row r="1348" spans="3:3">
      <c r="C1348"/>
    </row>
    <row r="1349" spans="3:3">
      <c r="C1349"/>
    </row>
    <row r="1350" spans="3:3">
      <c r="C1350"/>
    </row>
    <row r="1351" spans="3:3">
      <c r="C1351"/>
    </row>
    <row r="1352" spans="3:3">
      <c r="C1352"/>
    </row>
    <row r="1353" spans="3:3">
      <c r="C1353"/>
    </row>
    <row r="1354" spans="3:3">
      <c r="C1354"/>
    </row>
    <row r="1355" spans="3:3">
      <c r="C1355"/>
    </row>
    <row r="1356" spans="3:3">
      <c r="C1356"/>
    </row>
    <row r="1357" spans="3:3">
      <c r="C1357"/>
    </row>
    <row r="1358" spans="3:3">
      <c r="C1358"/>
    </row>
    <row r="1359" spans="3:3">
      <c r="C1359"/>
    </row>
    <row r="1360" spans="3:3">
      <c r="C1360"/>
    </row>
    <row r="1361" spans="3:3">
      <c r="C1361"/>
    </row>
    <row r="1362" spans="3:3">
      <c r="C1362"/>
    </row>
    <row r="1363" spans="3:3">
      <c r="C1363"/>
    </row>
    <row r="1364" spans="3:3">
      <c r="C1364"/>
    </row>
    <row r="1365" spans="3:3">
      <c r="C1365"/>
    </row>
    <row r="1366" spans="3:3">
      <c r="C1366"/>
    </row>
    <row r="1367" spans="3:3">
      <c r="C1367"/>
    </row>
    <row r="1368" spans="3:3">
      <c r="C1368"/>
    </row>
    <row r="1369" spans="3:3">
      <c r="C1369"/>
    </row>
    <row r="1370" spans="3:3">
      <c r="C1370"/>
    </row>
    <row r="1371" spans="3:3">
      <c r="C1371"/>
    </row>
    <row r="1372" spans="3:3">
      <c r="C1372"/>
    </row>
    <row r="1373" spans="3:3">
      <c r="C1373"/>
    </row>
    <row r="1374" spans="3:3">
      <c r="C1374"/>
    </row>
    <row r="1375" spans="3:3">
      <c r="C1375"/>
    </row>
    <row r="1376" spans="3:3">
      <c r="C1376"/>
    </row>
    <row r="1377" spans="3:3">
      <c r="C1377"/>
    </row>
    <row r="1378" spans="3:3">
      <c r="C1378"/>
    </row>
    <row r="1379" spans="3:3">
      <c r="C1379"/>
    </row>
    <row r="1380" spans="3:3">
      <c r="C1380"/>
    </row>
    <row r="1381" spans="3:3">
      <c r="C1381"/>
    </row>
    <row r="1382" spans="3:3">
      <c r="C1382"/>
    </row>
    <row r="1383" spans="3:3">
      <c r="C1383"/>
    </row>
    <row r="1384" spans="3:3">
      <c r="C1384"/>
    </row>
    <row r="1385" spans="3:3">
      <c r="C1385"/>
    </row>
    <row r="1386" spans="3:3">
      <c r="C1386"/>
    </row>
    <row r="1387" spans="3:3">
      <c r="C1387"/>
    </row>
    <row r="1388" spans="3:3">
      <c r="C1388"/>
    </row>
    <row r="1389" spans="3:3">
      <c r="C1389"/>
    </row>
    <row r="1390" spans="3:3">
      <c r="C1390"/>
    </row>
    <row r="1391" spans="3:3">
      <c r="C1391"/>
    </row>
    <row r="1392" spans="3:3">
      <c r="C1392"/>
    </row>
    <row r="1393" spans="3:3">
      <c r="C1393"/>
    </row>
    <row r="1394" spans="3:3">
      <c r="C1394"/>
    </row>
    <row r="1395" spans="3:3">
      <c r="C1395"/>
    </row>
    <row r="1396" spans="3:3">
      <c r="C1396"/>
    </row>
    <row r="1397" spans="3:3">
      <c r="C1397"/>
    </row>
    <row r="1398" spans="3:3">
      <c r="C1398"/>
    </row>
    <row r="1399" spans="3:3">
      <c r="C1399"/>
    </row>
    <row r="1400" spans="3:3">
      <c r="C1400"/>
    </row>
    <row r="1401" spans="3:3">
      <c r="C1401"/>
    </row>
    <row r="1402" spans="3:3">
      <c r="C1402"/>
    </row>
    <row r="1403" spans="3:3">
      <c r="C1403"/>
    </row>
    <row r="1404" spans="3:3">
      <c r="C1404"/>
    </row>
    <row r="1405" spans="3:3">
      <c r="C1405"/>
    </row>
    <row r="1406" spans="3:3">
      <c r="C1406"/>
    </row>
    <row r="1407" spans="3:3">
      <c r="C1407"/>
    </row>
    <row r="1408" spans="3:3">
      <c r="C1408"/>
    </row>
    <row r="1409" spans="3:3">
      <c r="C1409"/>
    </row>
    <row r="1410" spans="3:3">
      <c r="C1410"/>
    </row>
    <row r="1411" spans="3:3">
      <c r="C1411"/>
    </row>
    <row r="1412" spans="3:3">
      <c r="C1412"/>
    </row>
    <row r="1413" spans="3:3">
      <c r="C1413"/>
    </row>
    <row r="1414" spans="3:3">
      <c r="C1414"/>
    </row>
    <row r="1415" spans="3:3">
      <c r="C1415"/>
    </row>
    <row r="1416" spans="3:3">
      <c r="C1416"/>
    </row>
    <row r="1417" spans="3:3">
      <c r="C1417"/>
    </row>
    <row r="1418" spans="3:3">
      <c r="C1418"/>
    </row>
    <row r="1419" spans="3:3">
      <c r="C1419"/>
    </row>
    <row r="1420" spans="3:3">
      <c r="C1420"/>
    </row>
    <row r="1421" spans="3:3">
      <c r="C1421"/>
    </row>
    <row r="1422" spans="3:3">
      <c r="C1422"/>
    </row>
    <row r="1423" spans="3:3">
      <c r="C1423"/>
    </row>
    <row r="1424" spans="3:3">
      <c r="C1424"/>
    </row>
    <row r="1425" spans="3:3">
      <c r="C1425"/>
    </row>
    <row r="1426" spans="3:3">
      <c r="C1426"/>
    </row>
    <row r="1427" spans="3:3">
      <c r="C1427"/>
    </row>
    <row r="1428" spans="3:3">
      <c r="C1428"/>
    </row>
    <row r="1429" spans="3:3">
      <c r="C1429"/>
    </row>
    <row r="1430" spans="3:3">
      <c r="C1430"/>
    </row>
    <row r="1431" spans="3:3">
      <c r="C1431"/>
    </row>
    <row r="1432" spans="3:3">
      <c r="C1432"/>
    </row>
    <row r="1433" spans="3:3">
      <c r="C1433"/>
    </row>
    <row r="1434" spans="3:3">
      <c r="C1434"/>
    </row>
    <row r="1435" spans="3:3">
      <c r="C1435"/>
    </row>
    <row r="1436" spans="3:3">
      <c r="C1436"/>
    </row>
    <row r="1437" spans="3:3">
      <c r="C1437"/>
    </row>
    <row r="1438" spans="3:3">
      <c r="C1438"/>
    </row>
    <row r="1439" spans="3:3">
      <c r="C1439"/>
    </row>
    <row r="1440" spans="3:3">
      <c r="C1440"/>
    </row>
    <row r="1441" spans="3:3">
      <c r="C1441"/>
    </row>
    <row r="1442" spans="3:3">
      <c r="C1442"/>
    </row>
    <row r="1443" spans="3:3">
      <c r="C1443"/>
    </row>
    <row r="1444" spans="3:3">
      <c r="C1444"/>
    </row>
    <row r="1445" spans="3:3">
      <c r="C1445"/>
    </row>
    <row r="1446" spans="3:3">
      <c r="C1446"/>
    </row>
    <row r="1447" spans="3:3">
      <c r="C1447"/>
    </row>
    <row r="1448" spans="3:3">
      <c r="C1448"/>
    </row>
    <row r="1449" spans="3:3">
      <c r="C1449"/>
    </row>
    <row r="1450" spans="3:3">
      <c r="C1450"/>
    </row>
    <row r="1451" spans="3:3">
      <c r="C1451"/>
    </row>
    <row r="1452" spans="3:3">
      <c r="C1452"/>
    </row>
    <row r="1453" spans="3:3">
      <c r="C1453"/>
    </row>
    <row r="1454" spans="3:3">
      <c r="C1454"/>
    </row>
    <row r="1455" spans="3:3">
      <c r="C1455"/>
    </row>
    <row r="1456" spans="3:3">
      <c r="C1456"/>
    </row>
    <row r="1457" spans="3:3">
      <c r="C1457"/>
    </row>
    <row r="1458" spans="3:3">
      <c r="C1458"/>
    </row>
    <row r="1459" spans="3:3">
      <c r="C1459"/>
    </row>
    <row r="1460" spans="3:3">
      <c r="C1460"/>
    </row>
    <row r="1461" spans="3:3">
      <c r="C1461"/>
    </row>
    <row r="1462" spans="3:3">
      <c r="C1462"/>
    </row>
    <row r="1463" spans="3:3">
      <c r="C1463"/>
    </row>
    <row r="1464" spans="3:3">
      <c r="C1464"/>
    </row>
    <row r="1465" spans="3:3">
      <c r="C1465"/>
    </row>
    <row r="1466" spans="3:3">
      <c r="C1466"/>
    </row>
    <row r="1467" spans="3:3">
      <c r="C1467"/>
    </row>
    <row r="1468" spans="3:3">
      <c r="C1468"/>
    </row>
    <row r="1469" spans="3:3">
      <c r="C1469"/>
    </row>
    <row r="1470" spans="3:3">
      <c r="C1470"/>
    </row>
    <row r="1471" spans="3:3">
      <c r="C1471"/>
    </row>
    <row r="1472" spans="3:3">
      <c r="C1472"/>
    </row>
    <row r="1473" spans="3:3">
      <c r="C1473"/>
    </row>
    <row r="1474" spans="3:3">
      <c r="C1474"/>
    </row>
    <row r="1475" spans="3:3">
      <c r="C1475"/>
    </row>
    <row r="1476" spans="3:3">
      <c r="C1476"/>
    </row>
    <row r="1477" spans="3:3">
      <c r="C1477"/>
    </row>
    <row r="1478" spans="3:3">
      <c r="C1478"/>
    </row>
    <row r="1479" spans="3:3">
      <c r="C1479"/>
    </row>
    <row r="1480" spans="3:3">
      <c r="C1480"/>
    </row>
    <row r="1481" spans="3:3">
      <c r="C1481"/>
    </row>
    <row r="1482" spans="3:3">
      <c r="C1482"/>
    </row>
    <row r="1483" spans="3:3">
      <c r="C1483"/>
    </row>
    <row r="1484" spans="3:3">
      <c r="C1484"/>
    </row>
    <row r="1485" spans="3:3">
      <c r="C1485"/>
    </row>
    <row r="1486" spans="3:3">
      <c r="C1486"/>
    </row>
    <row r="1487" spans="3:3">
      <c r="C1487"/>
    </row>
    <row r="1488" spans="3:3">
      <c r="C1488"/>
    </row>
    <row r="1489" spans="3:3">
      <c r="C1489"/>
    </row>
    <row r="1490" spans="3:3">
      <c r="C1490"/>
    </row>
    <row r="1491" spans="3:3">
      <c r="C1491"/>
    </row>
    <row r="1492" spans="3:3">
      <c r="C1492"/>
    </row>
    <row r="1493" spans="3:3">
      <c r="C1493"/>
    </row>
    <row r="1494" spans="3:3">
      <c r="C1494"/>
    </row>
    <row r="1495" spans="3:3">
      <c r="C1495"/>
    </row>
    <row r="1496" spans="3:3">
      <c r="C1496"/>
    </row>
    <row r="1497" spans="3:3">
      <c r="C1497"/>
    </row>
    <row r="1498" spans="3:3">
      <c r="C1498"/>
    </row>
    <row r="1499" spans="3:3">
      <c r="C1499"/>
    </row>
    <row r="1500" spans="3:3">
      <c r="C1500"/>
    </row>
    <row r="1501" spans="3:3">
      <c r="C1501"/>
    </row>
    <row r="1502" spans="3:3">
      <c r="C1502"/>
    </row>
    <row r="1503" spans="3:3">
      <c r="C1503"/>
    </row>
    <row r="1504" spans="3:3">
      <c r="C1504"/>
    </row>
    <row r="1505" spans="3:3">
      <c r="C1505"/>
    </row>
    <row r="1506" spans="3:3">
      <c r="C1506"/>
    </row>
    <row r="1507" spans="3:3">
      <c r="C1507"/>
    </row>
    <row r="1508" spans="3:3">
      <c r="C1508"/>
    </row>
    <row r="1509" spans="3:3">
      <c r="C1509"/>
    </row>
    <row r="1510" spans="3:3">
      <c r="C1510"/>
    </row>
    <row r="1511" spans="3:3">
      <c r="C1511"/>
    </row>
    <row r="1512" spans="3:3">
      <c r="C1512"/>
    </row>
    <row r="1513" spans="3:3">
      <c r="C1513"/>
    </row>
    <row r="1514" spans="3:3">
      <c r="C1514"/>
    </row>
    <row r="1515" spans="3:3">
      <c r="C1515"/>
    </row>
    <row r="1516" spans="3:3">
      <c r="C1516"/>
    </row>
    <row r="1517" spans="3:3">
      <c r="C1517"/>
    </row>
    <row r="1518" spans="3:3">
      <c r="C1518"/>
    </row>
    <row r="1519" spans="3:3">
      <c r="C1519"/>
    </row>
    <row r="1520" spans="3:3">
      <c r="C1520"/>
    </row>
    <row r="1521" spans="3:3">
      <c r="C1521"/>
    </row>
    <row r="1522" spans="3:3">
      <c r="C1522"/>
    </row>
    <row r="1523" spans="3:3">
      <c r="C1523"/>
    </row>
    <row r="1524" spans="3:3">
      <c r="C1524"/>
    </row>
    <row r="1525" spans="3:3">
      <c r="C1525"/>
    </row>
    <row r="1526" spans="3:3">
      <c r="C1526"/>
    </row>
    <row r="1527" spans="3:3">
      <c r="C1527"/>
    </row>
    <row r="1528" spans="3:3">
      <c r="C1528"/>
    </row>
    <row r="1529" spans="3:3">
      <c r="C1529"/>
    </row>
    <row r="1530" spans="3:3">
      <c r="C1530"/>
    </row>
    <row r="1531" spans="3:3">
      <c r="C1531"/>
    </row>
    <row r="1532" spans="3:3">
      <c r="C1532"/>
    </row>
    <row r="1533" spans="3:3">
      <c r="C1533"/>
    </row>
    <row r="1534" spans="3:3">
      <c r="C1534"/>
    </row>
    <row r="1535" spans="3:3">
      <c r="C1535"/>
    </row>
    <row r="1536" spans="3:3">
      <c r="C1536"/>
    </row>
  </sheetData>
  <phoneticPr fontId="4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DDA32-893D-44C9-B3A9-A338AC3D4138}">
  <sheetPr codeName="Sheet17">
    <tabColor rgb="FFCCFFFF"/>
  </sheetPr>
  <dimension ref="C4:L747"/>
  <sheetViews>
    <sheetView showGridLines="0" showZeros="0" zoomScale="80" zoomScaleNormal="80" workbookViewId="0">
      <selection activeCell="D4" sqref="D4"/>
    </sheetView>
  </sheetViews>
  <sheetFormatPr defaultRowHeight="13.8"/>
  <cols>
    <col min="1" max="2" width="4.59765625" customWidth="1"/>
    <col min="3" max="3" width="8.59765625" style="13" hidden="1" customWidth="1"/>
    <col min="4" max="4" width="22.19921875" customWidth="1"/>
    <col min="5" max="12" width="10.59765625" customWidth="1"/>
  </cols>
  <sheetData>
    <row r="4" spans="3:12">
      <c r="D4" s="58" t="s">
        <v>101</v>
      </c>
    </row>
    <row r="8" spans="3:12" ht="14.4" thickBot="1"/>
    <row r="9" spans="3:12" ht="15" thickBot="1">
      <c r="C9"/>
      <c r="D9" s="52" t="str">
        <f>Parameter!I8</f>
        <v>1x DLP</v>
      </c>
    </row>
    <row r="10" spans="3:12" ht="16.2" thickBot="1">
      <c r="C10"/>
      <c r="D10" s="40" t="s">
        <v>85</v>
      </c>
      <c r="E10" s="41" t="str">
        <f>VR_Panel_Shipments!E10</f>
        <v>2022</v>
      </c>
      <c r="F10" s="42" t="str">
        <f>VR_Panel_Shipments!F10</f>
        <v>2023</v>
      </c>
      <c r="G10" s="42" t="str">
        <f>VR_Panel_Shipments!G10</f>
        <v>2024</v>
      </c>
      <c r="H10" s="42">
        <f>VR_Panel_Shipments!H10</f>
        <v>2025</v>
      </c>
      <c r="I10" s="42" t="str">
        <f>VR_Panel_Shipments!I10</f>
        <v>2026</v>
      </c>
      <c r="J10" s="42" t="str">
        <f>VR_Panel_Shipments!J10</f>
        <v>2027</v>
      </c>
      <c r="K10" s="42" t="str">
        <f>VR_Panel_Shipments!K10</f>
        <v>2028</v>
      </c>
      <c r="L10" s="43" t="str">
        <f>VR_Panel_Shipments!L10</f>
        <v>2029</v>
      </c>
    </row>
    <row r="11" spans="3:12" ht="15.6" hidden="1">
      <c r="C11" s="39" t="str">
        <f>IF(SUM(E11:L11)=0, "H", "")</f>
        <v>H</v>
      </c>
      <c r="D11" s="44" t="str">
        <f>Parameter!E$8</f>
        <v>Air</v>
      </c>
      <c r="E11" s="74">
        <f t="shared" ref="E11:L20" si="0">SUMIF(ARVR_Y_PC_PR, "AR_"&amp;E$10&amp;"_"&amp;$D$9&amp;"_"&amp;$D11, PanelRev)</f>
        <v>0</v>
      </c>
      <c r="F11" s="75">
        <f t="shared" si="0"/>
        <v>0</v>
      </c>
      <c r="G11" s="75">
        <f t="shared" si="0"/>
        <v>0</v>
      </c>
      <c r="H11" s="75">
        <f t="shared" si="0"/>
        <v>0</v>
      </c>
      <c r="I11" s="75">
        <f t="shared" si="0"/>
        <v>0</v>
      </c>
      <c r="J11" s="75">
        <f t="shared" si="0"/>
        <v>0</v>
      </c>
      <c r="K11" s="75">
        <f t="shared" si="0"/>
        <v>0</v>
      </c>
      <c r="L11" s="76">
        <f t="shared" si="0"/>
        <v>0</v>
      </c>
    </row>
    <row r="12" spans="3:12" ht="15.6" hidden="1">
      <c r="C12" s="39" t="str">
        <f t="shared" ref="C12:C81" si="1">IF(SUM(E12:L12)=0, "H", "")</f>
        <v>H</v>
      </c>
      <c r="D12" s="44" t="str">
        <f>Parameter!E$9</f>
        <v>Air 2</v>
      </c>
      <c r="E12" s="74">
        <f t="shared" si="0"/>
        <v>0</v>
      </c>
      <c r="F12" s="75">
        <f t="shared" si="0"/>
        <v>0</v>
      </c>
      <c r="G12" s="75">
        <f t="shared" si="0"/>
        <v>0</v>
      </c>
      <c r="H12" s="75">
        <f t="shared" si="0"/>
        <v>0</v>
      </c>
      <c r="I12" s="75">
        <f t="shared" si="0"/>
        <v>0</v>
      </c>
      <c r="J12" s="75">
        <f t="shared" si="0"/>
        <v>0</v>
      </c>
      <c r="K12" s="75">
        <f t="shared" si="0"/>
        <v>0</v>
      </c>
      <c r="L12" s="76">
        <f t="shared" si="0"/>
        <v>0</v>
      </c>
    </row>
    <row r="13" spans="3:12" ht="15.6" hidden="1">
      <c r="C13" s="39" t="str">
        <f t="shared" si="1"/>
        <v>H</v>
      </c>
      <c r="D13" s="45" t="str">
        <f>Parameter!E$10</f>
        <v>Air 3</v>
      </c>
      <c r="E13" s="74">
        <f t="shared" si="0"/>
        <v>0</v>
      </c>
      <c r="F13" s="75">
        <f t="shared" si="0"/>
        <v>0</v>
      </c>
      <c r="G13" s="75">
        <f t="shared" si="0"/>
        <v>0</v>
      </c>
      <c r="H13" s="75">
        <f t="shared" si="0"/>
        <v>0</v>
      </c>
      <c r="I13" s="75">
        <f t="shared" si="0"/>
        <v>0</v>
      </c>
      <c r="J13" s="75">
        <f t="shared" si="0"/>
        <v>0</v>
      </c>
      <c r="K13" s="75">
        <f t="shared" si="0"/>
        <v>0</v>
      </c>
      <c r="L13" s="76">
        <f t="shared" si="0"/>
        <v>0</v>
      </c>
    </row>
    <row r="14" spans="3:12" ht="15.6" hidden="1">
      <c r="C14" s="39" t="str">
        <f t="shared" si="1"/>
        <v>H</v>
      </c>
      <c r="D14" s="45" t="str">
        <f>Parameter!E$11</f>
        <v>Air 3s Pro</v>
      </c>
      <c r="E14" s="74">
        <f t="shared" si="0"/>
        <v>0</v>
      </c>
      <c r="F14" s="75">
        <f t="shared" si="0"/>
        <v>0</v>
      </c>
      <c r="G14" s="75">
        <f t="shared" si="0"/>
        <v>0</v>
      </c>
      <c r="H14" s="75">
        <f t="shared" si="0"/>
        <v>0</v>
      </c>
      <c r="I14" s="75">
        <f t="shared" si="0"/>
        <v>0</v>
      </c>
      <c r="J14" s="75">
        <f t="shared" si="0"/>
        <v>0</v>
      </c>
      <c r="K14" s="75">
        <f t="shared" si="0"/>
        <v>0</v>
      </c>
      <c r="L14" s="76">
        <f t="shared" si="0"/>
        <v>0</v>
      </c>
    </row>
    <row r="15" spans="3:12" ht="15.6" hidden="1">
      <c r="C15" s="39" t="str">
        <f t="shared" si="1"/>
        <v>H</v>
      </c>
      <c r="D15" s="45" t="str">
        <f>Parameter!E$12</f>
        <v>Air Glass</v>
      </c>
      <c r="E15" s="74">
        <f t="shared" si="0"/>
        <v>0</v>
      </c>
      <c r="F15" s="75">
        <f t="shared" si="0"/>
        <v>0</v>
      </c>
      <c r="G15" s="75">
        <f t="shared" si="0"/>
        <v>0</v>
      </c>
      <c r="H15" s="75">
        <f t="shared" si="0"/>
        <v>0</v>
      </c>
      <c r="I15" s="75">
        <f t="shared" si="0"/>
        <v>0</v>
      </c>
      <c r="J15" s="75">
        <f t="shared" si="0"/>
        <v>0</v>
      </c>
      <c r="K15" s="75">
        <f t="shared" si="0"/>
        <v>0</v>
      </c>
      <c r="L15" s="76">
        <f t="shared" si="0"/>
        <v>0</v>
      </c>
    </row>
    <row r="16" spans="3:12" ht="15.6" hidden="1">
      <c r="C16" s="39" t="str">
        <f t="shared" si="1"/>
        <v>H</v>
      </c>
      <c r="D16" s="45" t="str">
        <f>Parameter!E$13</f>
        <v>Binocular MicroLED</v>
      </c>
      <c r="E16" s="74">
        <f t="shared" si="0"/>
        <v>0</v>
      </c>
      <c r="F16" s="75">
        <f t="shared" si="0"/>
        <v>0</v>
      </c>
      <c r="G16" s="75">
        <f t="shared" si="0"/>
        <v>0</v>
      </c>
      <c r="H16" s="75">
        <f t="shared" si="0"/>
        <v>0</v>
      </c>
      <c r="I16" s="75">
        <f t="shared" si="0"/>
        <v>0</v>
      </c>
      <c r="J16" s="75">
        <f t="shared" si="0"/>
        <v>0</v>
      </c>
      <c r="K16" s="75">
        <f t="shared" si="0"/>
        <v>0</v>
      </c>
      <c r="L16" s="76">
        <f t="shared" si="0"/>
        <v>0</v>
      </c>
    </row>
    <row r="17" spans="3:12" ht="15.6">
      <c r="C17" s="39" t="str">
        <f t="shared" si="1"/>
        <v/>
      </c>
      <c r="D17" s="45" t="str">
        <f>Parameter!E$14</f>
        <v>Blade</v>
      </c>
      <c r="E17" s="74">
        <f t="shared" si="0"/>
        <v>0.13304351768399997</v>
      </c>
      <c r="F17" s="75">
        <f t="shared" si="0"/>
        <v>5.6129546056319993E-2</v>
      </c>
      <c r="G17" s="75">
        <f t="shared" si="0"/>
        <v>3.4730156622347998E-2</v>
      </c>
      <c r="H17" s="75">
        <f t="shared" si="0"/>
        <v>0</v>
      </c>
      <c r="I17" s="75">
        <f t="shared" si="0"/>
        <v>0</v>
      </c>
      <c r="J17" s="75">
        <f t="shared" si="0"/>
        <v>0</v>
      </c>
      <c r="K17" s="75">
        <f t="shared" si="0"/>
        <v>0</v>
      </c>
      <c r="L17" s="76">
        <f t="shared" si="0"/>
        <v>0</v>
      </c>
    </row>
    <row r="18" spans="3:12" ht="16.2" thickBot="1">
      <c r="C18" s="39" t="str">
        <f t="shared" si="1"/>
        <v/>
      </c>
      <c r="D18" s="45" t="str">
        <f>Parameter!E$15</f>
        <v>DLP glasses</v>
      </c>
      <c r="E18" s="74">
        <f t="shared" si="0"/>
        <v>8.8588298699999998E-2</v>
      </c>
      <c r="F18" s="75">
        <f t="shared" si="0"/>
        <v>0</v>
      </c>
      <c r="G18" s="75">
        <f t="shared" si="0"/>
        <v>0</v>
      </c>
      <c r="H18" s="75">
        <f t="shared" si="0"/>
        <v>3.4382855056124519E-2</v>
      </c>
      <c r="I18" s="75">
        <f t="shared" si="0"/>
        <v>3.4039026505563272E-2</v>
      </c>
      <c r="J18" s="75">
        <f t="shared" si="0"/>
        <v>3.3698636240507639E-2</v>
      </c>
      <c r="K18" s="75">
        <f t="shared" si="0"/>
        <v>3.3361649878102556E-2</v>
      </c>
      <c r="L18" s="76">
        <f t="shared" si="0"/>
        <v>3.3000000000000002E-2</v>
      </c>
    </row>
    <row r="19" spans="3:12" ht="15.6" hidden="1">
      <c r="C19" s="39" t="str">
        <f t="shared" si="1"/>
        <v>H</v>
      </c>
      <c r="D19" s="45" t="str">
        <f>Parameter!E$16</f>
        <v>G1</v>
      </c>
      <c r="E19" s="74">
        <f t="shared" si="0"/>
        <v>0</v>
      </c>
      <c r="F19" s="75">
        <f t="shared" si="0"/>
        <v>0</v>
      </c>
      <c r="G19" s="75">
        <f t="shared" si="0"/>
        <v>0</v>
      </c>
      <c r="H19" s="75">
        <f t="shared" si="0"/>
        <v>0</v>
      </c>
      <c r="I19" s="75">
        <f t="shared" si="0"/>
        <v>0</v>
      </c>
      <c r="J19" s="75">
        <f t="shared" si="0"/>
        <v>0</v>
      </c>
      <c r="K19" s="75">
        <f t="shared" si="0"/>
        <v>0</v>
      </c>
      <c r="L19" s="76">
        <f t="shared" si="0"/>
        <v>0</v>
      </c>
    </row>
    <row r="20" spans="3:12" ht="15.6" hidden="1">
      <c r="C20" s="39" t="str">
        <f t="shared" si="1"/>
        <v>H</v>
      </c>
      <c r="D20" s="45" t="str">
        <f>Parameter!E$17</f>
        <v>Glass</v>
      </c>
      <c r="E20" s="74">
        <f t="shared" si="0"/>
        <v>0</v>
      </c>
      <c r="F20" s="75">
        <f t="shared" si="0"/>
        <v>0</v>
      </c>
      <c r="G20" s="75">
        <f t="shared" si="0"/>
        <v>0</v>
      </c>
      <c r="H20" s="75">
        <f t="shared" si="0"/>
        <v>0</v>
      </c>
      <c r="I20" s="75">
        <f t="shared" si="0"/>
        <v>0</v>
      </c>
      <c r="J20" s="75">
        <f t="shared" si="0"/>
        <v>0</v>
      </c>
      <c r="K20" s="75">
        <f t="shared" si="0"/>
        <v>0</v>
      </c>
      <c r="L20" s="76">
        <f t="shared" si="0"/>
        <v>0</v>
      </c>
    </row>
    <row r="21" spans="3:12" ht="15.6" hidden="1">
      <c r="C21" s="39" t="str">
        <f t="shared" si="1"/>
        <v>H</v>
      </c>
      <c r="D21" s="45" t="str">
        <f>Parameter!E$18</f>
        <v>Glasses</v>
      </c>
      <c r="E21" s="74">
        <f t="shared" ref="E21:L30" si="2">SUMIF(ARVR_Y_PC_PR, "AR_"&amp;E$10&amp;"_"&amp;$D$9&amp;"_"&amp;$D21, PanelRev)</f>
        <v>0</v>
      </c>
      <c r="F21" s="75">
        <f t="shared" si="2"/>
        <v>0</v>
      </c>
      <c r="G21" s="75">
        <f t="shared" si="2"/>
        <v>0</v>
      </c>
      <c r="H21" s="75">
        <f t="shared" si="2"/>
        <v>0</v>
      </c>
      <c r="I21" s="75">
        <f t="shared" si="2"/>
        <v>0</v>
      </c>
      <c r="J21" s="75">
        <f t="shared" si="2"/>
        <v>0</v>
      </c>
      <c r="K21" s="75">
        <f t="shared" si="2"/>
        <v>0</v>
      </c>
      <c r="L21" s="76">
        <f t="shared" si="2"/>
        <v>0</v>
      </c>
    </row>
    <row r="22" spans="3:12" ht="15.6" hidden="1">
      <c r="C22" s="39" t="str">
        <f t="shared" si="1"/>
        <v>H</v>
      </c>
      <c r="D22" s="45" t="str">
        <f>Parameter!E$19</f>
        <v>Go</v>
      </c>
      <c r="E22" s="74">
        <f t="shared" si="2"/>
        <v>0</v>
      </c>
      <c r="F22" s="75">
        <f t="shared" si="2"/>
        <v>0</v>
      </c>
      <c r="G22" s="75">
        <f t="shared" si="2"/>
        <v>0</v>
      </c>
      <c r="H22" s="75">
        <f t="shared" si="2"/>
        <v>0</v>
      </c>
      <c r="I22" s="75">
        <f t="shared" si="2"/>
        <v>0</v>
      </c>
      <c r="J22" s="75">
        <f t="shared" si="2"/>
        <v>0</v>
      </c>
      <c r="K22" s="75">
        <f t="shared" si="2"/>
        <v>0</v>
      </c>
      <c r="L22" s="76">
        <f t="shared" si="2"/>
        <v>0</v>
      </c>
    </row>
    <row r="23" spans="3:12" ht="15.6" hidden="1">
      <c r="C23" s="39" t="str">
        <f t="shared" si="1"/>
        <v>H</v>
      </c>
      <c r="D23" s="45" t="str">
        <f>Parameter!E$20</f>
        <v>Go 2</v>
      </c>
      <c r="E23" s="74">
        <f t="shared" si="2"/>
        <v>0</v>
      </c>
      <c r="F23" s="75">
        <f t="shared" si="2"/>
        <v>0</v>
      </c>
      <c r="G23" s="75">
        <f t="shared" si="2"/>
        <v>0</v>
      </c>
      <c r="H23" s="75">
        <f t="shared" si="2"/>
        <v>0</v>
      </c>
      <c r="I23" s="75">
        <f t="shared" si="2"/>
        <v>0</v>
      </c>
      <c r="J23" s="75">
        <f t="shared" si="2"/>
        <v>0</v>
      </c>
      <c r="K23" s="75">
        <f t="shared" si="2"/>
        <v>0</v>
      </c>
      <c r="L23" s="76">
        <f t="shared" si="2"/>
        <v>0</v>
      </c>
    </row>
    <row r="24" spans="3:12" ht="15.6" hidden="1">
      <c r="C24" s="39" t="str">
        <f t="shared" si="1"/>
        <v>H</v>
      </c>
      <c r="D24" s="45" t="str">
        <f>Parameter!E$21</f>
        <v>HoloLens 2</v>
      </c>
      <c r="E24" s="74">
        <f t="shared" si="2"/>
        <v>0</v>
      </c>
      <c r="F24" s="75">
        <f t="shared" si="2"/>
        <v>0</v>
      </c>
      <c r="G24" s="75">
        <f t="shared" si="2"/>
        <v>0</v>
      </c>
      <c r="H24" s="75">
        <f t="shared" si="2"/>
        <v>0</v>
      </c>
      <c r="I24" s="75">
        <f t="shared" si="2"/>
        <v>0</v>
      </c>
      <c r="J24" s="75">
        <f t="shared" si="2"/>
        <v>0</v>
      </c>
      <c r="K24" s="75">
        <f t="shared" si="2"/>
        <v>0</v>
      </c>
      <c r="L24" s="76">
        <f t="shared" si="2"/>
        <v>0</v>
      </c>
    </row>
    <row r="25" spans="3:12" ht="15.6" hidden="1">
      <c r="C25" s="39" t="str">
        <f t="shared" si="1"/>
        <v>H</v>
      </c>
      <c r="D25" s="45" t="str">
        <f>Parameter!E$22</f>
        <v>INAIR 2</v>
      </c>
      <c r="E25" s="74">
        <f t="shared" si="2"/>
        <v>0</v>
      </c>
      <c r="F25" s="75">
        <f t="shared" si="2"/>
        <v>0</v>
      </c>
      <c r="G25" s="75">
        <f t="shared" si="2"/>
        <v>0</v>
      </c>
      <c r="H25" s="75">
        <f t="shared" si="2"/>
        <v>0</v>
      </c>
      <c r="I25" s="75">
        <f t="shared" si="2"/>
        <v>0</v>
      </c>
      <c r="J25" s="75">
        <f t="shared" si="2"/>
        <v>0</v>
      </c>
      <c r="K25" s="75">
        <f t="shared" si="2"/>
        <v>0</v>
      </c>
      <c r="L25" s="76">
        <f t="shared" si="2"/>
        <v>0</v>
      </c>
    </row>
    <row r="26" spans="3:12" ht="15.6" hidden="1">
      <c r="C26" s="39" t="str">
        <f t="shared" si="1"/>
        <v>H</v>
      </c>
      <c r="D26" s="45" t="str">
        <f>Parameter!E$23</f>
        <v>INAIR 2 Pro</v>
      </c>
      <c r="E26" s="74">
        <f t="shared" si="2"/>
        <v>0</v>
      </c>
      <c r="F26" s="75">
        <f t="shared" si="2"/>
        <v>0</v>
      </c>
      <c r="G26" s="75">
        <f t="shared" si="2"/>
        <v>0</v>
      </c>
      <c r="H26" s="75">
        <f t="shared" si="2"/>
        <v>0</v>
      </c>
      <c r="I26" s="75">
        <f t="shared" si="2"/>
        <v>0</v>
      </c>
      <c r="J26" s="75">
        <f t="shared" si="2"/>
        <v>0</v>
      </c>
      <c r="K26" s="75">
        <f t="shared" si="2"/>
        <v>0</v>
      </c>
      <c r="L26" s="76">
        <f t="shared" si="2"/>
        <v>0</v>
      </c>
    </row>
    <row r="27" spans="3:12" ht="15.6" hidden="1">
      <c r="C27" s="39" t="str">
        <f t="shared" si="1"/>
        <v>H</v>
      </c>
      <c r="D27" s="45" t="str">
        <f>Parameter!E$24</f>
        <v>LBS glasses</v>
      </c>
      <c r="E27" s="74">
        <f t="shared" si="2"/>
        <v>0</v>
      </c>
      <c r="F27" s="75">
        <f t="shared" si="2"/>
        <v>0</v>
      </c>
      <c r="G27" s="75">
        <f t="shared" si="2"/>
        <v>0</v>
      </c>
      <c r="H27" s="75">
        <f t="shared" si="2"/>
        <v>0</v>
      </c>
      <c r="I27" s="75">
        <f t="shared" si="2"/>
        <v>0</v>
      </c>
      <c r="J27" s="75">
        <f t="shared" si="2"/>
        <v>0</v>
      </c>
      <c r="K27" s="75">
        <f t="shared" si="2"/>
        <v>0</v>
      </c>
      <c r="L27" s="76">
        <f t="shared" si="2"/>
        <v>0</v>
      </c>
    </row>
    <row r="28" spans="3:12" ht="15.6" hidden="1">
      <c r="C28" s="39" t="str">
        <f t="shared" si="1"/>
        <v>H</v>
      </c>
      <c r="D28" s="45" t="str">
        <f>Parameter!E$25</f>
        <v>LCoS glasses</v>
      </c>
      <c r="E28" s="74">
        <f t="shared" si="2"/>
        <v>0</v>
      </c>
      <c r="F28" s="75">
        <f t="shared" si="2"/>
        <v>0</v>
      </c>
      <c r="G28" s="75">
        <f t="shared" si="2"/>
        <v>0</v>
      </c>
      <c r="H28" s="75">
        <f t="shared" si="2"/>
        <v>0</v>
      </c>
      <c r="I28" s="75">
        <f t="shared" si="2"/>
        <v>0</v>
      </c>
      <c r="J28" s="75">
        <f t="shared" si="2"/>
        <v>0</v>
      </c>
      <c r="K28" s="75">
        <f t="shared" si="2"/>
        <v>0</v>
      </c>
      <c r="L28" s="76">
        <f t="shared" si="2"/>
        <v>0</v>
      </c>
    </row>
    <row r="29" spans="3:12" ht="15.6" hidden="1">
      <c r="C29" s="39" t="str">
        <f t="shared" si="1"/>
        <v>H</v>
      </c>
      <c r="D29" s="45" t="str">
        <f>Parameter!E$26</f>
        <v>Lenovo Legion Glasses 2</v>
      </c>
      <c r="E29" s="74">
        <f t="shared" si="2"/>
        <v>0</v>
      </c>
      <c r="F29" s="75">
        <f t="shared" si="2"/>
        <v>0</v>
      </c>
      <c r="G29" s="75">
        <f t="shared" si="2"/>
        <v>0</v>
      </c>
      <c r="H29" s="75">
        <f t="shared" si="2"/>
        <v>0</v>
      </c>
      <c r="I29" s="75">
        <f t="shared" si="2"/>
        <v>0</v>
      </c>
      <c r="J29" s="75">
        <f t="shared" si="2"/>
        <v>0</v>
      </c>
      <c r="K29" s="75">
        <f t="shared" si="2"/>
        <v>0</v>
      </c>
      <c r="L29" s="76">
        <f t="shared" si="2"/>
        <v>0</v>
      </c>
    </row>
    <row r="30" spans="3:12" ht="15.6" hidden="1">
      <c r="C30" s="39" t="str">
        <f t="shared" si="1"/>
        <v>H</v>
      </c>
      <c r="D30" s="45" t="str">
        <f>Parameter!E$27</f>
        <v>Light</v>
      </c>
      <c r="E30" s="74">
        <f t="shared" si="2"/>
        <v>0</v>
      </c>
      <c r="F30" s="75">
        <f t="shared" si="2"/>
        <v>0</v>
      </c>
      <c r="G30" s="75">
        <f t="shared" si="2"/>
        <v>0</v>
      </c>
      <c r="H30" s="75">
        <f t="shared" si="2"/>
        <v>0</v>
      </c>
      <c r="I30" s="75">
        <f t="shared" si="2"/>
        <v>0</v>
      </c>
      <c r="J30" s="75">
        <f t="shared" si="2"/>
        <v>0</v>
      </c>
      <c r="K30" s="75">
        <f t="shared" si="2"/>
        <v>0</v>
      </c>
      <c r="L30" s="76">
        <f t="shared" si="2"/>
        <v>0</v>
      </c>
    </row>
    <row r="31" spans="3:12" ht="15.6" hidden="1">
      <c r="C31" s="39" t="str">
        <f t="shared" si="1"/>
        <v>H</v>
      </c>
      <c r="D31" s="45" t="str">
        <f>Parameter!E$28</f>
        <v>Max</v>
      </c>
      <c r="E31" s="74">
        <f t="shared" ref="E31:L40" si="3">SUMIF(ARVR_Y_PC_PR, "AR_"&amp;E$10&amp;"_"&amp;$D$9&amp;"_"&amp;$D31, PanelRev)</f>
        <v>0</v>
      </c>
      <c r="F31" s="75">
        <f t="shared" si="3"/>
        <v>0</v>
      </c>
      <c r="G31" s="75">
        <f t="shared" si="3"/>
        <v>0</v>
      </c>
      <c r="H31" s="75">
        <f t="shared" si="3"/>
        <v>0</v>
      </c>
      <c r="I31" s="75">
        <f t="shared" si="3"/>
        <v>0</v>
      </c>
      <c r="J31" s="75">
        <f t="shared" si="3"/>
        <v>0</v>
      </c>
      <c r="K31" s="75">
        <f t="shared" si="3"/>
        <v>0</v>
      </c>
      <c r="L31" s="76">
        <f t="shared" si="3"/>
        <v>0</v>
      </c>
    </row>
    <row r="32" spans="3:12" ht="15.6" hidden="1">
      <c r="C32" s="39" t="str">
        <f t="shared" si="1"/>
        <v>H</v>
      </c>
      <c r="D32" s="45" t="str">
        <f>Parameter!E$29</f>
        <v>Max 2</v>
      </c>
      <c r="E32" s="74">
        <f t="shared" si="3"/>
        <v>0</v>
      </c>
      <c r="F32" s="75">
        <f t="shared" si="3"/>
        <v>0</v>
      </c>
      <c r="G32" s="75">
        <f t="shared" si="3"/>
        <v>0</v>
      </c>
      <c r="H32" s="75">
        <f t="shared" si="3"/>
        <v>0</v>
      </c>
      <c r="I32" s="75">
        <f t="shared" si="3"/>
        <v>0</v>
      </c>
      <c r="J32" s="75">
        <f t="shared" si="3"/>
        <v>0</v>
      </c>
      <c r="K32" s="75">
        <f t="shared" si="3"/>
        <v>0</v>
      </c>
      <c r="L32" s="76">
        <f t="shared" si="3"/>
        <v>0</v>
      </c>
    </row>
    <row r="33" spans="3:12" ht="15.6" hidden="1">
      <c r="C33" s="39" t="str">
        <f t="shared" si="1"/>
        <v>H</v>
      </c>
      <c r="D33" s="45" t="str">
        <f>Parameter!E$30</f>
        <v>Meizu StarV Air 2</v>
      </c>
      <c r="E33" s="74">
        <f t="shared" si="3"/>
        <v>0</v>
      </c>
      <c r="F33" s="75">
        <f t="shared" si="3"/>
        <v>0</v>
      </c>
      <c r="G33" s="75">
        <f t="shared" si="3"/>
        <v>0</v>
      </c>
      <c r="H33" s="75">
        <f t="shared" si="3"/>
        <v>0</v>
      </c>
      <c r="I33" s="75">
        <f t="shared" si="3"/>
        <v>0</v>
      </c>
      <c r="J33" s="75">
        <f t="shared" si="3"/>
        <v>0</v>
      </c>
      <c r="K33" s="75">
        <f t="shared" si="3"/>
        <v>0</v>
      </c>
      <c r="L33" s="76">
        <f t="shared" si="3"/>
        <v>0</v>
      </c>
    </row>
    <row r="34" spans="3:12" ht="15.6" hidden="1">
      <c r="C34" s="39" t="str">
        <f t="shared" si="1"/>
        <v>H</v>
      </c>
      <c r="D34" s="45" t="str">
        <f>Parameter!E$31</f>
        <v>Meizu StarV View</v>
      </c>
      <c r="E34" s="74">
        <f t="shared" si="3"/>
        <v>0</v>
      </c>
      <c r="F34" s="75">
        <f t="shared" si="3"/>
        <v>0</v>
      </c>
      <c r="G34" s="75">
        <f t="shared" si="3"/>
        <v>0</v>
      </c>
      <c r="H34" s="75">
        <f t="shared" si="3"/>
        <v>0</v>
      </c>
      <c r="I34" s="75">
        <f t="shared" si="3"/>
        <v>0</v>
      </c>
      <c r="J34" s="75">
        <f t="shared" si="3"/>
        <v>0</v>
      </c>
      <c r="K34" s="75">
        <f t="shared" si="3"/>
        <v>0</v>
      </c>
      <c r="L34" s="76">
        <f t="shared" si="3"/>
        <v>0</v>
      </c>
    </row>
    <row r="35" spans="3:12" ht="15.6" hidden="1">
      <c r="C35" s="39" t="str">
        <f t="shared" si="1"/>
        <v>H</v>
      </c>
      <c r="D35" s="45" t="str">
        <f>Parameter!E$32</f>
        <v>MiRZA</v>
      </c>
      <c r="E35" s="74">
        <f t="shared" si="3"/>
        <v>0</v>
      </c>
      <c r="F35" s="75">
        <f t="shared" si="3"/>
        <v>0</v>
      </c>
      <c r="G35" s="75">
        <f t="shared" si="3"/>
        <v>0</v>
      </c>
      <c r="H35" s="75">
        <f t="shared" si="3"/>
        <v>0</v>
      </c>
      <c r="I35" s="75">
        <f t="shared" si="3"/>
        <v>0</v>
      </c>
      <c r="J35" s="75">
        <f t="shared" si="3"/>
        <v>0</v>
      </c>
      <c r="K35" s="75">
        <f t="shared" si="3"/>
        <v>0</v>
      </c>
      <c r="L35" s="76">
        <f t="shared" si="3"/>
        <v>0</v>
      </c>
    </row>
    <row r="36" spans="3:12" ht="15.6" hidden="1">
      <c r="C36" s="39" t="str">
        <f t="shared" si="1"/>
        <v>H</v>
      </c>
      <c r="D36" s="45" t="str">
        <f>Parameter!E$33</f>
        <v>ML 2</v>
      </c>
      <c r="E36" s="74">
        <f t="shared" si="3"/>
        <v>0</v>
      </c>
      <c r="F36" s="75">
        <f t="shared" si="3"/>
        <v>0</v>
      </c>
      <c r="G36" s="75">
        <f t="shared" si="3"/>
        <v>0</v>
      </c>
      <c r="H36" s="75">
        <f t="shared" si="3"/>
        <v>0</v>
      </c>
      <c r="I36" s="75">
        <f t="shared" si="3"/>
        <v>0</v>
      </c>
      <c r="J36" s="75">
        <f t="shared" si="3"/>
        <v>0</v>
      </c>
      <c r="K36" s="75">
        <f t="shared" si="3"/>
        <v>0</v>
      </c>
      <c r="L36" s="76">
        <f t="shared" si="3"/>
        <v>0</v>
      </c>
    </row>
    <row r="37" spans="3:12" ht="15.6" hidden="1">
      <c r="C37" s="39" t="str">
        <f t="shared" si="1"/>
        <v>H</v>
      </c>
      <c r="D37" s="45" t="str">
        <f>Parameter!E$34</f>
        <v>ML One</v>
      </c>
      <c r="E37" s="74">
        <f t="shared" si="3"/>
        <v>0</v>
      </c>
      <c r="F37" s="75">
        <f t="shared" si="3"/>
        <v>0</v>
      </c>
      <c r="G37" s="75">
        <f t="shared" si="3"/>
        <v>0</v>
      </c>
      <c r="H37" s="75">
        <f t="shared" si="3"/>
        <v>0</v>
      </c>
      <c r="I37" s="75">
        <f t="shared" si="3"/>
        <v>0</v>
      </c>
      <c r="J37" s="75">
        <f t="shared" si="3"/>
        <v>0</v>
      </c>
      <c r="K37" s="75">
        <f t="shared" si="3"/>
        <v>0</v>
      </c>
      <c r="L37" s="76">
        <f t="shared" si="3"/>
        <v>0</v>
      </c>
    </row>
    <row r="38" spans="3:12" ht="15.6" hidden="1">
      <c r="C38" s="39" t="str">
        <f t="shared" si="1"/>
        <v>H</v>
      </c>
      <c r="D38" s="45" t="str">
        <f>Parameter!E$35</f>
        <v>Monocular LCoS glasses</v>
      </c>
      <c r="E38" s="74">
        <f t="shared" si="3"/>
        <v>0</v>
      </c>
      <c r="F38" s="75">
        <f t="shared" si="3"/>
        <v>0</v>
      </c>
      <c r="G38" s="75">
        <f t="shared" si="3"/>
        <v>0</v>
      </c>
      <c r="H38" s="75">
        <f t="shared" si="3"/>
        <v>0</v>
      </c>
      <c r="I38" s="75">
        <f t="shared" si="3"/>
        <v>0</v>
      </c>
      <c r="J38" s="75">
        <f t="shared" si="3"/>
        <v>0</v>
      </c>
      <c r="K38" s="75">
        <f t="shared" si="3"/>
        <v>0</v>
      </c>
      <c r="L38" s="76">
        <f t="shared" si="3"/>
        <v>0</v>
      </c>
    </row>
    <row r="39" spans="3:12" ht="15.6" hidden="1">
      <c r="C39" s="39" t="str">
        <f t="shared" si="1"/>
        <v>H</v>
      </c>
      <c r="D39" s="45" t="str">
        <f>Parameter!E$36</f>
        <v>Monocular MicroLED</v>
      </c>
      <c r="E39" s="74">
        <f t="shared" si="3"/>
        <v>0</v>
      </c>
      <c r="F39" s="75">
        <f t="shared" si="3"/>
        <v>0</v>
      </c>
      <c r="G39" s="75">
        <f t="shared" si="3"/>
        <v>0</v>
      </c>
      <c r="H39" s="75">
        <f t="shared" si="3"/>
        <v>0</v>
      </c>
      <c r="I39" s="75">
        <f t="shared" si="3"/>
        <v>0</v>
      </c>
      <c r="J39" s="75">
        <f t="shared" si="3"/>
        <v>0</v>
      </c>
      <c r="K39" s="75">
        <f t="shared" si="3"/>
        <v>0</v>
      </c>
      <c r="L39" s="76">
        <f t="shared" si="3"/>
        <v>0</v>
      </c>
    </row>
    <row r="40" spans="3:12" ht="15.6" hidden="1">
      <c r="C40" s="39" t="str">
        <f t="shared" si="1"/>
        <v>H</v>
      </c>
      <c r="D40" s="45" t="str">
        <f>Parameter!E$37</f>
        <v>Moverio</v>
      </c>
      <c r="E40" s="74">
        <f t="shared" si="3"/>
        <v>0</v>
      </c>
      <c r="F40" s="75">
        <f t="shared" si="3"/>
        <v>0</v>
      </c>
      <c r="G40" s="75">
        <f t="shared" si="3"/>
        <v>0</v>
      </c>
      <c r="H40" s="75">
        <f t="shared" si="3"/>
        <v>0</v>
      </c>
      <c r="I40" s="75">
        <f t="shared" si="3"/>
        <v>0</v>
      </c>
      <c r="J40" s="75">
        <f t="shared" si="3"/>
        <v>0</v>
      </c>
      <c r="K40" s="75">
        <f t="shared" si="3"/>
        <v>0</v>
      </c>
      <c r="L40" s="76">
        <f t="shared" si="3"/>
        <v>0</v>
      </c>
    </row>
    <row r="41" spans="3:12" ht="15.6" hidden="1">
      <c r="C41" s="39" t="str">
        <f t="shared" si="1"/>
        <v>H</v>
      </c>
      <c r="D41" s="45" t="str">
        <f>Parameter!E$38</f>
        <v>MYVU</v>
      </c>
      <c r="E41" s="74">
        <f t="shared" ref="E41:L50" si="4">SUMIF(ARVR_Y_PC_PR, "AR_"&amp;E$10&amp;"_"&amp;$D$9&amp;"_"&amp;$D41, PanelRev)</f>
        <v>0</v>
      </c>
      <c r="F41" s="75">
        <f t="shared" si="4"/>
        <v>0</v>
      </c>
      <c r="G41" s="75">
        <f t="shared" si="4"/>
        <v>0</v>
      </c>
      <c r="H41" s="75">
        <f t="shared" si="4"/>
        <v>0</v>
      </c>
      <c r="I41" s="75">
        <f t="shared" si="4"/>
        <v>0</v>
      </c>
      <c r="J41" s="75">
        <f t="shared" si="4"/>
        <v>0</v>
      </c>
      <c r="K41" s="75">
        <f t="shared" si="4"/>
        <v>0</v>
      </c>
      <c r="L41" s="76">
        <f t="shared" si="4"/>
        <v>0</v>
      </c>
    </row>
    <row r="42" spans="3:12" ht="15.6" hidden="1">
      <c r="C42" s="39" t="str">
        <f t="shared" si="1"/>
        <v>H</v>
      </c>
      <c r="D42" s="45" t="str">
        <f>Parameter!E$39</f>
        <v>NXTWear</v>
      </c>
      <c r="E42" s="74">
        <f t="shared" si="4"/>
        <v>0</v>
      </c>
      <c r="F42" s="75">
        <f t="shared" si="4"/>
        <v>0</v>
      </c>
      <c r="G42" s="75">
        <f t="shared" si="4"/>
        <v>0</v>
      </c>
      <c r="H42" s="75">
        <f t="shared" si="4"/>
        <v>0</v>
      </c>
      <c r="I42" s="75">
        <f t="shared" si="4"/>
        <v>0</v>
      </c>
      <c r="J42" s="75">
        <f t="shared" si="4"/>
        <v>0</v>
      </c>
      <c r="K42" s="75">
        <f t="shared" si="4"/>
        <v>0</v>
      </c>
      <c r="L42" s="76">
        <f t="shared" si="4"/>
        <v>0</v>
      </c>
    </row>
    <row r="43" spans="3:12" ht="15.6" hidden="1">
      <c r="C43" s="39" t="str">
        <f t="shared" si="1"/>
        <v>H</v>
      </c>
      <c r="D43" s="45" t="str">
        <f>Parameter!E$40</f>
        <v>One</v>
      </c>
      <c r="E43" s="74">
        <f t="shared" si="4"/>
        <v>0</v>
      </c>
      <c r="F43" s="75">
        <f t="shared" si="4"/>
        <v>0</v>
      </c>
      <c r="G43" s="75">
        <f t="shared" si="4"/>
        <v>0</v>
      </c>
      <c r="H43" s="75">
        <f t="shared" si="4"/>
        <v>0</v>
      </c>
      <c r="I43" s="75">
        <f t="shared" si="4"/>
        <v>0</v>
      </c>
      <c r="J43" s="75">
        <f t="shared" si="4"/>
        <v>0</v>
      </c>
      <c r="K43" s="75">
        <f t="shared" si="4"/>
        <v>0</v>
      </c>
      <c r="L43" s="76">
        <f t="shared" si="4"/>
        <v>0</v>
      </c>
    </row>
    <row r="44" spans="3:12" ht="15.6" hidden="1">
      <c r="C44" s="39" t="str">
        <f t="shared" si="1"/>
        <v>H</v>
      </c>
      <c r="D44" s="45" t="str">
        <f>Parameter!E$41</f>
        <v>One Pro</v>
      </c>
      <c r="E44" s="74">
        <f t="shared" si="4"/>
        <v>0</v>
      </c>
      <c r="F44" s="75">
        <f t="shared" si="4"/>
        <v>0</v>
      </c>
      <c r="G44" s="75">
        <f t="shared" si="4"/>
        <v>0</v>
      </c>
      <c r="H44" s="75">
        <f t="shared" si="4"/>
        <v>0</v>
      </c>
      <c r="I44" s="75">
        <f t="shared" si="4"/>
        <v>0</v>
      </c>
      <c r="J44" s="75">
        <f t="shared" si="4"/>
        <v>0</v>
      </c>
      <c r="K44" s="75">
        <f t="shared" si="4"/>
        <v>0</v>
      </c>
      <c r="L44" s="76">
        <f t="shared" si="4"/>
        <v>0</v>
      </c>
    </row>
    <row r="45" spans="3:12" ht="15.6" hidden="1">
      <c r="C45" s="39" t="str">
        <f t="shared" si="1"/>
        <v>H</v>
      </c>
      <c r="D45" s="45" t="str">
        <f>Parameter!E$42</f>
        <v>Quark AI</v>
      </c>
      <c r="E45" s="74">
        <f t="shared" si="4"/>
        <v>0</v>
      </c>
      <c r="F45" s="75">
        <f t="shared" si="4"/>
        <v>0</v>
      </c>
      <c r="G45" s="75">
        <f t="shared" si="4"/>
        <v>0</v>
      </c>
      <c r="H45" s="75">
        <f t="shared" si="4"/>
        <v>0</v>
      </c>
      <c r="I45" s="75">
        <f t="shared" si="4"/>
        <v>0</v>
      </c>
      <c r="J45" s="75">
        <f t="shared" si="4"/>
        <v>0</v>
      </c>
      <c r="K45" s="75">
        <f t="shared" si="4"/>
        <v>0</v>
      </c>
      <c r="L45" s="76">
        <f t="shared" si="4"/>
        <v>0</v>
      </c>
    </row>
    <row r="46" spans="3:12" ht="15.6" hidden="1">
      <c r="C46" s="39" t="str">
        <f t="shared" si="1"/>
        <v>H</v>
      </c>
      <c r="D46" s="45" t="str">
        <f>Parameter!E$43</f>
        <v>Ray-Ban Meta Display</v>
      </c>
      <c r="E46" s="74">
        <f t="shared" si="4"/>
        <v>0</v>
      </c>
      <c r="F46" s="75">
        <f t="shared" si="4"/>
        <v>0</v>
      </c>
      <c r="G46" s="75">
        <f t="shared" si="4"/>
        <v>0</v>
      </c>
      <c r="H46" s="75">
        <f t="shared" si="4"/>
        <v>0</v>
      </c>
      <c r="I46" s="75">
        <f t="shared" si="4"/>
        <v>0</v>
      </c>
      <c r="J46" s="75">
        <f t="shared" si="4"/>
        <v>0</v>
      </c>
      <c r="K46" s="75">
        <f t="shared" si="4"/>
        <v>0</v>
      </c>
      <c r="L46" s="76">
        <f t="shared" si="4"/>
        <v>0</v>
      </c>
    </row>
    <row r="47" spans="3:12" ht="15.6" hidden="1">
      <c r="C47" s="39" t="str">
        <f t="shared" si="1"/>
        <v>H</v>
      </c>
      <c r="D47" s="45" t="str">
        <f>Parameter!E$44</f>
        <v>Shield</v>
      </c>
      <c r="E47" s="74">
        <f t="shared" si="4"/>
        <v>0</v>
      </c>
      <c r="F47" s="75">
        <f t="shared" si="4"/>
        <v>0</v>
      </c>
      <c r="G47" s="75">
        <f t="shared" si="4"/>
        <v>0</v>
      </c>
      <c r="H47" s="75">
        <f t="shared" si="4"/>
        <v>0</v>
      </c>
      <c r="I47" s="75">
        <f t="shared" si="4"/>
        <v>0</v>
      </c>
      <c r="J47" s="75">
        <f t="shared" si="4"/>
        <v>0</v>
      </c>
      <c r="K47" s="75">
        <f t="shared" si="4"/>
        <v>0</v>
      </c>
      <c r="L47" s="76">
        <f t="shared" si="4"/>
        <v>0</v>
      </c>
    </row>
    <row r="48" spans="3:12" ht="15.6" hidden="1">
      <c r="C48" s="39" t="str">
        <f t="shared" si="1"/>
        <v>H</v>
      </c>
      <c r="D48" s="45" t="str">
        <f>Parameter!E$45</f>
        <v>SiOLED glasses</v>
      </c>
      <c r="E48" s="74">
        <f t="shared" si="4"/>
        <v>0</v>
      </c>
      <c r="F48" s="75">
        <f t="shared" si="4"/>
        <v>0</v>
      </c>
      <c r="G48" s="75">
        <f t="shared" si="4"/>
        <v>0</v>
      </c>
      <c r="H48" s="75">
        <f t="shared" si="4"/>
        <v>0</v>
      </c>
      <c r="I48" s="75">
        <f t="shared" si="4"/>
        <v>0</v>
      </c>
      <c r="J48" s="75">
        <f t="shared" si="4"/>
        <v>0</v>
      </c>
      <c r="K48" s="75">
        <f t="shared" si="4"/>
        <v>0</v>
      </c>
      <c r="L48" s="76">
        <f t="shared" si="4"/>
        <v>0</v>
      </c>
    </row>
    <row r="49" spans="3:12" ht="15.6" hidden="1">
      <c r="C49" s="39" t="str">
        <f t="shared" si="1"/>
        <v>H</v>
      </c>
      <c r="D49" s="45" t="str">
        <f>Parameter!E$46</f>
        <v>T1</v>
      </c>
      <c r="E49" s="74">
        <f t="shared" si="4"/>
        <v>0</v>
      </c>
      <c r="F49" s="75">
        <f t="shared" si="4"/>
        <v>0</v>
      </c>
      <c r="G49" s="75">
        <f t="shared" si="4"/>
        <v>0</v>
      </c>
      <c r="H49" s="75">
        <f t="shared" si="4"/>
        <v>0</v>
      </c>
      <c r="I49" s="75">
        <f t="shared" si="4"/>
        <v>0</v>
      </c>
      <c r="J49" s="75">
        <f t="shared" si="4"/>
        <v>0</v>
      </c>
      <c r="K49" s="75">
        <f t="shared" si="4"/>
        <v>0</v>
      </c>
      <c r="L49" s="76">
        <f t="shared" si="4"/>
        <v>0</v>
      </c>
    </row>
    <row r="50" spans="3:12" ht="15.6" hidden="1">
      <c r="C50" s="39" t="str">
        <f t="shared" si="1"/>
        <v>H</v>
      </c>
      <c r="D50" s="45" t="str">
        <f>Parameter!E$47</f>
        <v>ThinkReality A3</v>
      </c>
      <c r="E50" s="74">
        <f t="shared" si="4"/>
        <v>0</v>
      </c>
      <c r="F50" s="75">
        <f t="shared" si="4"/>
        <v>0</v>
      </c>
      <c r="G50" s="75">
        <f t="shared" si="4"/>
        <v>0</v>
      </c>
      <c r="H50" s="75">
        <f t="shared" si="4"/>
        <v>0</v>
      </c>
      <c r="I50" s="75">
        <f t="shared" si="4"/>
        <v>0</v>
      </c>
      <c r="J50" s="75">
        <f t="shared" si="4"/>
        <v>0</v>
      </c>
      <c r="K50" s="75">
        <f t="shared" si="4"/>
        <v>0</v>
      </c>
      <c r="L50" s="76">
        <f t="shared" si="4"/>
        <v>0</v>
      </c>
    </row>
    <row r="51" spans="3:12" ht="15.6" hidden="1">
      <c r="C51" s="39" t="str">
        <f t="shared" si="1"/>
        <v>H</v>
      </c>
      <c r="D51" s="45" t="str">
        <f>Parameter!E$48</f>
        <v>Viture Pro</v>
      </c>
      <c r="E51" s="74">
        <f t="shared" ref="E51:L60" si="5">SUMIF(ARVR_Y_PC_PR, "AR_"&amp;E$10&amp;"_"&amp;$D$9&amp;"_"&amp;$D51, PanelRev)</f>
        <v>0</v>
      </c>
      <c r="F51" s="75">
        <f t="shared" si="5"/>
        <v>0</v>
      </c>
      <c r="G51" s="75">
        <f t="shared" si="5"/>
        <v>0</v>
      </c>
      <c r="H51" s="75">
        <f t="shared" si="5"/>
        <v>0</v>
      </c>
      <c r="I51" s="75">
        <f t="shared" si="5"/>
        <v>0</v>
      </c>
      <c r="J51" s="75">
        <f t="shared" si="5"/>
        <v>0</v>
      </c>
      <c r="K51" s="75">
        <f t="shared" si="5"/>
        <v>0</v>
      </c>
      <c r="L51" s="76">
        <f t="shared" si="5"/>
        <v>0</v>
      </c>
    </row>
    <row r="52" spans="3:12" ht="15.6" hidden="1">
      <c r="C52" s="39" t="str">
        <f t="shared" si="1"/>
        <v>H</v>
      </c>
      <c r="D52" s="45" t="str">
        <f>Parameter!E$49</f>
        <v>X3 Pro</v>
      </c>
      <c r="E52" s="74">
        <f t="shared" si="5"/>
        <v>0</v>
      </c>
      <c r="F52" s="75">
        <f t="shared" si="5"/>
        <v>0</v>
      </c>
      <c r="G52" s="75">
        <f t="shared" si="5"/>
        <v>0</v>
      </c>
      <c r="H52" s="75">
        <f t="shared" si="5"/>
        <v>0</v>
      </c>
      <c r="I52" s="75">
        <f t="shared" si="5"/>
        <v>0</v>
      </c>
      <c r="J52" s="75">
        <f t="shared" si="5"/>
        <v>0</v>
      </c>
      <c r="K52" s="75">
        <f t="shared" si="5"/>
        <v>0</v>
      </c>
      <c r="L52" s="76">
        <f t="shared" si="5"/>
        <v>0</v>
      </c>
    </row>
    <row r="53" spans="3:12" ht="15.6" hidden="1">
      <c r="C53" s="39" t="str">
        <f t="shared" si="1"/>
        <v>H</v>
      </c>
      <c r="D53" s="45" t="str">
        <f>Parameter!E$50</f>
        <v>Z100</v>
      </c>
      <c r="E53" s="74">
        <f t="shared" si="5"/>
        <v>0</v>
      </c>
      <c r="F53" s="75">
        <f t="shared" si="5"/>
        <v>0</v>
      </c>
      <c r="G53" s="75">
        <f t="shared" si="5"/>
        <v>0</v>
      </c>
      <c r="H53" s="75">
        <f t="shared" si="5"/>
        <v>0</v>
      </c>
      <c r="I53" s="75">
        <f t="shared" si="5"/>
        <v>0</v>
      </c>
      <c r="J53" s="75">
        <f t="shared" si="5"/>
        <v>0</v>
      </c>
      <c r="K53" s="75">
        <f t="shared" si="5"/>
        <v>0</v>
      </c>
      <c r="L53" s="76">
        <f t="shared" si="5"/>
        <v>0</v>
      </c>
    </row>
    <row r="54" spans="3:12" ht="15.6" hidden="1">
      <c r="C54" s="39" t="str">
        <f t="shared" si="1"/>
        <v>H</v>
      </c>
      <c r="D54" s="45">
        <f>Parameter!E$51</f>
        <v>0</v>
      </c>
      <c r="E54" s="74">
        <f t="shared" si="5"/>
        <v>0</v>
      </c>
      <c r="F54" s="75">
        <f t="shared" si="5"/>
        <v>0</v>
      </c>
      <c r="G54" s="75">
        <f t="shared" si="5"/>
        <v>0</v>
      </c>
      <c r="H54" s="75">
        <f t="shared" si="5"/>
        <v>0</v>
      </c>
      <c r="I54" s="75">
        <f t="shared" si="5"/>
        <v>0</v>
      </c>
      <c r="J54" s="75">
        <f t="shared" si="5"/>
        <v>0</v>
      </c>
      <c r="K54" s="75">
        <f t="shared" si="5"/>
        <v>0</v>
      </c>
      <c r="L54" s="76">
        <f t="shared" si="5"/>
        <v>0</v>
      </c>
    </row>
    <row r="55" spans="3:12" ht="15.6" hidden="1">
      <c r="C55" s="39" t="str">
        <f t="shared" si="1"/>
        <v>H</v>
      </c>
      <c r="D55" s="45">
        <f>Parameter!E$52</f>
        <v>0</v>
      </c>
      <c r="E55" s="74">
        <f t="shared" si="5"/>
        <v>0</v>
      </c>
      <c r="F55" s="75">
        <f t="shared" si="5"/>
        <v>0</v>
      </c>
      <c r="G55" s="75">
        <f t="shared" si="5"/>
        <v>0</v>
      </c>
      <c r="H55" s="75">
        <f t="shared" si="5"/>
        <v>0</v>
      </c>
      <c r="I55" s="75">
        <f t="shared" si="5"/>
        <v>0</v>
      </c>
      <c r="J55" s="75">
        <f t="shared" si="5"/>
        <v>0</v>
      </c>
      <c r="K55" s="75">
        <f t="shared" si="5"/>
        <v>0</v>
      </c>
      <c r="L55" s="76">
        <f t="shared" si="5"/>
        <v>0</v>
      </c>
    </row>
    <row r="56" spans="3:12" ht="15.6" hidden="1">
      <c r="C56" s="39" t="str">
        <f t="shared" si="1"/>
        <v>H</v>
      </c>
      <c r="D56" s="45">
        <f>Parameter!E$53</f>
        <v>0</v>
      </c>
      <c r="E56" s="74">
        <f t="shared" si="5"/>
        <v>0</v>
      </c>
      <c r="F56" s="75">
        <f t="shared" si="5"/>
        <v>0</v>
      </c>
      <c r="G56" s="75">
        <f t="shared" si="5"/>
        <v>0</v>
      </c>
      <c r="H56" s="75">
        <f t="shared" si="5"/>
        <v>0</v>
      </c>
      <c r="I56" s="75">
        <f t="shared" si="5"/>
        <v>0</v>
      </c>
      <c r="J56" s="75">
        <f t="shared" si="5"/>
        <v>0</v>
      </c>
      <c r="K56" s="75">
        <f t="shared" si="5"/>
        <v>0</v>
      </c>
      <c r="L56" s="76">
        <f t="shared" si="5"/>
        <v>0</v>
      </c>
    </row>
    <row r="57" spans="3:12" ht="15.6" hidden="1">
      <c r="C57" s="39" t="str">
        <f t="shared" si="1"/>
        <v>H</v>
      </c>
      <c r="D57" s="45">
        <f>Parameter!E$54</f>
        <v>0</v>
      </c>
      <c r="E57" s="74">
        <f t="shared" si="5"/>
        <v>0</v>
      </c>
      <c r="F57" s="75">
        <f t="shared" si="5"/>
        <v>0</v>
      </c>
      <c r="G57" s="75">
        <f t="shared" si="5"/>
        <v>0</v>
      </c>
      <c r="H57" s="75">
        <f t="shared" si="5"/>
        <v>0</v>
      </c>
      <c r="I57" s="75">
        <f t="shared" si="5"/>
        <v>0</v>
      </c>
      <c r="J57" s="75">
        <f t="shared" si="5"/>
        <v>0</v>
      </c>
      <c r="K57" s="75">
        <f t="shared" si="5"/>
        <v>0</v>
      </c>
      <c r="L57" s="76">
        <f t="shared" si="5"/>
        <v>0</v>
      </c>
    </row>
    <row r="58" spans="3:12" ht="15.6" hidden="1">
      <c r="C58" s="39" t="str">
        <f t="shared" si="1"/>
        <v>H</v>
      </c>
      <c r="D58" s="45">
        <f>Parameter!E$55</f>
        <v>0</v>
      </c>
      <c r="E58" s="74">
        <f t="shared" si="5"/>
        <v>0</v>
      </c>
      <c r="F58" s="75">
        <f t="shared" si="5"/>
        <v>0</v>
      </c>
      <c r="G58" s="75">
        <f t="shared" si="5"/>
        <v>0</v>
      </c>
      <c r="H58" s="75">
        <f t="shared" si="5"/>
        <v>0</v>
      </c>
      <c r="I58" s="75">
        <f t="shared" si="5"/>
        <v>0</v>
      </c>
      <c r="J58" s="75">
        <f t="shared" si="5"/>
        <v>0</v>
      </c>
      <c r="K58" s="75">
        <f t="shared" si="5"/>
        <v>0</v>
      </c>
      <c r="L58" s="76">
        <f t="shared" si="5"/>
        <v>0</v>
      </c>
    </row>
    <row r="59" spans="3:12" ht="15.6" hidden="1">
      <c r="C59" s="39" t="str">
        <f t="shared" si="1"/>
        <v>H</v>
      </c>
      <c r="D59" s="45">
        <f>Parameter!E$56</f>
        <v>0</v>
      </c>
      <c r="E59" s="74">
        <f t="shared" si="5"/>
        <v>0</v>
      </c>
      <c r="F59" s="75">
        <f t="shared" si="5"/>
        <v>0</v>
      </c>
      <c r="G59" s="75">
        <f t="shared" si="5"/>
        <v>0</v>
      </c>
      <c r="H59" s="75">
        <f t="shared" si="5"/>
        <v>0</v>
      </c>
      <c r="I59" s="75">
        <f t="shared" si="5"/>
        <v>0</v>
      </c>
      <c r="J59" s="75">
        <f t="shared" si="5"/>
        <v>0</v>
      </c>
      <c r="K59" s="75">
        <f t="shared" si="5"/>
        <v>0</v>
      </c>
      <c r="L59" s="76">
        <f t="shared" si="5"/>
        <v>0</v>
      </c>
    </row>
    <row r="60" spans="3:12" ht="16.2" hidden="1" thickBot="1">
      <c r="C60" s="39" t="str">
        <f t="shared" si="1"/>
        <v>H</v>
      </c>
      <c r="D60" s="53" t="str">
        <f>Parameter!E$57</f>
        <v>ALL</v>
      </c>
      <c r="E60" s="77">
        <f t="shared" si="5"/>
        <v>0</v>
      </c>
      <c r="F60" s="78">
        <f t="shared" si="5"/>
        <v>0</v>
      </c>
      <c r="G60" s="78">
        <f t="shared" si="5"/>
        <v>0</v>
      </c>
      <c r="H60" s="78">
        <f t="shared" si="5"/>
        <v>0</v>
      </c>
      <c r="I60" s="78">
        <f t="shared" si="5"/>
        <v>0</v>
      </c>
      <c r="J60" s="78">
        <f t="shared" si="5"/>
        <v>0</v>
      </c>
      <c r="K60" s="78">
        <f t="shared" si="5"/>
        <v>0</v>
      </c>
      <c r="L60" s="79">
        <f t="shared" si="5"/>
        <v>0</v>
      </c>
    </row>
    <row r="61" spans="3:12" ht="15.6">
      <c r="C61" s="39" t="str">
        <f t="shared" si="1"/>
        <v/>
      </c>
      <c r="D61" s="54" t="s">
        <v>87</v>
      </c>
      <c r="E61" s="80">
        <f>SUM(E11:E60)</f>
        <v>0.22163181638399998</v>
      </c>
      <c r="F61" s="81">
        <f t="shared" ref="F61:L61" si="6">SUM(F11:F60)</f>
        <v>5.6129546056319993E-2</v>
      </c>
      <c r="G61" s="81">
        <f t="shared" si="6"/>
        <v>3.4730156622347998E-2</v>
      </c>
      <c r="H61" s="81">
        <f t="shared" si="6"/>
        <v>3.4382855056124519E-2</v>
      </c>
      <c r="I61" s="81">
        <f t="shared" si="6"/>
        <v>3.4039026505563272E-2</v>
      </c>
      <c r="J61" s="81">
        <f t="shared" si="6"/>
        <v>3.3698636240507639E-2</v>
      </c>
      <c r="K61" s="81">
        <f t="shared" si="6"/>
        <v>3.3361649878102556E-2</v>
      </c>
      <c r="L61" s="82">
        <f t="shared" si="6"/>
        <v>3.3000000000000002E-2</v>
      </c>
    </row>
    <row r="62" spans="3:12" ht="16.2" thickBot="1">
      <c r="C62" s="39" t="str">
        <f t="shared" si="1"/>
        <v/>
      </c>
      <c r="D62" s="46" t="s">
        <v>88</v>
      </c>
      <c r="E62" s="47"/>
      <c r="F62" s="50">
        <f t="shared" ref="F62:G62" si="7">IF(E61*F61=0, "", F61/E61-1)</f>
        <v>-0.7467441860465116</v>
      </c>
      <c r="G62" s="50">
        <f t="shared" si="7"/>
        <v>-0.38124999999999998</v>
      </c>
      <c r="H62" s="50">
        <f>IF(G61*H61=0, "", H61/G61-1)</f>
        <v>-1.0000000000000009E-2</v>
      </c>
      <c r="I62" s="50">
        <f t="shared" ref="I62:L62" si="8">IF(H61*I61=0, "", I61/H61-1)</f>
        <v>-1.0000000000000009E-2</v>
      </c>
      <c r="J62" s="50">
        <f t="shared" si="8"/>
        <v>-1.0000000000000009E-2</v>
      </c>
      <c r="K62" s="50">
        <f t="shared" si="8"/>
        <v>-1.0000000000000231E-2</v>
      </c>
      <c r="L62" s="51">
        <f t="shared" si="8"/>
        <v>-1.08402875584378E-2</v>
      </c>
    </row>
    <row r="63" spans="3:12" ht="15.6">
      <c r="C63"/>
      <c r="D63" s="49"/>
      <c r="E63" s="55"/>
      <c r="F63" s="56"/>
      <c r="G63" s="56"/>
      <c r="H63" s="56"/>
      <c r="I63" s="56"/>
      <c r="J63" s="56"/>
      <c r="K63" s="56"/>
      <c r="L63" s="56"/>
    </row>
    <row r="64" spans="3:12" ht="14.4" thickBot="1">
      <c r="C64"/>
    </row>
    <row r="65" spans="3:12" ht="15" thickBot="1">
      <c r="C65"/>
      <c r="D65" s="52" t="str">
        <f>Parameter!I9</f>
        <v>1x LCoS</v>
      </c>
    </row>
    <row r="66" spans="3:12" ht="16.2" thickBot="1">
      <c r="C66"/>
      <c r="D66" s="40" t="s">
        <v>85</v>
      </c>
      <c r="E66" s="41" t="str">
        <f t="shared" ref="E66:L66" si="9">E10</f>
        <v>2022</v>
      </c>
      <c r="F66" s="42" t="str">
        <f t="shared" si="9"/>
        <v>2023</v>
      </c>
      <c r="G66" s="42" t="str">
        <f t="shared" si="9"/>
        <v>2024</v>
      </c>
      <c r="H66" s="42">
        <f t="shared" si="9"/>
        <v>2025</v>
      </c>
      <c r="I66" s="42" t="str">
        <f t="shared" si="9"/>
        <v>2026</v>
      </c>
      <c r="J66" s="42" t="str">
        <f t="shared" si="9"/>
        <v>2027</v>
      </c>
      <c r="K66" s="42" t="str">
        <f t="shared" si="9"/>
        <v>2028</v>
      </c>
      <c r="L66" s="43" t="str">
        <f t="shared" si="9"/>
        <v>2029</v>
      </c>
    </row>
    <row r="67" spans="3:12" ht="15.6" hidden="1">
      <c r="C67" s="39" t="str">
        <f>IF(SUM(E67:L67)=0, "H", "")</f>
        <v>H</v>
      </c>
      <c r="D67" s="44" t="str">
        <f>Parameter!E$8</f>
        <v>Air</v>
      </c>
      <c r="E67" s="74">
        <f t="shared" ref="E67:L76" si="10">SUMIF(ARVR_Y_PC_PR, "AR_"&amp;E$66&amp;"_"&amp;$D$65&amp;"_"&amp;$D67, PanelRev)</f>
        <v>0</v>
      </c>
      <c r="F67" s="75">
        <f t="shared" si="10"/>
        <v>0</v>
      </c>
      <c r="G67" s="75">
        <f t="shared" si="10"/>
        <v>0</v>
      </c>
      <c r="H67" s="75">
        <f t="shared" si="10"/>
        <v>0</v>
      </c>
      <c r="I67" s="75">
        <f t="shared" si="10"/>
        <v>0</v>
      </c>
      <c r="J67" s="75">
        <f t="shared" si="10"/>
        <v>0</v>
      </c>
      <c r="K67" s="75">
        <f t="shared" si="10"/>
        <v>0</v>
      </c>
      <c r="L67" s="76">
        <f t="shared" si="10"/>
        <v>0</v>
      </c>
    </row>
    <row r="68" spans="3:12" ht="15.6" hidden="1">
      <c r="C68" s="39" t="str">
        <f t="shared" si="1"/>
        <v>H</v>
      </c>
      <c r="D68" s="44" t="str">
        <f>Parameter!E$9</f>
        <v>Air 2</v>
      </c>
      <c r="E68" s="74">
        <f t="shared" si="10"/>
        <v>0</v>
      </c>
      <c r="F68" s="75">
        <f t="shared" si="10"/>
        <v>0</v>
      </c>
      <c r="G68" s="75">
        <f t="shared" si="10"/>
        <v>0</v>
      </c>
      <c r="H68" s="75">
        <f t="shared" si="10"/>
        <v>0</v>
      </c>
      <c r="I68" s="75">
        <f t="shared" si="10"/>
        <v>0</v>
      </c>
      <c r="J68" s="75">
        <f t="shared" si="10"/>
        <v>0</v>
      </c>
      <c r="K68" s="75">
        <f t="shared" si="10"/>
        <v>0</v>
      </c>
      <c r="L68" s="76">
        <f t="shared" si="10"/>
        <v>0</v>
      </c>
    </row>
    <row r="69" spans="3:12" ht="15.6" hidden="1">
      <c r="C69" s="39" t="str">
        <f t="shared" si="1"/>
        <v>H</v>
      </c>
      <c r="D69" s="45" t="str">
        <f>Parameter!E$10</f>
        <v>Air 3</v>
      </c>
      <c r="E69" s="74">
        <f t="shared" si="10"/>
        <v>0</v>
      </c>
      <c r="F69" s="75">
        <f t="shared" si="10"/>
        <v>0</v>
      </c>
      <c r="G69" s="75">
        <f t="shared" si="10"/>
        <v>0</v>
      </c>
      <c r="H69" s="75">
        <f t="shared" si="10"/>
        <v>0</v>
      </c>
      <c r="I69" s="75">
        <f t="shared" si="10"/>
        <v>0</v>
      </c>
      <c r="J69" s="75">
        <f t="shared" si="10"/>
        <v>0</v>
      </c>
      <c r="K69" s="75">
        <f t="shared" si="10"/>
        <v>0</v>
      </c>
      <c r="L69" s="76">
        <f t="shared" si="10"/>
        <v>0</v>
      </c>
    </row>
    <row r="70" spans="3:12" ht="15.6" hidden="1">
      <c r="C70" s="39" t="str">
        <f t="shared" si="1"/>
        <v>H</v>
      </c>
      <c r="D70" s="45" t="str">
        <f>Parameter!E$11</f>
        <v>Air 3s Pro</v>
      </c>
      <c r="E70" s="74">
        <f t="shared" si="10"/>
        <v>0</v>
      </c>
      <c r="F70" s="75">
        <f t="shared" si="10"/>
        <v>0</v>
      </c>
      <c r="G70" s="75">
        <f t="shared" si="10"/>
        <v>0</v>
      </c>
      <c r="H70" s="75">
        <f t="shared" si="10"/>
        <v>0</v>
      </c>
      <c r="I70" s="75">
        <f t="shared" si="10"/>
        <v>0</v>
      </c>
      <c r="J70" s="75">
        <f t="shared" si="10"/>
        <v>0</v>
      </c>
      <c r="K70" s="75">
        <f t="shared" si="10"/>
        <v>0</v>
      </c>
      <c r="L70" s="76">
        <f t="shared" si="10"/>
        <v>0</v>
      </c>
    </row>
    <row r="71" spans="3:12" ht="15.6" hidden="1">
      <c r="C71" s="39" t="str">
        <f t="shared" si="1"/>
        <v>H</v>
      </c>
      <c r="D71" s="45" t="str">
        <f>Parameter!E$12</f>
        <v>Air Glass</v>
      </c>
      <c r="E71" s="74">
        <f t="shared" si="10"/>
        <v>0</v>
      </c>
      <c r="F71" s="75">
        <f t="shared" si="10"/>
        <v>0</v>
      </c>
      <c r="G71" s="75">
        <f t="shared" si="10"/>
        <v>0</v>
      </c>
      <c r="H71" s="75">
        <f t="shared" si="10"/>
        <v>0</v>
      </c>
      <c r="I71" s="75">
        <f t="shared" si="10"/>
        <v>0</v>
      </c>
      <c r="J71" s="75">
        <f t="shared" si="10"/>
        <v>0</v>
      </c>
      <c r="K71" s="75">
        <f t="shared" si="10"/>
        <v>0</v>
      </c>
      <c r="L71" s="76">
        <f t="shared" si="10"/>
        <v>0</v>
      </c>
    </row>
    <row r="72" spans="3:12" ht="15.6" hidden="1">
      <c r="C72" s="39" t="str">
        <f t="shared" si="1"/>
        <v>H</v>
      </c>
      <c r="D72" s="45" t="str">
        <f>Parameter!E$13</f>
        <v>Binocular MicroLED</v>
      </c>
      <c r="E72" s="74">
        <f t="shared" si="10"/>
        <v>0</v>
      </c>
      <c r="F72" s="75">
        <f t="shared" si="10"/>
        <v>0</v>
      </c>
      <c r="G72" s="75">
        <f t="shared" si="10"/>
        <v>0</v>
      </c>
      <c r="H72" s="75">
        <f t="shared" si="10"/>
        <v>0</v>
      </c>
      <c r="I72" s="75">
        <f t="shared" si="10"/>
        <v>0</v>
      </c>
      <c r="J72" s="75">
        <f t="shared" si="10"/>
        <v>0</v>
      </c>
      <c r="K72" s="75">
        <f t="shared" si="10"/>
        <v>0</v>
      </c>
      <c r="L72" s="76">
        <f t="shared" si="10"/>
        <v>0</v>
      </c>
    </row>
    <row r="73" spans="3:12" ht="15.6" hidden="1">
      <c r="C73" s="39" t="str">
        <f t="shared" si="1"/>
        <v>H</v>
      </c>
      <c r="D73" s="45" t="str">
        <f>Parameter!E$14</f>
        <v>Blade</v>
      </c>
      <c r="E73" s="74">
        <f t="shared" si="10"/>
        <v>0</v>
      </c>
      <c r="F73" s="75">
        <f t="shared" si="10"/>
        <v>0</v>
      </c>
      <c r="G73" s="75">
        <f t="shared" si="10"/>
        <v>0</v>
      </c>
      <c r="H73" s="75">
        <f t="shared" si="10"/>
        <v>0</v>
      </c>
      <c r="I73" s="75">
        <f t="shared" si="10"/>
        <v>0</v>
      </c>
      <c r="J73" s="75">
        <f t="shared" si="10"/>
        <v>0</v>
      </c>
      <c r="K73" s="75">
        <f t="shared" si="10"/>
        <v>0</v>
      </c>
      <c r="L73" s="76">
        <f t="shared" si="10"/>
        <v>0</v>
      </c>
    </row>
    <row r="74" spans="3:12" ht="15.6" hidden="1">
      <c r="C74" s="39" t="str">
        <f t="shared" si="1"/>
        <v>H</v>
      </c>
      <c r="D74" s="45" t="str">
        <f>Parameter!E$15</f>
        <v>DLP glasses</v>
      </c>
      <c r="E74" s="74">
        <f t="shared" si="10"/>
        <v>0</v>
      </c>
      <c r="F74" s="75">
        <f t="shared" si="10"/>
        <v>0</v>
      </c>
      <c r="G74" s="75">
        <f t="shared" si="10"/>
        <v>0</v>
      </c>
      <c r="H74" s="75">
        <f t="shared" si="10"/>
        <v>0</v>
      </c>
      <c r="I74" s="75">
        <f t="shared" si="10"/>
        <v>0</v>
      </c>
      <c r="J74" s="75">
        <f t="shared" si="10"/>
        <v>0</v>
      </c>
      <c r="K74" s="75">
        <f t="shared" si="10"/>
        <v>0</v>
      </c>
      <c r="L74" s="76">
        <f t="shared" si="10"/>
        <v>0</v>
      </c>
    </row>
    <row r="75" spans="3:12" ht="15.6" hidden="1">
      <c r="C75" s="39" t="str">
        <f t="shared" si="1"/>
        <v>H</v>
      </c>
      <c r="D75" s="45" t="str">
        <f>Parameter!E$16</f>
        <v>G1</v>
      </c>
      <c r="E75" s="74">
        <f t="shared" si="10"/>
        <v>0</v>
      </c>
      <c r="F75" s="75">
        <f t="shared" si="10"/>
        <v>0</v>
      </c>
      <c r="G75" s="75">
        <f t="shared" si="10"/>
        <v>0</v>
      </c>
      <c r="H75" s="75">
        <f t="shared" si="10"/>
        <v>0</v>
      </c>
      <c r="I75" s="75">
        <f t="shared" si="10"/>
        <v>0</v>
      </c>
      <c r="J75" s="75">
        <f t="shared" si="10"/>
        <v>0</v>
      </c>
      <c r="K75" s="75">
        <f t="shared" si="10"/>
        <v>0</v>
      </c>
      <c r="L75" s="76">
        <f t="shared" si="10"/>
        <v>0</v>
      </c>
    </row>
    <row r="76" spans="3:12" ht="15.6" hidden="1">
      <c r="C76" s="39" t="str">
        <f t="shared" si="1"/>
        <v>H</v>
      </c>
      <c r="D76" s="45" t="str">
        <f>Parameter!E$17</f>
        <v>Glass</v>
      </c>
      <c r="E76" s="74">
        <f t="shared" si="10"/>
        <v>0</v>
      </c>
      <c r="F76" s="75">
        <f t="shared" si="10"/>
        <v>0</v>
      </c>
      <c r="G76" s="75">
        <f t="shared" si="10"/>
        <v>0</v>
      </c>
      <c r="H76" s="75">
        <f t="shared" si="10"/>
        <v>0</v>
      </c>
      <c r="I76" s="75">
        <f t="shared" si="10"/>
        <v>0</v>
      </c>
      <c r="J76" s="75">
        <f t="shared" si="10"/>
        <v>0</v>
      </c>
      <c r="K76" s="75">
        <f t="shared" si="10"/>
        <v>0</v>
      </c>
      <c r="L76" s="76">
        <f t="shared" si="10"/>
        <v>0</v>
      </c>
    </row>
    <row r="77" spans="3:12" ht="15.6" hidden="1">
      <c r="C77" s="39" t="str">
        <f t="shared" si="1"/>
        <v>H</v>
      </c>
      <c r="D77" s="45" t="str">
        <f>Parameter!E$18</f>
        <v>Glasses</v>
      </c>
      <c r="E77" s="74">
        <f t="shared" ref="E77:L86" si="11">SUMIF(ARVR_Y_PC_PR, "AR_"&amp;E$66&amp;"_"&amp;$D$65&amp;"_"&amp;$D77, PanelRev)</f>
        <v>0</v>
      </c>
      <c r="F77" s="75">
        <f t="shared" si="11"/>
        <v>0</v>
      </c>
      <c r="G77" s="75">
        <f t="shared" si="11"/>
        <v>0</v>
      </c>
      <c r="H77" s="75">
        <f t="shared" si="11"/>
        <v>0</v>
      </c>
      <c r="I77" s="75">
        <f t="shared" si="11"/>
        <v>0</v>
      </c>
      <c r="J77" s="75">
        <f t="shared" si="11"/>
        <v>0</v>
      </c>
      <c r="K77" s="75">
        <f t="shared" si="11"/>
        <v>0</v>
      </c>
      <c r="L77" s="76">
        <f t="shared" si="11"/>
        <v>0</v>
      </c>
    </row>
    <row r="78" spans="3:12" ht="15.6" hidden="1">
      <c r="C78" s="39" t="str">
        <f t="shared" si="1"/>
        <v>H</v>
      </c>
      <c r="D78" s="45" t="str">
        <f>Parameter!E$19</f>
        <v>Go</v>
      </c>
      <c r="E78" s="74">
        <f t="shared" si="11"/>
        <v>0</v>
      </c>
      <c r="F78" s="75">
        <f t="shared" si="11"/>
        <v>0</v>
      </c>
      <c r="G78" s="75">
        <f t="shared" si="11"/>
        <v>0</v>
      </c>
      <c r="H78" s="75">
        <f t="shared" si="11"/>
        <v>0</v>
      </c>
      <c r="I78" s="75">
        <f t="shared" si="11"/>
        <v>0</v>
      </c>
      <c r="J78" s="75">
        <f t="shared" si="11"/>
        <v>0</v>
      </c>
      <c r="K78" s="75">
        <f t="shared" si="11"/>
        <v>0</v>
      </c>
      <c r="L78" s="76">
        <f t="shared" si="11"/>
        <v>0</v>
      </c>
    </row>
    <row r="79" spans="3:12" ht="15.6" hidden="1">
      <c r="C79" s="39" t="str">
        <f t="shared" si="1"/>
        <v>H</v>
      </c>
      <c r="D79" s="45" t="str">
        <f>Parameter!E$20</f>
        <v>Go 2</v>
      </c>
      <c r="E79" s="74">
        <f t="shared" si="11"/>
        <v>0</v>
      </c>
      <c r="F79" s="75">
        <f t="shared" si="11"/>
        <v>0</v>
      </c>
      <c r="G79" s="75">
        <f t="shared" si="11"/>
        <v>0</v>
      </c>
      <c r="H79" s="75">
        <f t="shared" si="11"/>
        <v>0</v>
      </c>
      <c r="I79" s="75">
        <f t="shared" si="11"/>
        <v>0</v>
      </c>
      <c r="J79" s="75">
        <f t="shared" si="11"/>
        <v>0</v>
      </c>
      <c r="K79" s="75">
        <f t="shared" si="11"/>
        <v>0</v>
      </c>
      <c r="L79" s="76">
        <f t="shared" si="11"/>
        <v>0</v>
      </c>
    </row>
    <row r="80" spans="3:12" ht="15.6" hidden="1">
      <c r="C80" s="39" t="str">
        <f t="shared" si="1"/>
        <v>H</v>
      </c>
      <c r="D80" s="45" t="str">
        <f>Parameter!E$21</f>
        <v>HoloLens 2</v>
      </c>
      <c r="E80" s="74">
        <f t="shared" si="11"/>
        <v>0</v>
      </c>
      <c r="F80" s="75">
        <f t="shared" si="11"/>
        <v>0</v>
      </c>
      <c r="G80" s="75">
        <f t="shared" si="11"/>
        <v>0</v>
      </c>
      <c r="H80" s="75">
        <f t="shared" si="11"/>
        <v>0</v>
      </c>
      <c r="I80" s="75">
        <f t="shared" si="11"/>
        <v>0</v>
      </c>
      <c r="J80" s="75">
        <f t="shared" si="11"/>
        <v>0</v>
      </c>
      <c r="K80" s="75">
        <f t="shared" si="11"/>
        <v>0</v>
      </c>
      <c r="L80" s="76">
        <f t="shared" si="11"/>
        <v>0</v>
      </c>
    </row>
    <row r="81" spans="3:12" ht="15.6" hidden="1">
      <c r="C81" s="39" t="str">
        <f t="shared" si="1"/>
        <v>H</v>
      </c>
      <c r="D81" s="45" t="str">
        <f>Parameter!E$22</f>
        <v>INAIR 2</v>
      </c>
      <c r="E81" s="74">
        <f t="shared" si="11"/>
        <v>0</v>
      </c>
      <c r="F81" s="75">
        <f t="shared" si="11"/>
        <v>0</v>
      </c>
      <c r="G81" s="75">
        <f t="shared" si="11"/>
        <v>0</v>
      </c>
      <c r="H81" s="75">
        <f t="shared" si="11"/>
        <v>0</v>
      </c>
      <c r="I81" s="75">
        <f t="shared" si="11"/>
        <v>0</v>
      </c>
      <c r="J81" s="75">
        <f t="shared" si="11"/>
        <v>0</v>
      </c>
      <c r="K81" s="75">
        <f t="shared" si="11"/>
        <v>0</v>
      </c>
      <c r="L81" s="76">
        <f t="shared" si="11"/>
        <v>0</v>
      </c>
    </row>
    <row r="82" spans="3:12" ht="15.6" hidden="1">
      <c r="C82" s="39" t="str">
        <f t="shared" ref="C82:C118" si="12">IF(SUM(E82:L82)=0, "H", "")</f>
        <v>H</v>
      </c>
      <c r="D82" s="45" t="str">
        <f>Parameter!E$23</f>
        <v>INAIR 2 Pro</v>
      </c>
      <c r="E82" s="74">
        <f t="shared" si="11"/>
        <v>0</v>
      </c>
      <c r="F82" s="75">
        <f t="shared" si="11"/>
        <v>0</v>
      </c>
      <c r="G82" s="75">
        <f t="shared" si="11"/>
        <v>0</v>
      </c>
      <c r="H82" s="75">
        <f t="shared" si="11"/>
        <v>0</v>
      </c>
      <c r="I82" s="75">
        <f t="shared" si="11"/>
        <v>0</v>
      </c>
      <c r="J82" s="75">
        <f t="shared" si="11"/>
        <v>0</v>
      </c>
      <c r="K82" s="75">
        <f t="shared" si="11"/>
        <v>0</v>
      </c>
      <c r="L82" s="76">
        <f t="shared" si="11"/>
        <v>0</v>
      </c>
    </row>
    <row r="83" spans="3:12" ht="15.6" hidden="1">
      <c r="C83" s="39" t="str">
        <f t="shared" si="12"/>
        <v>H</v>
      </c>
      <c r="D83" s="45" t="str">
        <f>Parameter!E$24</f>
        <v>LBS glasses</v>
      </c>
      <c r="E83" s="74">
        <f t="shared" si="11"/>
        <v>0</v>
      </c>
      <c r="F83" s="75">
        <f t="shared" si="11"/>
        <v>0</v>
      </c>
      <c r="G83" s="75">
        <f t="shared" si="11"/>
        <v>0</v>
      </c>
      <c r="H83" s="75">
        <f t="shared" si="11"/>
        <v>0</v>
      </c>
      <c r="I83" s="75">
        <f t="shared" si="11"/>
        <v>0</v>
      </c>
      <c r="J83" s="75">
        <f t="shared" si="11"/>
        <v>0</v>
      </c>
      <c r="K83" s="75">
        <f t="shared" si="11"/>
        <v>0</v>
      </c>
      <c r="L83" s="76">
        <f t="shared" si="11"/>
        <v>0</v>
      </c>
    </row>
    <row r="84" spans="3:12" ht="15.6" hidden="1">
      <c r="C84" s="39" t="str">
        <f t="shared" si="12"/>
        <v>H</v>
      </c>
      <c r="D84" s="45" t="str">
        <f>Parameter!E$25</f>
        <v>LCoS glasses</v>
      </c>
      <c r="E84" s="74">
        <f t="shared" si="11"/>
        <v>0</v>
      </c>
      <c r="F84" s="75">
        <f t="shared" si="11"/>
        <v>0</v>
      </c>
      <c r="G84" s="75">
        <f t="shared" si="11"/>
        <v>0</v>
      </c>
      <c r="H84" s="75">
        <f t="shared" si="11"/>
        <v>0</v>
      </c>
      <c r="I84" s="75">
        <f t="shared" si="11"/>
        <v>0</v>
      </c>
      <c r="J84" s="75">
        <f t="shared" si="11"/>
        <v>0</v>
      </c>
      <c r="K84" s="75">
        <f t="shared" si="11"/>
        <v>0</v>
      </c>
      <c r="L84" s="76">
        <f t="shared" si="11"/>
        <v>0</v>
      </c>
    </row>
    <row r="85" spans="3:12" ht="15.6" hidden="1">
      <c r="C85" s="39" t="str">
        <f t="shared" si="12"/>
        <v>H</v>
      </c>
      <c r="D85" s="45" t="str">
        <f>Parameter!E$26</f>
        <v>Lenovo Legion Glasses 2</v>
      </c>
      <c r="E85" s="74">
        <f t="shared" si="11"/>
        <v>0</v>
      </c>
      <c r="F85" s="75">
        <f t="shared" si="11"/>
        <v>0</v>
      </c>
      <c r="G85" s="75">
        <f t="shared" si="11"/>
        <v>0</v>
      </c>
      <c r="H85" s="75">
        <f t="shared" si="11"/>
        <v>0</v>
      </c>
      <c r="I85" s="75">
        <f t="shared" si="11"/>
        <v>0</v>
      </c>
      <c r="J85" s="75">
        <f t="shared" si="11"/>
        <v>0</v>
      </c>
      <c r="K85" s="75">
        <f t="shared" si="11"/>
        <v>0</v>
      </c>
      <c r="L85" s="76">
        <f t="shared" si="11"/>
        <v>0</v>
      </c>
    </row>
    <row r="86" spans="3:12" ht="15.6" hidden="1">
      <c r="C86" s="39" t="str">
        <f t="shared" si="12"/>
        <v>H</v>
      </c>
      <c r="D86" s="45" t="str">
        <f>Parameter!E$27</f>
        <v>Light</v>
      </c>
      <c r="E86" s="74">
        <f t="shared" si="11"/>
        <v>0</v>
      </c>
      <c r="F86" s="75">
        <f t="shared" si="11"/>
        <v>0</v>
      </c>
      <c r="G86" s="75">
        <f t="shared" si="11"/>
        <v>0</v>
      </c>
      <c r="H86" s="75">
        <f t="shared" si="11"/>
        <v>0</v>
      </c>
      <c r="I86" s="75">
        <f t="shared" si="11"/>
        <v>0</v>
      </c>
      <c r="J86" s="75">
        <f t="shared" si="11"/>
        <v>0</v>
      </c>
      <c r="K86" s="75">
        <f t="shared" si="11"/>
        <v>0</v>
      </c>
      <c r="L86" s="76">
        <f t="shared" si="11"/>
        <v>0</v>
      </c>
    </row>
    <row r="87" spans="3:12" ht="15.6" hidden="1">
      <c r="C87" s="39" t="str">
        <f t="shared" si="12"/>
        <v>H</v>
      </c>
      <c r="D87" s="45" t="str">
        <f>Parameter!E$28</f>
        <v>Max</v>
      </c>
      <c r="E87" s="74">
        <f t="shared" ref="E87:L96" si="13">SUMIF(ARVR_Y_PC_PR, "AR_"&amp;E$66&amp;"_"&amp;$D$65&amp;"_"&amp;$D87, PanelRev)</f>
        <v>0</v>
      </c>
      <c r="F87" s="75">
        <f t="shared" si="13"/>
        <v>0</v>
      </c>
      <c r="G87" s="75">
        <f t="shared" si="13"/>
        <v>0</v>
      </c>
      <c r="H87" s="75">
        <f t="shared" si="13"/>
        <v>0</v>
      </c>
      <c r="I87" s="75">
        <f t="shared" si="13"/>
        <v>0</v>
      </c>
      <c r="J87" s="75">
        <f t="shared" si="13"/>
        <v>0</v>
      </c>
      <c r="K87" s="75">
        <f t="shared" si="13"/>
        <v>0</v>
      </c>
      <c r="L87" s="76">
        <f t="shared" si="13"/>
        <v>0</v>
      </c>
    </row>
    <row r="88" spans="3:12" ht="15.6" hidden="1">
      <c r="C88" s="39" t="str">
        <f t="shared" si="12"/>
        <v>H</v>
      </c>
      <c r="D88" s="45" t="str">
        <f>Parameter!E$29</f>
        <v>Max 2</v>
      </c>
      <c r="E88" s="74">
        <f t="shared" si="13"/>
        <v>0</v>
      </c>
      <c r="F88" s="75">
        <f t="shared" si="13"/>
        <v>0</v>
      </c>
      <c r="G88" s="75">
        <f t="shared" si="13"/>
        <v>0</v>
      </c>
      <c r="H88" s="75">
        <f t="shared" si="13"/>
        <v>0</v>
      </c>
      <c r="I88" s="75">
        <f t="shared" si="13"/>
        <v>0</v>
      </c>
      <c r="J88" s="75">
        <f t="shared" si="13"/>
        <v>0</v>
      </c>
      <c r="K88" s="75">
        <f t="shared" si="13"/>
        <v>0</v>
      </c>
      <c r="L88" s="76">
        <f t="shared" si="13"/>
        <v>0</v>
      </c>
    </row>
    <row r="89" spans="3:12" ht="15.6" hidden="1">
      <c r="C89" s="39" t="str">
        <f t="shared" si="12"/>
        <v>H</v>
      </c>
      <c r="D89" s="45" t="str">
        <f>Parameter!E$30</f>
        <v>Meizu StarV Air 2</v>
      </c>
      <c r="E89" s="74">
        <f t="shared" si="13"/>
        <v>0</v>
      </c>
      <c r="F89" s="75">
        <f t="shared" si="13"/>
        <v>0</v>
      </c>
      <c r="G89" s="75">
        <f t="shared" si="13"/>
        <v>0</v>
      </c>
      <c r="H89" s="75">
        <f t="shared" si="13"/>
        <v>0</v>
      </c>
      <c r="I89" s="75">
        <f t="shared" si="13"/>
        <v>0</v>
      </c>
      <c r="J89" s="75">
        <f t="shared" si="13"/>
        <v>0</v>
      </c>
      <c r="K89" s="75">
        <f t="shared" si="13"/>
        <v>0</v>
      </c>
      <c r="L89" s="76">
        <f t="shared" si="13"/>
        <v>0</v>
      </c>
    </row>
    <row r="90" spans="3:12" ht="15.6" hidden="1">
      <c r="C90" s="39" t="str">
        <f t="shared" si="12"/>
        <v>H</v>
      </c>
      <c r="D90" s="45" t="str">
        <f>Parameter!E$31</f>
        <v>Meizu StarV View</v>
      </c>
      <c r="E90" s="74">
        <f t="shared" si="13"/>
        <v>0</v>
      </c>
      <c r="F90" s="75">
        <f t="shared" si="13"/>
        <v>0</v>
      </c>
      <c r="G90" s="75">
        <f t="shared" si="13"/>
        <v>0</v>
      </c>
      <c r="H90" s="75">
        <f t="shared" si="13"/>
        <v>0</v>
      </c>
      <c r="I90" s="75">
        <f t="shared" si="13"/>
        <v>0</v>
      </c>
      <c r="J90" s="75">
        <f t="shared" si="13"/>
        <v>0</v>
      </c>
      <c r="K90" s="75">
        <f t="shared" si="13"/>
        <v>0</v>
      </c>
      <c r="L90" s="76">
        <f t="shared" si="13"/>
        <v>0</v>
      </c>
    </row>
    <row r="91" spans="3:12" ht="15.6" hidden="1">
      <c r="C91" s="39" t="str">
        <f t="shared" si="12"/>
        <v>H</v>
      </c>
      <c r="D91" s="45" t="str">
        <f>Parameter!E$32</f>
        <v>MiRZA</v>
      </c>
      <c r="E91" s="74">
        <f t="shared" si="13"/>
        <v>0</v>
      </c>
      <c r="F91" s="75">
        <f t="shared" si="13"/>
        <v>0</v>
      </c>
      <c r="G91" s="75">
        <f t="shared" si="13"/>
        <v>0</v>
      </c>
      <c r="H91" s="75">
        <f t="shared" si="13"/>
        <v>0</v>
      </c>
      <c r="I91" s="75">
        <f t="shared" si="13"/>
        <v>0</v>
      </c>
      <c r="J91" s="75">
        <f t="shared" si="13"/>
        <v>0</v>
      </c>
      <c r="K91" s="75">
        <f t="shared" si="13"/>
        <v>0</v>
      </c>
      <c r="L91" s="76">
        <f t="shared" si="13"/>
        <v>0</v>
      </c>
    </row>
    <row r="92" spans="3:12" ht="15.6" hidden="1">
      <c r="C92" s="39" t="str">
        <f t="shared" si="12"/>
        <v>H</v>
      </c>
      <c r="D92" s="45" t="str">
        <f>Parameter!E$33</f>
        <v>ML 2</v>
      </c>
      <c r="E92" s="74">
        <f t="shared" si="13"/>
        <v>0</v>
      </c>
      <c r="F92" s="75">
        <f t="shared" si="13"/>
        <v>0</v>
      </c>
      <c r="G92" s="75">
        <f t="shared" si="13"/>
        <v>0</v>
      </c>
      <c r="H92" s="75">
        <f t="shared" si="13"/>
        <v>0</v>
      </c>
      <c r="I92" s="75">
        <f t="shared" si="13"/>
        <v>0</v>
      </c>
      <c r="J92" s="75">
        <f t="shared" si="13"/>
        <v>0</v>
      </c>
      <c r="K92" s="75">
        <f t="shared" si="13"/>
        <v>0</v>
      </c>
      <c r="L92" s="76">
        <f t="shared" si="13"/>
        <v>0</v>
      </c>
    </row>
    <row r="93" spans="3:12" ht="15.6" hidden="1">
      <c r="C93" s="39" t="str">
        <f t="shared" si="12"/>
        <v>H</v>
      </c>
      <c r="D93" s="45" t="str">
        <f>Parameter!E$34</f>
        <v>ML One</v>
      </c>
      <c r="E93" s="74">
        <f t="shared" si="13"/>
        <v>0</v>
      </c>
      <c r="F93" s="75">
        <f t="shared" si="13"/>
        <v>0</v>
      </c>
      <c r="G93" s="75">
        <f t="shared" si="13"/>
        <v>0</v>
      </c>
      <c r="H93" s="75">
        <f t="shared" si="13"/>
        <v>0</v>
      </c>
      <c r="I93" s="75">
        <f t="shared" si="13"/>
        <v>0</v>
      </c>
      <c r="J93" s="75">
        <f t="shared" si="13"/>
        <v>0</v>
      </c>
      <c r="K93" s="75">
        <f t="shared" si="13"/>
        <v>0</v>
      </c>
      <c r="L93" s="76">
        <f t="shared" si="13"/>
        <v>0</v>
      </c>
    </row>
    <row r="94" spans="3:12" ht="15.6">
      <c r="C94" s="39" t="str">
        <f t="shared" si="12"/>
        <v/>
      </c>
      <c r="D94" s="45" t="str">
        <f>Parameter!E$35</f>
        <v>Monocular LCoS glasses</v>
      </c>
      <c r="E94" s="74">
        <f t="shared" si="13"/>
        <v>0</v>
      </c>
      <c r="F94" s="75">
        <f t="shared" si="13"/>
        <v>0</v>
      </c>
      <c r="G94" s="75">
        <f t="shared" si="13"/>
        <v>0</v>
      </c>
      <c r="H94" s="75">
        <f t="shared" si="13"/>
        <v>2.38194477798453</v>
      </c>
      <c r="I94" s="75">
        <f t="shared" si="13"/>
        <v>10.375751452900612</v>
      </c>
      <c r="J94" s="75">
        <f t="shared" si="13"/>
        <v>15.641445315247669</v>
      </c>
      <c r="K94" s="75">
        <f t="shared" si="13"/>
        <v>20.800787725202504</v>
      </c>
      <c r="L94" s="76">
        <f t="shared" si="13"/>
        <v>36.08</v>
      </c>
    </row>
    <row r="95" spans="3:12" ht="15.6" hidden="1">
      <c r="C95" s="39" t="str">
        <f t="shared" si="12"/>
        <v>H</v>
      </c>
      <c r="D95" s="45" t="str">
        <f>Parameter!E$36</f>
        <v>Monocular MicroLED</v>
      </c>
      <c r="E95" s="74">
        <f t="shared" si="13"/>
        <v>0</v>
      </c>
      <c r="F95" s="75">
        <f t="shared" si="13"/>
        <v>0</v>
      </c>
      <c r="G95" s="75">
        <f t="shared" si="13"/>
        <v>0</v>
      </c>
      <c r="H95" s="75">
        <f t="shared" si="13"/>
        <v>0</v>
      </c>
      <c r="I95" s="75">
        <f t="shared" si="13"/>
        <v>0</v>
      </c>
      <c r="J95" s="75">
        <f t="shared" si="13"/>
        <v>0</v>
      </c>
      <c r="K95" s="75">
        <f t="shared" si="13"/>
        <v>0</v>
      </c>
      <c r="L95" s="76">
        <f t="shared" si="13"/>
        <v>0</v>
      </c>
    </row>
    <row r="96" spans="3:12" ht="15.6" hidden="1">
      <c r="C96" s="39" t="str">
        <f t="shared" si="12"/>
        <v>H</v>
      </c>
      <c r="D96" s="45" t="str">
        <f>Parameter!E$37</f>
        <v>Moverio</v>
      </c>
      <c r="E96" s="74">
        <f t="shared" si="13"/>
        <v>0</v>
      </c>
      <c r="F96" s="75">
        <f t="shared" si="13"/>
        <v>0</v>
      </c>
      <c r="G96" s="75">
        <f t="shared" si="13"/>
        <v>0</v>
      </c>
      <c r="H96" s="75">
        <f t="shared" si="13"/>
        <v>0</v>
      </c>
      <c r="I96" s="75">
        <f t="shared" si="13"/>
        <v>0</v>
      </c>
      <c r="J96" s="75">
        <f t="shared" si="13"/>
        <v>0</v>
      </c>
      <c r="K96" s="75">
        <f t="shared" si="13"/>
        <v>0</v>
      </c>
      <c r="L96" s="76">
        <f t="shared" si="13"/>
        <v>0</v>
      </c>
    </row>
    <row r="97" spans="3:12" ht="15.6" hidden="1">
      <c r="C97" s="39" t="str">
        <f t="shared" si="12"/>
        <v>H</v>
      </c>
      <c r="D97" s="45" t="str">
        <f>Parameter!E$38</f>
        <v>MYVU</v>
      </c>
      <c r="E97" s="74">
        <f t="shared" ref="E97:L106" si="14">SUMIF(ARVR_Y_PC_PR, "AR_"&amp;E$66&amp;"_"&amp;$D$65&amp;"_"&amp;$D97, PanelRev)</f>
        <v>0</v>
      </c>
      <c r="F97" s="75">
        <f t="shared" si="14"/>
        <v>0</v>
      </c>
      <c r="G97" s="75">
        <f t="shared" si="14"/>
        <v>0</v>
      </c>
      <c r="H97" s="75">
        <f t="shared" si="14"/>
        <v>0</v>
      </c>
      <c r="I97" s="75">
        <f t="shared" si="14"/>
        <v>0</v>
      </c>
      <c r="J97" s="75">
        <f t="shared" si="14"/>
        <v>0</v>
      </c>
      <c r="K97" s="75">
        <f t="shared" si="14"/>
        <v>0</v>
      </c>
      <c r="L97" s="76">
        <f t="shared" si="14"/>
        <v>0</v>
      </c>
    </row>
    <row r="98" spans="3:12" ht="15.6" hidden="1">
      <c r="C98" s="39" t="str">
        <f t="shared" si="12"/>
        <v>H</v>
      </c>
      <c r="D98" s="45" t="str">
        <f>Parameter!E$39</f>
        <v>NXTWear</v>
      </c>
      <c r="E98" s="74">
        <f t="shared" si="14"/>
        <v>0</v>
      </c>
      <c r="F98" s="75">
        <f t="shared" si="14"/>
        <v>0</v>
      </c>
      <c r="G98" s="75">
        <f t="shared" si="14"/>
        <v>0</v>
      </c>
      <c r="H98" s="75">
        <f t="shared" si="14"/>
        <v>0</v>
      </c>
      <c r="I98" s="75">
        <f t="shared" si="14"/>
        <v>0</v>
      </c>
      <c r="J98" s="75">
        <f t="shared" si="14"/>
        <v>0</v>
      </c>
      <c r="K98" s="75">
        <f t="shared" si="14"/>
        <v>0</v>
      </c>
      <c r="L98" s="76">
        <f t="shared" si="14"/>
        <v>0</v>
      </c>
    </row>
    <row r="99" spans="3:12" ht="15.6" hidden="1">
      <c r="C99" s="39" t="str">
        <f t="shared" si="12"/>
        <v>H</v>
      </c>
      <c r="D99" s="45" t="str">
        <f>Parameter!E$40</f>
        <v>One</v>
      </c>
      <c r="E99" s="74">
        <f t="shared" si="14"/>
        <v>0</v>
      </c>
      <c r="F99" s="75">
        <f t="shared" si="14"/>
        <v>0</v>
      </c>
      <c r="G99" s="75">
        <f t="shared" si="14"/>
        <v>0</v>
      </c>
      <c r="H99" s="75">
        <f t="shared" si="14"/>
        <v>0</v>
      </c>
      <c r="I99" s="75">
        <f t="shared" si="14"/>
        <v>0</v>
      </c>
      <c r="J99" s="75">
        <f t="shared" si="14"/>
        <v>0</v>
      </c>
      <c r="K99" s="75">
        <f t="shared" si="14"/>
        <v>0</v>
      </c>
      <c r="L99" s="76">
        <f t="shared" si="14"/>
        <v>0</v>
      </c>
    </row>
    <row r="100" spans="3:12" ht="15.6" hidden="1">
      <c r="C100" s="39" t="str">
        <f t="shared" si="12"/>
        <v>H</v>
      </c>
      <c r="D100" s="45" t="str">
        <f>Parameter!E$41</f>
        <v>One Pro</v>
      </c>
      <c r="E100" s="74">
        <f t="shared" si="14"/>
        <v>0</v>
      </c>
      <c r="F100" s="75">
        <f t="shared" si="14"/>
        <v>0</v>
      </c>
      <c r="G100" s="75">
        <f t="shared" si="14"/>
        <v>0</v>
      </c>
      <c r="H100" s="75">
        <f t="shared" si="14"/>
        <v>0</v>
      </c>
      <c r="I100" s="75">
        <f t="shared" si="14"/>
        <v>0</v>
      </c>
      <c r="J100" s="75">
        <f t="shared" si="14"/>
        <v>0</v>
      </c>
      <c r="K100" s="75">
        <f t="shared" si="14"/>
        <v>0</v>
      </c>
      <c r="L100" s="76">
        <f t="shared" si="14"/>
        <v>0</v>
      </c>
    </row>
    <row r="101" spans="3:12" ht="15.6" hidden="1">
      <c r="C101" s="39" t="str">
        <f t="shared" si="12"/>
        <v>H</v>
      </c>
      <c r="D101" s="45" t="str">
        <f>Parameter!E$42</f>
        <v>Quark AI</v>
      </c>
      <c r="E101" s="74">
        <f t="shared" si="14"/>
        <v>0</v>
      </c>
      <c r="F101" s="75">
        <f t="shared" si="14"/>
        <v>0</v>
      </c>
      <c r="G101" s="75">
        <f t="shared" si="14"/>
        <v>0</v>
      </c>
      <c r="H101" s="75">
        <f t="shared" si="14"/>
        <v>0</v>
      </c>
      <c r="I101" s="75">
        <f t="shared" si="14"/>
        <v>0</v>
      </c>
      <c r="J101" s="75">
        <f t="shared" si="14"/>
        <v>0</v>
      </c>
      <c r="K101" s="75">
        <f t="shared" si="14"/>
        <v>0</v>
      </c>
      <c r="L101" s="76">
        <f t="shared" si="14"/>
        <v>0</v>
      </c>
    </row>
    <row r="102" spans="3:12" ht="16.2" thickBot="1">
      <c r="C102" s="39" t="str">
        <f t="shared" si="12"/>
        <v/>
      </c>
      <c r="D102" s="45" t="str">
        <f>Parameter!E$43</f>
        <v>Ray-Ban Meta Display</v>
      </c>
      <c r="E102" s="74">
        <f t="shared" si="14"/>
        <v>0</v>
      </c>
      <c r="F102" s="75">
        <f t="shared" si="14"/>
        <v>0</v>
      </c>
      <c r="G102" s="75">
        <f t="shared" si="14"/>
        <v>0</v>
      </c>
      <c r="H102" s="75">
        <f t="shared" si="14"/>
        <v>4.5</v>
      </c>
      <c r="I102" s="75">
        <f t="shared" si="14"/>
        <v>0</v>
      </c>
      <c r="J102" s="75">
        <f t="shared" si="14"/>
        <v>0</v>
      </c>
      <c r="K102" s="75">
        <f t="shared" si="14"/>
        <v>0</v>
      </c>
      <c r="L102" s="76">
        <f t="shared" si="14"/>
        <v>0</v>
      </c>
    </row>
    <row r="103" spans="3:12" ht="15.6" hidden="1">
      <c r="C103" s="39" t="str">
        <f t="shared" si="12"/>
        <v>H</v>
      </c>
      <c r="D103" s="45" t="str">
        <f>Parameter!E$44</f>
        <v>Shield</v>
      </c>
      <c r="E103" s="74">
        <f t="shared" si="14"/>
        <v>0</v>
      </c>
      <c r="F103" s="75">
        <f t="shared" si="14"/>
        <v>0</v>
      </c>
      <c r="G103" s="75">
        <f t="shared" si="14"/>
        <v>0</v>
      </c>
      <c r="H103" s="75">
        <f t="shared" si="14"/>
        <v>0</v>
      </c>
      <c r="I103" s="75">
        <f t="shared" si="14"/>
        <v>0</v>
      </c>
      <c r="J103" s="75">
        <f t="shared" si="14"/>
        <v>0</v>
      </c>
      <c r="K103" s="75">
        <f t="shared" si="14"/>
        <v>0</v>
      </c>
      <c r="L103" s="76">
        <f t="shared" si="14"/>
        <v>0</v>
      </c>
    </row>
    <row r="104" spans="3:12" ht="15.6" hidden="1">
      <c r="C104" s="39" t="str">
        <f t="shared" si="12"/>
        <v>H</v>
      </c>
      <c r="D104" s="45" t="str">
        <f>Parameter!E$45</f>
        <v>SiOLED glasses</v>
      </c>
      <c r="E104" s="74">
        <f t="shared" si="14"/>
        <v>0</v>
      </c>
      <c r="F104" s="75">
        <f t="shared" si="14"/>
        <v>0</v>
      </c>
      <c r="G104" s="75">
        <f t="shared" si="14"/>
        <v>0</v>
      </c>
      <c r="H104" s="75">
        <f t="shared" si="14"/>
        <v>0</v>
      </c>
      <c r="I104" s="75">
        <f t="shared" si="14"/>
        <v>0</v>
      </c>
      <c r="J104" s="75">
        <f t="shared" si="14"/>
        <v>0</v>
      </c>
      <c r="K104" s="75">
        <f t="shared" si="14"/>
        <v>0</v>
      </c>
      <c r="L104" s="76">
        <f t="shared" si="14"/>
        <v>0</v>
      </c>
    </row>
    <row r="105" spans="3:12" ht="15.6" hidden="1">
      <c r="C105" s="39" t="str">
        <f t="shared" si="12"/>
        <v>H</v>
      </c>
      <c r="D105" s="45" t="str">
        <f>Parameter!E$46</f>
        <v>T1</v>
      </c>
      <c r="E105" s="74">
        <f t="shared" si="14"/>
        <v>0</v>
      </c>
      <c r="F105" s="75">
        <f t="shared" si="14"/>
        <v>0</v>
      </c>
      <c r="G105" s="75">
        <f t="shared" si="14"/>
        <v>0</v>
      </c>
      <c r="H105" s="75">
        <f t="shared" si="14"/>
        <v>0</v>
      </c>
      <c r="I105" s="75">
        <f t="shared" si="14"/>
        <v>0</v>
      </c>
      <c r="J105" s="75">
        <f t="shared" si="14"/>
        <v>0</v>
      </c>
      <c r="K105" s="75">
        <f t="shared" si="14"/>
        <v>0</v>
      </c>
      <c r="L105" s="76">
        <f t="shared" si="14"/>
        <v>0</v>
      </c>
    </row>
    <row r="106" spans="3:12" ht="15.6" hidden="1">
      <c r="C106" s="39" t="str">
        <f t="shared" si="12"/>
        <v>H</v>
      </c>
      <c r="D106" s="45" t="str">
        <f>Parameter!E$47</f>
        <v>ThinkReality A3</v>
      </c>
      <c r="E106" s="74">
        <f t="shared" si="14"/>
        <v>0</v>
      </c>
      <c r="F106" s="75">
        <f t="shared" si="14"/>
        <v>0</v>
      </c>
      <c r="G106" s="75">
        <f t="shared" si="14"/>
        <v>0</v>
      </c>
      <c r="H106" s="75">
        <f t="shared" si="14"/>
        <v>0</v>
      </c>
      <c r="I106" s="75">
        <f t="shared" si="14"/>
        <v>0</v>
      </c>
      <c r="J106" s="75">
        <f t="shared" si="14"/>
        <v>0</v>
      </c>
      <c r="K106" s="75">
        <f t="shared" si="14"/>
        <v>0</v>
      </c>
      <c r="L106" s="76">
        <f t="shared" si="14"/>
        <v>0</v>
      </c>
    </row>
    <row r="107" spans="3:12" ht="15.6" hidden="1">
      <c r="C107" s="39" t="str">
        <f t="shared" si="12"/>
        <v>H</v>
      </c>
      <c r="D107" s="45" t="str">
        <f>Parameter!E$48</f>
        <v>Viture Pro</v>
      </c>
      <c r="E107" s="74">
        <f t="shared" ref="E107:L116" si="15">SUMIF(ARVR_Y_PC_PR, "AR_"&amp;E$66&amp;"_"&amp;$D$65&amp;"_"&amp;$D107, PanelRev)</f>
        <v>0</v>
      </c>
      <c r="F107" s="75">
        <f t="shared" si="15"/>
        <v>0</v>
      </c>
      <c r="G107" s="75">
        <f t="shared" si="15"/>
        <v>0</v>
      </c>
      <c r="H107" s="75">
        <f t="shared" si="15"/>
        <v>0</v>
      </c>
      <c r="I107" s="75">
        <f t="shared" si="15"/>
        <v>0</v>
      </c>
      <c r="J107" s="75">
        <f t="shared" si="15"/>
        <v>0</v>
      </c>
      <c r="K107" s="75">
        <f t="shared" si="15"/>
        <v>0</v>
      </c>
      <c r="L107" s="76">
        <f t="shared" si="15"/>
        <v>0</v>
      </c>
    </row>
    <row r="108" spans="3:12" ht="15.6" hidden="1">
      <c r="C108" s="39" t="str">
        <f t="shared" si="12"/>
        <v>H</v>
      </c>
      <c r="D108" s="45" t="str">
        <f>Parameter!E$49</f>
        <v>X3 Pro</v>
      </c>
      <c r="E108" s="74">
        <f t="shared" si="15"/>
        <v>0</v>
      </c>
      <c r="F108" s="75">
        <f t="shared" si="15"/>
        <v>0</v>
      </c>
      <c r="G108" s="75">
        <f t="shared" si="15"/>
        <v>0</v>
      </c>
      <c r="H108" s="75">
        <f t="shared" si="15"/>
        <v>0</v>
      </c>
      <c r="I108" s="75">
        <f t="shared" si="15"/>
        <v>0</v>
      </c>
      <c r="J108" s="75">
        <f t="shared" si="15"/>
        <v>0</v>
      </c>
      <c r="K108" s="75">
        <f t="shared" si="15"/>
        <v>0</v>
      </c>
      <c r="L108" s="76">
        <f t="shared" si="15"/>
        <v>0</v>
      </c>
    </row>
    <row r="109" spans="3:12" ht="15.6" hidden="1">
      <c r="C109" s="39" t="str">
        <f t="shared" si="12"/>
        <v>H</v>
      </c>
      <c r="D109" s="45" t="str">
        <f>Parameter!E$50</f>
        <v>Z100</v>
      </c>
      <c r="E109" s="74">
        <f t="shared" si="15"/>
        <v>0</v>
      </c>
      <c r="F109" s="75">
        <f t="shared" si="15"/>
        <v>0</v>
      </c>
      <c r="G109" s="75">
        <f t="shared" si="15"/>
        <v>0</v>
      </c>
      <c r="H109" s="75">
        <f t="shared" si="15"/>
        <v>0</v>
      </c>
      <c r="I109" s="75">
        <f t="shared" si="15"/>
        <v>0</v>
      </c>
      <c r="J109" s="75">
        <f t="shared" si="15"/>
        <v>0</v>
      </c>
      <c r="K109" s="75">
        <f t="shared" si="15"/>
        <v>0</v>
      </c>
      <c r="L109" s="76">
        <f t="shared" si="15"/>
        <v>0</v>
      </c>
    </row>
    <row r="110" spans="3:12" ht="15.6" hidden="1">
      <c r="C110" s="39" t="str">
        <f t="shared" si="12"/>
        <v>H</v>
      </c>
      <c r="D110" s="45">
        <f>Parameter!E$51</f>
        <v>0</v>
      </c>
      <c r="E110" s="74">
        <f t="shared" si="15"/>
        <v>0</v>
      </c>
      <c r="F110" s="75">
        <f t="shared" si="15"/>
        <v>0</v>
      </c>
      <c r="G110" s="75">
        <f t="shared" si="15"/>
        <v>0</v>
      </c>
      <c r="H110" s="75">
        <f t="shared" si="15"/>
        <v>0</v>
      </c>
      <c r="I110" s="75">
        <f t="shared" si="15"/>
        <v>0</v>
      </c>
      <c r="J110" s="75">
        <f t="shared" si="15"/>
        <v>0</v>
      </c>
      <c r="K110" s="75">
        <f t="shared" si="15"/>
        <v>0</v>
      </c>
      <c r="L110" s="76">
        <f t="shared" si="15"/>
        <v>0</v>
      </c>
    </row>
    <row r="111" spans="3:12" ht="15.6" hidden="1">
      <c r="C111" s="39" t="str">
        <f t="shared" si="12"/>
        <v>H</v>
      </c>
      <c r="D111" s="45">
        <f>Parameter!E$52</f>
        <v>0</v>
      </c>
      <c r="E111" s="74">
        <f t="shared" si="15"/>
        <v>0</v>
      </c>
      <c r="F111" s="75">
        <f t="shared" si="15"/>
        <v>0</v>
      </c>
      <c r="G111" s="75">
        <f t="shared" si="15"/>
        <v>0</v>
      </c>
      <c r="H111" s="75">
        <f t="shared" si="15"/>
        <v>0</v>
      </c>
      <c r="I111" s="75">
        <f t="shared" si="15"/>
        <v>0</v>
      </c>
      <c r="J111" s="75">
        <f t="shared" si="15"/>
        <v>0</v>
      </c>
      <c r="K111" s="75">
        <f t="shared" si="15"/>
        <v>0</v>
      </c>
      <c r="L111" s="76">
        <f t="shared" si="15"/>
        <v>0</v>
      </c>
    </row>
    <row r="112" spans="3:12" ht="15.6" hidden="1">
      <c r="C112" s="39" t="str">
        <f t="shared" si="12"/>
        <v>H</v>
      </c>
      <c r="D112" s="45">
        <f>Parameter!E$53</f>
        <v>0</v>
      </c>
      <c r="E112" s="74">
        <f t="shared" si="15"/>
        <v>0</v>
      </c>
      <c r="F112" s="75">
        <f t="shared" si="15"/>
        <v>0</v>
      </c>
      <c r="G112" s="75">
        <f t="shared" si="15"/>
        <v>0</v>
      </c>
      <c r="H112" s="75">
        <f t="shared" si="15"/>
        <v>0</v>
      </c>
      <c r="I112" s="75">
        <f t="shared" si="15"/>
        <v>0</v>
      </c>
      <c r="J112" s="75">
        <f t="shared" si="15"/>
        <v>0</v>
      </c>
      <c r="K112" s="75">
        <f t="shared" si="15"/>
        <v>0</v>
      </c>
      <c r="L112" s="76">
        <f t="shared" si="15"/>
        <v>0</v>
      </c>
    </row>
    <row r="113" spans="3:12" ht="15.6" hidden="1">
      <c r="C113" s="39" t="str">
        <f t="shared" si="12"/>
        <v>H</v>
      </c>
      <c r="D113" s="45">
        <f>Parameter!E$54</f>
        <v>0</v>
      </c>
      <c r="E113" s="74">
        <f t="shared" si="15"/>
        <v>0</v>
      </c>
      <c r="F113" s="75">
        <f t="shared" si="15"/>
        <v>0</v>
      </c>
      <c r="G113" s="75">
        <f t="shared" si="15"/>
        <v>0</v>
      </c>
      <c r="H113" s="75">
        <f t="shared" si="15"/>
        <v>0</v>
      </c>
      <c r="I113" s="75">
        <f t="shared" si="15"/>
        <v>0</v>
      </c>
      <c r="J113" s="75">
        <f t="shared" si="15"/>
        <v>0</v>
      </c>
      <c r="K113" s="75">
        <f t="shared" si="15"/>
        <v>0</v>
      </c>
      <c r="L113" s="76">
        <f t="shared" si="15"/>
        <v>0</v>
      </c>
    </row>
    <row r="114" spans="3:12" ht="15.6" hidden="1">
      <c r="C114" s="39" t="str">
        <f t="shared" si="12"/>
        <v>H</v>
      </c>
      <c r="D114" s="45">
        <f>Parameter!E$55</f>
        <v>0</v>
      </c>
      <c r="E114" s="74">
        <f t="shared" si="15"/>
        <v>0</v>
      </c>
      <c r="F114" s="75">
        <f t="shared" si="15"/>
        <v>0</v>
      </c>
      <c r="G114" s="75">
        <f t="shared" si="15"/>
        <v>0</v>
      </c>
      <c r="H114" s="75">
        <f t="shared" si="15"/>
        <v>0</v>
      </c>
      <c r="I114" s="75">
        <f t="shared" si="15"/>
        <v>0</v>
      </c>
      <c r="J114" s="75">
        <f t="shared" si="15"/>
        <v>0</v>
      </c>
      <c r="K114" s="75">
        <f t="shared" si="15"/>
        <v>0</v>
      </c>
      <c r="L114" s="76">
        <f t="shared" si="15"/>
        <v>0</v>
      </c>
    </row>
    <row r="115" spans="3:12" ht="15.6" hidden="1">
      <c r="C115" s="39" t="str">
        <f t="shared" si="12"/>
        <v>H</v>
      </c>
      <c r="D115" s="45">
        <f>Parameter!E$56</f>
        <v>0</v>
      </c>
      <c r="E115" s="74">
        <f t="shared" si="15"/>
        <v>0</v>
      </c>
      <c r="F115" s="75">
        <f t="shared" si="15"/>
        <v>0</v>
      </c>
      <c r="G115" s="75">
        <f t="shared" si="15"/>
        <v>0</v>
      </c>
      <c r="H115" s="75">
        <f t="shared" si="15"/>
        <v>0</v>
      </c>
      <c r="I115" s="75">
        <f t="shared" si="15"/>
        <v>0</v>
      </c>
      <c r="J115" s="75">
        <f t="shared" si="15"/>
        <v>0</v>
      </c>
      <c r="K115" s="75">
        <f t="shared" si="15"/>
        <v>0</v>
      </c>
      <c r="L115" s="76">
        <f t="shared" si="15"/>
        <v>0</v>
      </c>
    </row>
    <row r="116" spans="3:12" ht="16.2" hidden="1" thickBot="1">
      <c r="C116" s="39" t="str">
        <f t="shared" si="12"/>
        <v>H</v>
      </c>
      <c r="D116" s="53" t="str">
        <f>Parameter!E$57</f>
        <v>ALL</v>
      </c>
      <c r="E116" s="77">
        <f t="shared" si="15"/>
        <v>0</v>
      </c>
      <c r="F116" s="78">
        <f t="shared" si="15"/>
        <v>0</v>
      </c>
      <c r="G116" s="78">
        <f t="shared" si="15"/>
        <v>0</v>
      </c>
      <c r="H116" s="78">
        <f t="shared" si="15"/>
        <v>0</v>
      </c>
      <c r="I116" s="78">
        <f t="shared" si="15"/>
        <v>0</v>
      </c>
      <c r="J116" s="78">
        <f t="shared" si="15"/>
        <v>0</v>
      </c>
      <c r="K116" s="78">
        <f t="shared" si="15"/>
        <v>0</v>
      </c>
      <c r="L116" s="79">
        <f t="shared" si="15"/>
        <v>0</v>
      </c>
    </row>
    <row r="117" spans="3:12" ht="15.6">
      <c r="C117" s="39" t="str">
        <f t="shared" si="12"/>
        <v/>
      </c>
      <c r="D117" s="54" t="s">
        <v>87</v>
      </c>
      <c r="E117" s="80">
        <f>SUM(E67:E116)</f>
        <v>0</v>
      </c>
      <c r="F117" s="81">
        <f t="shared" ref="F117:L117" si="16">SUM(F67:F116)</f>
        <v>0</v>
      </c>
      <c r="G117" s="81">
        <f t="shared" si="16"/>
        <v>0</v>
      </c>
      <c r="H117" s="81">
        <f t="shared" si="16"/>
        <v>6.88194477798453</v>
      </c>
      <c r="I117" s="81">
        <f t="shared" si="16"/>
        <v>10.375751452900612</v>
      </c>
      <c r="J117" s="81">
        <f t="shared" si="16"/>
        <v>15.641445315247669</v>
      </c>
      <c r="K117" s="81">
        <f t="shared" si="16"/>
        <v>20.800787725202504</v>
      </c>
      <c r="L117" s="82">
        <f t="shared" si="16"/>
        <v>36.08</v>
      </c>
    </row>
    <row r="118" spans="3:12" ht="16.2" thickBot="1">
      <c r="C118" s="39" t="str">
        <f t="shared" si="12"/>
        <v/>
      </c>
      <c r="D118" s="46" t="s">
        <v>88</v>
      </c>
      <c r="E118" s="47"/>
      <c r="F118" s="50" t="str">
        <f t="shared" ref="F118:G118" si="17">IF(E117*F117=0, "", F117/E117-1)</f>
        <v/>
      </c>
      <c r="G118" s="50" t="str">
        <f t="shared" si="17"/>
        <v/>
      </c>
      <c r="H118" s="50" t="str">
        <f>IF(G117*H117=0, "", H117/G117-1)</f>
        <v/>
      </c>
      <c r="I118" s="50">
        <f t="shared" ref="I118:L118" si="18">IF(H117*I117=0, "", I117/H117-1)</f>
        <v>0.50767723189131586</v>
      </c>
      <c r="J118" s="50">
        <f t="shared" si="18"/>
        <v>0.50749999999999962</v>
      </c>
      <c r="K118" s="50">
        <f t="shared" si="18"/>
        <v>0.32985074626865707</v>
      </c>
      <c r="L118" s="51">
        <f t="shared" si="18"/>
        <v>0.73454969478319332</v>
      </c>
    </row>
    <row r="119" spans="3:12" ht="15.6">
      <c r="C119"/>
      <c r="D119" s="49"/>
      <c r="E119" s="55"/>
      <c r="F119" s="56"/>
      <c r="G119" s="56"/>
      <c r="H119" s="56"/>
      <c r="I119" s="56"/>
      <c r="J119" s="56"/>
      <c r="K119" s="56"/>
      <c r="L119" s="56"/>
    </row>
    <row r="120" spans="3:12" ht="14.4" thickBot="1">
      <c r="C120"/>
    </row>
    <row r="121" spans="3:12" ht="15" thickBot="1">
      <c r="C121"/>
      <c r="D121" s="52" t="str">
        <f>Parameter!I10</f>
        <v>1x Micro LCD</v>
      </c>
    </row>
    <row r="122" spans="3:12" ht="16.2" thickBot="1">
      <c r="C122"/>
      <c r="D122" s="40" t="s">
        <v>85</v>
      </c>
      <c r="E122" s="41" t="str">
        <f t="shared" ref="E122:L122" si="19">E10</f>
        <v>2022</v>
      </c>
      <c r="F122" s="42" t="str">
        <f t="shared" si="19"/>
        <v>2023</v>
      </c>
      <c r="G122" s="42" t="str">
        <f t="shared" si="19"/>
        <v>2024</v>
      </c>
      <c r="H122" s="42">
        <f t="shared" si="19"/>
        <v>2025</v>
      </c>
      <c r="I122" s="42" t="str">
        <f t="shared" si="19"/>
        <v>2026</v>
      </c>
      <c r="J122" s="42" t="str">
        <f t="shared" si="19"/>
        <v>2027</v>
      </c>
      <c r="K122" s="42" t="str">
        <f t="shared" si="19"/>
        <v>2028</v>
      </c>
      <c r="L122" s="43" t="str">
        <f t="shared" si="19"/>
        <v>2029</v>
      </c>
    </row>
    <row r="123" spans="3:12" ht="15.6" hidden="1">
      <c r="C123" s="39" t="str">
        <f>IF(SUM(E123:L123)=0, "H", "")</f>
        <v>H</v>
      </c>
      <c r="D123" s="44" t="str">
        <f>Parameter!E$8</f>
        <v>Air</v>
      </c>
      <c r="E123" s="74">
        <f t="shared" ref="E123:L132" si="20">SUMIF(ARVR_Y_PC_PR, "AR_"&amp;E$122&amp;"_"&amp;$D$121&amp;"_"&amp;$D123, PanelRev)</f>
        <v>0</v>
      </c>
      <c r="F123" s="75">
        <f t="shared" si="20"/>
        <v>0</v>
      </c>
      <c r="G123" s="75">
        <f t="shared" si="20"/>
        <v>0</v>
      </c>
      <c r="H123" s="75">
        <f t="shared" si="20"/>
        <v>0</v>
      </c>
      <c r="I123" s="75">
        <f t="shared" si="20"/>
        <v>0</v>
      </c>
      <c r="J123" s="75">
        <f t="shared" si="20"/>
        <v>0</v>
      </c>
      <c r="K123" s="75">
        <f t="shared" si="20"/>
        <v>0</v>
      </c>
      <c r="L123" s="76">
        <f t="shared" si="20"/>
        <v>0</v>
      </c>
    </row>
    <row r="124" spans="3:12" ht="15.6" hidden="1">
      <c r="C124" s="39" t="str">
        <f t="shared" ref="C124:C174" si="21">IF(SUM(E124:L124)=0, "H", "")</f>
        <v>H</v>
      </c>
      <c r="D124" s="44" t="str">
        <f>Parameter!E$9</f>
        <v>Air 2</v>
      </c>
      <c r="E124" s="74">
        <f t="shared" si="20"/>
        <v>0</v>
      </c>
      <c r="F124" s="75">
        <f t="shared" si="20"/>
        <v>0</v>
      </c>
      <c r="G124" s="75">
        <f t="shared" si="20"/>
        <v>0</v>
      </c>
      <c r="H124" s="75">
        <f t="shared" si="20"/>
        <v>0</v>
      </c>
      <c r="I124" s="75">
        <f t="shared" si="20"/>
        <v>0</v>
      </c>
      <c r="J124" s="75">
        <f t="shared" si="20"/>
        <v>0</v>
      </c>
      <c r="K124" s="75">
        <f t="shared" si="20"/>
        <v>0</v>
      </c>
      <c r="L124" s="76">
        <f t="shared" si="20"/>
        <v>0</v>
      </c>
    </row>
    <row r="125" spans="3:12" ht="15.6" hidden="1">
      <c r="C125" s="39" t="str">
        <f t="shared" si="21"/>
        <v>H</v>
      </c>
      <c r="D125" s="45" t="str">
        <f>Parameter!E$10</f>
        <v>Air 3</v>
      </c>
      <c r="E125" s="74">
        <f t="shared" si="20"/>
        <v>0</v>
      </c>
      <c r="F125" s="75">
        <f t="shared" si="20"/>
        <v>0</v>
      </c>
      <c r="G125" s="75">
        <f t="shared" si="20"/>
        <v>0</v>
      </c>
      <c r="H125" s="75">
        <f t="shared" si="20"/>
        <v>0</v>
      </c>
      <c r="I125" s="75">
        <f t="shared" si="20"/>
        <v>0</v>
      </c>
      <c r="J125" s="75">
        <f t="shared" si="20"/>
        <v>0</v>
      </c>
      <c r="K125" s="75">
        <f t="shared" si="20"/>
        <v>0</v>
      </c>
      <c r="L125" s="76">
        <f t="shared" si="20"/>
        <v>0</v>
      </c>
    </row>
    <row r="126" spans="3:12" ht="15.6" hidden="1">
      <c r="C126" s="39" t="str">
        <f t="shared" si="21"/>
        <v>H</v>
      </c>
      <c r="D126" s="45" t="str">
        <f>Parameter!E$11</f>
        <v>Air 3s Pro</v>
      </c>
      <c r="E126" s="74">
        <f t="shared" si="20"/>
        <v>0</v>
      </c>
      <c r="F126" s="75">
        <f t="shared" si="20"/>
        <v>0</v>
      </c>
      <c r="G126" s="75">
        <f t="shared" si="20"/>
        <v>0</v>
      </c>
      <c r="H126" s="75">
        <f t="shared" si="20"/>
        <v>0</v>
      </c>
      <c r="I126" s="75">
        <f t="shared" si="20"/>
        <v>0</v>
      </c>
      <c r="J126" s="75">
        <f t="shared" si="20"/>
        <v>0</v>
      </c>
      <c r="K126" s="75">
        <f t="shared" si="20"/>
        <v>0</v>
      </c>
      <c r="L126" s="76">
        <f t="shared" si="20"/>
        <v>0</v>
      </c>
    </row>
    <row r="127" spans="3:12" ht="15.6" hidden="1">
      <c r="C127" s="39" t="str">
        <f t="shared" si="21"/>
        <v>H</v>
      </c>
      <c r="D127" s="45" t="str">
        <f>Parameter!E$12</f>
        <v>Air Glass</v>
      </c>
      <c r="E127" s="74">
        <f t="shared" si="20"/>
        <v>0</v>
      </c>
      <c r="F127" s="75">
        <f t="shared" si="20"/>
        <v>0</v>
      </c>
      <c r="G127" s="75">
        <f t="shared" si="20"/>
        <v>0</v>
      </c>
      <c r="H127" s="75">
        <f t="shared" si="20"/>
        <v>0</v>
      </c>
      <c r="I127" s="75">
        <f t="shared" si="20"/>
        <v>0</v>
      </c>
      <c r="J127" s="75">
        <f t="shared" si="20"/>
        <v>0</v>
      </c>
      <c r="K127" s="75">
        <f t="shared" si="20"/>
        <v>0</v>
      </c>
      <c r="L127" s="76">
        <f t="shared" si="20"/>
        <v>0</v>
      </c>
    </row>
    <row r="128" spans="3:12" ht="15.6" hidden="1">
      <c r="C128" s="39" t="str">
        <f t="shared" si="21"/>
        <v>H</v>
      </c>
      <c r="D128" s="45" t="str">
        <f>Parameter!E$13</f>
        <v>Binocular MicroLED</v>
      </c>
      <c r="E128" s="74">
        <f t="shared" si="20"/>
        <v>0</v>
      </c>
      <c r="F128" s="75">
        <f t="shared" si="20"/>
        <v>0</v>
      </c>
      <c r="G128" s="75">
        <f t="shared" si="20"/>
        <v>0</v>
      </c>
      <c r="H128" s="75">
        <f t="shared" si="20"/>
        <v>0</v>
      </c>
      <c r="I128" s="75">
        <f t="shared" si="20"/>
        <v>0</v>
      </c>
      <c r="J128" s="75">
        <f t="shared" si="20"/>
        <v>0</v>
      </c>
      <c r="K128" s="75">
        <f t="shared" si="20"/>
        <v>0</v>
      </c>
      <c r="L128" s="76">
        <f t="shared" si="20"/>
        <v>0</v>
      </c>
    </row>
    <row r="129" spans="3:12" ht="15.6" hidden="1">
      <c r="C129" s="39" t="str">
        <f t="shared" si="21"/>
        <v>H</v>
      </c>
      <c r="D129" s="45" t="str">
        <f>Parameter!E$14</f>
        <v>Blade</v>
      </c>
      <c r="E129" s="74">
        <f t="shared" si="20"/>
        <v>0</v>
      </c>
      <c r="F129" s="75">
        <f t="shared" si="20"/>
        <v>0</v>
      </c>
      <c r="G129" s="75">
        <f t="shared" si="20"/>
        <v>0</v>
      </c>
      <c r="H129" s="75">
        <f t="shared" si="20"/>
        <v>0</v>
      </c>
      <c r="I129" s="75">
        <f t="shared" si="20"/>
        <v>0</v>
      </c>
      <c r="J129" s="75">
        <f t="shared" si="20"/>
        <v>0</v>
      </c>
      <c r="K129" s="75">
        <f t="shared" si="20"/>
        <v>0</v>
      </c>
      <c r="L129" s="76">
        <f t="shared" si="20"/>
        <v>0</v>
      </c>
    </row>
    <row r="130" spans="3:12" ht="15.6" hidden="1">
      <c r="C130" s="39" t="str">
        <f t="shared" si="21"/>
        <v>H</v>
      </c>
      <c r="D130" s="45" t="str">
        <f>Parameter!E$15</f>
        <v>DLP glasses</v>
      </c>
      <c r="E130" s="74">
        <f t="shared" si="20"/>
        <v>0</v>
      </c>
      <c r="F130" s="75">
        <f t="shared" si="20"/>
        <v>0</v>
      </c>
      <c r="G130" s="75">
        <f t="shared" si="20"/>
        <v>0</v>
      </c>
      <c r="H130" s="75">
        <f t="shared" si="20"/>
        <v>0</v>
      </c>
      <c r="I130" s="75">
        <f t="shared" si="20"/>
        <v>0</v>
      </c>
      <c r="J130" s="75">
        <f t="shared" si="20"/>
        <v>0</v>
      </c>
      <c r="K130" s="75">
        <f t="shared" si="20"/>
        <v>0</v>
      </c>
      <c r="L130" s="76">
        <f t="shared" si="20"/>
        <v>0</v>
      </c>
    </row>
    <row r="131" spans="3:12" ht="15.6" hidden="1">
      <c r="C131" s="39" t="str">
        <f t="shared" si="21"/>
        <v>H</v>
      </c>
      <c r="D131" s="45" t="str">
        <f>Parameter!E$16</f>
        <v>G1</v>
      </c>
      <c r="E131" s="74">
        <f t="shared" si="20"/>
        <v>0</v>
      </c>
      <c r="F131" s="75">
        <f t="shared" si="20"/>
        <v>0</v>
      </c>
      <c r="G131" s="75">
        <f t="shared" si="20"/>
        <v>0</v>
      </c>
      <c r="H131" s="75">
        <f t="shared" si="20"/>
        <v>0</v>
      </c>
      <c r="I131" s="75">
        <f t="shared" si="20"/>
        <v>0</v>
      </c>
      <c r="J131" s="75">
        <f t="shared" si="20"/>
        <v>0</v>
      </c>
      <c r="K131" s="75">
        <f t="shared" si="20"/>
        <v>0</v>
      </c>
      <c r="L131" s="76">
        <f t="shared" si="20"/>
        <v>0</v>
      </c>
    </row>
    <row r="132" spans="3:12" ht="16.2" thickBot="1">
      <c r="C132" s="39" t="str">
        <f t="shared" si="21"/>
        <v/>
      </c>
      <c r="D132" s="45" t="str">
        <f>Parameter!E$17</f>
        <v>Glass</v>
      </c>
      <c r="E132" s="74">
        <f t="shared" si="20"/>
        <v>0.51560136381599997</v>
      </c>
      <c r="F132" s="75">
        <f t="shared" si="20"/>
        <v>0</v>
      </c>
      <c r="G132" s="75">
        <f t="shared" si="20"/>
        <v>0</v>
      </c>
      <c r="H132" s="75">
        <f t="shared" si="20"/>
        <v>0</v>
      </c>
      <c r="I132" s="75">
        <f t="shared" si="20"/>
        <v>0</v>
      </c>
      <c r="J132" s="75">
        <f t="shared" si="20"/>
        <v>0</v>
      </c>
      <c r="K132" s="75">
        <f t="shared" si="20"/>
        <v>0</v>
      </c>
      <c r="L132" s="76">
        <f t="shared" si="20"/>
        <v>0</v>
      </c>
    </row>
    <row r="133" spans="3:12" ht="15.6" hidden="1">
      <c r="C133" s="39" t="str">
        <f t="shared" si="21"/>
        <v>H</v>
      </c>
      <c r="D133" s="45" t="str">
        <f>Parameter!E$18</f>
        <v>Glasses</v>
      </c>
      <c r="E133" s="74">
        <f t="shared" ref="E133:L142" si="22">SUMIF(ARVR_Y_PC_PR, "AR_"&amp;E$122&amp;"_"&amp;$D$121&amp;"_"&amp;$D133, PanelRev)</f>
        <v>0</v>
      </c>
      <c r="F133" s="75">
        <f t="shared" si="22"/>
        <v>0</v>
      </c>
      <c r="G133" s="75">
        <f t="shared" si="22"/>
        <v>0</v>
      </c>
      <c r="H133" s="75">
        <f t="shared" si="22"/>
        <v>0</v>
      </c>
      <c r="I133" s="75">
        <f t="shared" si="22"/>
        <v>0</v>
      </c>
      <c r="J133" s="75">
        <f t="shared" si="22"/>
        <v>0</v>
      </c>
      <c r="K133" s="75">
        <f t="shared" si="22"/>
        <v>0</v>
      </c>
      <c r="L133" s="76">
        <f t="shared" si="22"/>
        <v>0</v>
      </c>
    </row>
    <row r="134" spans="3:12" ht="15.6" hidden="1">
      <c r="C134" s="39" t="str">
        <f t="shared" si="21"/>
        <v>H</v>
      </c>
      <c r="D134" s="45" t="str">
        <f>Parameter!E$19</f>
        <v>Go</v>
      </c>
      <c r="E134" s="74">
        <f t="shared" si="22"/>
        <v>0</v>
      </c>
      <c r="F134" s="75">
        <f t="shared" si="22"/>
        <v>0</v>
      </c>
      <c r="G134" s="75">
        <f t="shared" si="22"/>
        <v>0</v>
      </c>
      <c r="H134" s="75">
        <f t="shared" si="22"/>
        <v>0</v>
      </c>
      <c r="I134" s="75">
        <f t="shared" si="22"/>
        <v>0</v>
      </c>
      <c r="J134" s="75">
        <f t="shared" si="22"/>
        <v>0</v>
      </c>
      <c r="K134" s="75">
        <f t="shared" si="22"/>
        <v>0</v>
      </c>
      <c r="L134" s="76">
        <f t="shared" si="22"/>
        <v>0</v>
      </c>
    </row>
    <row r="135" spans="3:12" ht="15.6" hidden="1">
      <c r="C135" s="39" t="str">
        <f t="shared" si="21"/>
        <v>H</v>
      </c>
      <c r="D135" s="45" t="str">
        <f>Parameter!E$20</f>
        <v>Go 2</v>
      </c>
      <c r="E135" s="74">
        <f t="shared" si="22"/>
        <v>0</v>
      </c>
      <c r="F135" s="75">
        <f t="shared" si="22"/>
        <v>0</v>
      </c>
      <c r="G135" s="75">
        <f t="shared" si="22"/>
        <v>0</v>
      </c>
      <c r="H135" s="75">
        <f t="shared" si="22"/>
        <v>0</v>
      </c>
      <c r="I135" s="75">
        <f t="shared" si="22"/>
        <v>0</v>
      </c>
      <c r="J135" s="75">
        <f t="shared" si="22"/>
        <v>0</v>
      </c>
      <c r="K135" s="75">
        <f t="shared" si="22"/>
        <v>0</v>
      </c>
      <c r="L135" s="76">
        <f t="shared" si="22"/>
        <v>0</v>
      </c>
    </row>
    <row r="136" spans="3:12" ht="15.6" hidden="1">
      <c r="C136" s="39" t="str">
        <f t="shared" si="21"/>
        <v>H</v>
      </c>
      <c r="D136" s="45" t="str">
        <f>Parameter!E$21</f>
        <v>HoloLens 2</v>
      </c>
      <c r="E136" s="74">
        <f t="shared" si="22"/>
        <v>0</v>
      </c>
      <c r="F136" s="75">
        <f t="shared" si="22"/>
        <v>0</v>
      </c>
      <c r="G136" s="75">
        <f t="shared" si="22"/>
        <v>0</v>
      </c>
      <c r="H136" s="75">
        <f t="shared" si="22"/>
        <v>0</v>
      </c>
      <c r="I136" s="75">
        <f t="shared" si="22"/>
        <v>0</v>
      </c>
      <c r="J136" s="75">
        <f t="shared" si="22"/>
        <v>0</v>
      </c>
      <c r="K136" s="75">
        <f t="shared" si="22"/>
        <v>0</v>
      </c>
      <c r="L136" s="76">
        <f t="shared" si="22"/>
        <v>0</v>
      </c>
    </row>
    <row r="137" spans="3:12" ht="15.6" hidden="1">
      <c r="C137" s="39" t="str">
        <f t="shared" si="21"/>
        <v>H</v>
      </c>
      <c r="D137" s="45" t="str">
        <f>Parameter!E$22</f>
        <v>INAIR 2</v>
      </c>
      <c r="E137" s="74">
        <f t="shared" si="22"/>
        <v>0</v>
      </c>
      <c r="F137" s="75">
        <f t="shared" si="22"/>
        <v>0</v>
      </c>
      <c r="G137" s="75">
        <f t="shared" si="22"/>
        <v>0</v>
      </c>
      <c r="H137" s="75">
        <f t="shared" si="22"/>
        <v>0</v>
      </c>
      <c r="I137" s="75">
        <f t="shared" si="22"/>
        <v>0</v>
      </c>
      <c r="J137" s="75">
        <f t="shared" si="22"/>
        <v>0</v>
      </c>
      <c r="K137" s="75">
        <f t="shared" si="22"/>
        <v>0</v>
      </c>
      <c r="L137" s="76">
        <f t="shared" si="22"/>
        <v>0</v>
      </c>
    </row>
    <row r="138" spans="3:12" ht="15.6" hidden="1">
      <c r="C138" s="39" t="str">
        <f t="shared" si="21"/>
        <v>H</v>
      </c>
      <c r="D138" s="45" t="str">
        <f>Parameter!E$23</f>
        <v>INAIR 2 Pro</v>
      </c>
      <c r="E138" s="74">
        <f t="shared" si="22"/>
        <v>0</v>
      </c>
      <c r="F138" s="75">
        <f t="shared" si="22"/>
        <v>0</v>
      </c>
      <c r="G138" s="75">
        <f t="shared" si="22"/>
        <v>0</v>
      </c>
      <c r="H138" s="75">
        <f t="shared" si="22"/>
        <v>0</v>
      </c>
      <c r="I138" s="75">
        <f t="shared" si="22"/>
        <v>0</v>
      </c>
      <c r="J138" s="75">
        <f t="shared" si="22"/>
        <v>0</v>
      </c>
      <c r="K138" s="75">
        <f t="shared" si="22"/>
        <v>0</v>
      </c>
      <c r="L138" s="76">
        <f t="shared" si="22"/>
        <v>0</v>
      </c>
    </row>
    <row r="139" spans="3:12" ht="15.6" hidden="1">
      <c r="C139" s="39" t="str">
        <f t="shared" si="21"/>
        <v>H</v>
      </c>
      <c r="D139" s="45" t="str">
        <f>Parameter!E$24</f>
        <v>LBS glasses</v>
      </c>
      <c r="E139" s="74">
        <f t="shared" si="22"/>
        <v>0</v>
      </c>
      <c r="F139" s="75">
        <f t="shared" si="22"/>
        <v>0</v>
      </c>
      <c r="G139" s="75">
        <f t="shared" si="22"/>
        <v>0</v>
      </c>
      <c r="H139" s="75">
        <f t="shared" si="22"/>
        <v>0</v>
      </c>
      <c r="I139" s="75">
        <f t="shared" si="22"/>
        <v>0</v>
      </c>
      <c r="J139" s="75">
        <f t="shared" si="22"/>
        <v>0</v>
      </c>
      <c r="K139" s="75">
        <f t="shared" si="22"/>
        <v>0</v>
      </c>
      <c r="L139" s="76">
        <f t="shared" si="22"/>
        <v>0</v>
      </c>
    </row>
    <row r="140" spans="3:12" ht="15.6" hidden="1">
      <c r="C140" s="39" t="str">
        <f t="shared" si="21"/>
        <v>H</v>
      </c>
      <c r="D140" s="45" t="str">
        <f>Parameter!E$25</f>
        <v>LCoS glasses</v>
      </c>
      <c r="E140" s="74">
        <f t="shared" si="22"/>
        <v>0</v>
      </c>
      <c r="F140" s="75">
        <f t="shared" si="22"/>
        <v>0</v>
      </c>
      <c r="G140" s="75">
        <f t="shared" si="22"/>
        <v>0</v>
      </c>
      <c r="H140" s="75">
        <f t="shared" si="22"/>
        <v>0</v>
      </c>
      <c r="I140" s="75">
        <f t="shared" si="22"/>
        <v>0</v>
      </c>
      <c r="J140" s="75">
        <f t="shared" si="22"/>
        <v>0</v>
      </c>
      <c r="K140" s="75">
        <f t="shared" si="22"/>
        <v>0</v>
      </c>
      <c r="L140" s="76">
        <f t="shared" si="22"/>
        <v>0</v>
      </c>
    </row>
    <row r="141" spans="3:12" ht="15.6" hidden="1">
      <c r="C141" s="39" t="str">
        <f t="shared" si="21"/>
        <v>H</v>
      </c>
      <c r="D141" s="45" t="str">
        <f>Parameter!E$26</f>
        <v>Lenovo Legion Glasses 2</v>
      </c>
      <c r="E141" s="74">
        <f t="shared" si="22"/>
        <v>0</v>
      </c>
      <c r="F141" s="75">
        <f t="shared" si="22"/>
        <v>0</v>
      </c>
      <c r="G141" s="75">
        <f t="shared" si="22"/>
        <v>0</v>
      </c>
      <c r="H141" s="75">
        <f t="shared" si="22"/>
        <v>0</v>
      </c>
      <c r="I141" s="75">
        <f t="shared" si="22"/>
        <v>0</v>
      </c>
      <c r="J141" s="75">
        <f t="shared" si="22"/>
        <v>0</v>
      </c>
      <c r="K141" s="75">
        <f t="shared" si="22"/>
        <v>0</v>
      </c>
      <c r="L141" s="76">
        <f t="shared" si="22"/>
        <v>0</v>
      </c>
    </row>
    <row r="142" spans="3:12" ht="15.6" hidden="1">
      <c r="C142" s="39" t="str">
        <f t="shared" si="21"/>
        <v>H</v>
      </c>
      <c r="D142" s="45" t="str">
        <f>Parameter!E$27</f>
        <v>Light</v>
      </c>
      <c r="E142" s="74">
        <f t="shared" si="22"/>
        <v>0</v>
      </c>
      <c r="F142" s="75">
        <f t="shared" si="22"/>
        <v>0</v>
      </c>
      <c r="G142" s="75">
        <f t="shared" si="22"/>
        <v>0</v>
      </c>
      <c r="H142" s="75">
        <f t="shared" si="22"/>
        <v>0</v>
      </c>
      <c r="I142" s="75">
        <f t="shared" si="22"/>
        <v>0</v>
      </c>
      <c r="J142" s="75">
        <f t="shared" si="22"/>
        <v>0</v>
      </c>
      <c r="K142" s="75">
        <f t="shared" si="22"/>
        <v>0</v>
      </c>
      <c r="L142" s="76">
        <f t="shared" si="22"/>
        <v>0</v>
      </c>
    </row>
    <row r="143" spans="3:12" ht="15.6" hidden="1">
      <c r="C143" s="39" t="str">
        <f t="shared" si="21"/>
        <v>H</v>
      </c>
      <c r="D143" s="45" t="str">
        <f>Parameter!E$28</f>
        <v>Max</v>
      </c>
      <c r="E143" s="74">
        <f t="shared" ref="E143:L152" si="23">SUMIF(ARVR_Y_PC_PR, "AR_"&amp;E$122&amp;"_"&amp;$D$121&amp;"_"&amp;$D143, PanelRev)</f>
        <v>0</v>
      </c>
      <c r="F143" s="75">
        <f t="shared" si="23"/>
        <v>0</v>
      </c>
      <c r="G143" s="75">
        <f t="shared" si="23"/>
        <v>0</v>
      </c>
      <c r="H143" s="75">
        <f t="shared" si="23"/>
        <v>0</v>
      </c>
      <c r="I143" s="75">
        <f t="shared" si="23"/>
        <v>0</v>
      </c>
      <c r="J143" s="75">
        <f t="shared" si="23"/>
        <v>0</v>
      </c>
      <c r="K143" s="75">
        <f t="shared" si="23"/>
        <v>0</v>
      </c>
      <c r="L143" s="76">
        <f t="shared" si="23"/>
        <v>0</v>
      </c>
    </row>
    <row r="144" spans="3:12" ht="15.6" hidden="1">
      <c r="C144" s="39" t="str">
        <f t="shared" si="21"/>
        <v>H</v>
      </c>
      <c r="D144" s="45" t="str">
        <f>Parameter!E$29</f>
        <v>Max 2</v>
      </c>
      <c r="E144" s="74">
        <f t="shared" si="23"/>
        <v>0</v>
      </c>
      <c r="F144" s="75">
        <f t="shared" si="23"/>
        <v>0</v>
      </c>
      <c r="G144" s="75">
        <f t="shared" si="23"/>
        <v>0</v>
      </c>
      <c r="H144" s="75">
        <f t="shared" si="23"/>
        <v>0</v>
      </c>
      <c r="I144" s="75">
        <f t="shared" si="23"/>
        <v>0</v>
      </c>
      <c r="J144" s="75">
        <f t="shared" si="23"/>
        <v>0</v>
      </c>
      <c r="K144" s="75">
        <f t="shared" si="23"/>
        <v>0</v>
      </c>
      <c r="L144" s="76">
        <f t="shared" si="23"/>
        <v>0</v>
      </c>
    </row>
    <row r="145" spans="3:12" ht="15.6" hidden="1">
      <c r="C145" s="39" t="str">
        <f t="shared" si="21"/>
        <v>H</v>
      </c>
      <c r="D145" s="45" t="str">
        <f>Parameter!E$30</f>
        <v>Meizu StarV Air 2</v>
      </c>
      <c r="E145" s="74">
        <f t="shared" si="23"/>
        <v>0</v>
      </c>
      <c r="F145" s="75">
        <f t="shared" si="23"/>
        <v>0</v>
      </c>
      <c r="G145" s="75">
        <f t="shared" si="23"/>
        <v>0</v>
      </c>
      <c r="H145" s="75">
        <f t="shared" si="23"/>
        <v>0</v>
      </c>
      <c r="I145" s="75">
        <f t="shared" si="23"/>
        <v>0</v>
      </c>
      <c r="J145" s="75">
        <f t="shared" si="23"/>
        <v>0</v>
      </c>
      <c r="K145" s="75">
        <f t="shared" si="23"/>
        <v>0</v>
      </c>
      <c r="L145" s="76">
        <f t="shared" si="23"/>
        <v>0</v>
      </c>
    </row>
    <row r="146" spans="3:12" ht="15.6" hidden="1">
      <c r="C146" s="39" t="str">
        <f t="shared" si="21"/>
        <v>H</v>
      </c>
      <c r="D146" s="45" t="str">
        <f>Parameter!E$31</f>
        <v>Meizu StarV View</v>
      </c>
      <c r="E146" s="74">
        <f t="shared" si="23"/>
        <v>0</v>
      </c>
      <c r="F146" s="75">
        <f t="shared" si="23"/>
        <v>0</v>
      </c>
      <c r="G146" s="75">
        <f t="shared" si="23"/>
        <v>0</v>
      </c>
      <c r="H146" s="75">
        <f t="shared" si="23"/>
        <v>0</v>
      </c>
      <c r="I146" s="75">
        <f t="shared" si="23"/>
        <v>0</v>
      </c>
      <c r="J146" s="75">
        <f t="shared" si="23"/>
        <v>0</v>
      </c>
      <c r="K146" s="75">
        <f t="shared" si="23"/>
        <v>0</v>
      </c>
      <c r="L146" s="76">
        <f t="shared" si="23"/>
        <v>0</v>
      </c>
    </row>
    <row r="147" spans="3:12" ht="15.6" hidden="1">
      <c r="C147" s="39" t="str">
        <f t="shared" si="21"/>
        <v>H</v>
      </c>
      <c r="D147" s="45" t="str">
        <f>Parameter!E$32</f>
        <v>MiRZA</v>
      </c>
      <c r="E147" s="74">
        <f t="shared" si="23"/>
        <v>0</v>
      </c>
      <c r="F147" s="75">
        <f t="shared" si="23"/>
        <v>0</v>
      </c>
      <c r="G147" s="75">
        <f t="shared" si="23"/>
        <v>0</v>
      </c>
      <c r="H147" s="75">
        <f t="shared" si="23"/>
        <v>0</v>
      </c>
      <c r="I147" s="75">
        <f t="shared" si="23"/>
        <v>0</v>
      </c>
      <c r="J147" s="75">
        <f t="shared" si="23"/>
        <v>0</v>
      </c>
      <c r="K147" s="75">
        <f t="shared" si="23"/>
        <v>0</v>
      </c>
      <c r="L147" s="76">
        <f t="shared" si="23"/>
        <v>0</v>
      </c>
    </row>
    <row r="148" spans="3:12" ht="15.6" hidden="1">
      <c r="C148" s="39" t="str">
        <f t="shared" si="21"/>
        <v>H</v>
      </c>
      <c r="D148" s="45" t="str">
        <f>Parameter!E$33</f>
        <v>ML 2</v>
      </c>
      <c r="E148" s="74">
        <f t="shared" si="23"/>
        <v>0</v>
      </c>
      <c r="F148" s="75">
        <f t="shared" si="23"/>
        <v>0</v>
      </c>
      <c r="G148" s="75">
        <f t="shared" si="23"/>
        <v>0</v>
      </c>
      <c r="H148" s="75">
        <f t="shared" si="23"/>
        <v>0</v>
      </c>
      <c r="I148" s="75">
        <f t="shared" si="23"/>
        <v>0</v>
      </c>
      <c r="J148" s="75">
        <f t="shared" si="23"/>
        <v>0</v>
      </c>
      <c r="K148" s="75">
        <f t="shared" si="23"/>
        <v>0</v>
      </c>
      <c r="L148" s="76">
        <f t="shared" si="23"/>
        <v>0</v>
      </c>
    </row>
    <row r="149" spans="3:12" ht="15.6" hidden="1">
      <c r="C149" s="39" t="str">
        <f t="shared" si="21"/>
        <v>H</v>
      </c>
      <c r="D149" s="45" t="str">
        <f>Parameter!E$34</f>
        <v>ML One</v>
      </c>
      <c r="E149" s="74">
        <f t="shared" si="23"/>
        <v>0</v>
      </c>
      <c r="F149" s="75">
        <f t="shared" si="23"/>
        <v>0</v>
      </c>
      <c r="G149" s="75">
        <f t="shared" si="23"/>
        <v>0</v>
      </c>
      <c r="H149" s="75">
        <f t="shared" si="23"/>
        <v>0</v>
      </c>
      <c r="I149" s="75">
        <f t="shared" si="23"/>
        <v>0</v>
      </c>
      <c r="J149" s="75">
        <f t="shared" si="23"/>
        <v>0</v>
      </c>
      <c r="K149" s="75">
        <f t="shared" si="23"/>
        <v>0</v>
      </c>
      <c r="L149" s="76">
        <f t="shared" si="23"/>
        <v>0</v>
      </c>
    </row>
    <row r="150" spans="3:12" ht="15.6" hidden="1">
      <c r="C150" s="39" t="str">
        <f t="shared" si="21"/>
        <v>H</v>
      </c>
      <c r="D150" s="45" t="str">
        <f>Parameter!E$35</f>
        <v>Monocular LCoS glasses</v>
      </c>
      <c r="E150" s="74">
        <f t="shared" si="23"/>
        <v>0</v>
      </c>
      <c r="F150" s="75">
        <f t="shared" si="23"/>
        <v>0</v>
      </c>
      <c r="G150" s="75">
        <f t="shared" si="23"/>
        <v>0</v>
      </c>
      <c r="H150" s="75">
        <f t="shared" si="23"/>
        <v>0</v>
      </c>
      <c r="I150" s="75">
        <f t="shared" si="23"/>
        <v>0</v>
      </c>
      <c r="J150" s="75">
        <f t="shared" si="23"/>
        <v>0</v>
      </c>
      <c r="K150" s="75">
        <f t="shared" si="23"/>
        <v>0</v>
      </c>
      <c r="L150" s="76">
        <f t="shared" si="23"/>
        <v>0</v>
      </c>
    </row>
    <row r="151" spans="3:12" ht="15.6" hidden="1">
      <c r="C151" s="39" t="str">
        <f t="shared" si="21"/>
        <v>H</v>
      </c>
      <c r="D151" s="45" t="str">
        <f>Parameter!E$36</f>
        <v>Monocular MicroLED</v>
      </c>
      <c r="E151" s="74">
        <f t="shared" si="23"/>
        <v>0</v>
      </c>
      <c r="F151" s="75">
        <f t="shared" si="23"/>
        <v>0</v>
      </c>
      <c r="G151" s="75">
        <f t="shared" si="23"/>
        <v>0</v>
      </c>
      <c r="H151" s="75">
        <f t="shared" si="23"/>
        <v>0</v>
      </c>
      <c r="I151" s="75">
        <f t="shared" si="23"/>
        <v>0</v>
      </c>
      <c r="J151" s="75">
        <f t="shared" si="23"/>
        <v>0</v>
      </c>
      <c r="K151" s="75">
        <f t="shared" si="23"/>
        <v>0</v>
      </c>
      <c r="L151" s="76">
        <f t="shared" si="23"/>
        <v>0</v>
      </c>
    </row>
    <row r="152" spans="3:12" ht="15.6" hidden="1">
      <c r="C152" s="39" t="str">
        <f t="shared" si="21"/>
        <v>H</v>
      </c>
      <c r="D152" s="45" t="str">
        <f>Parameter!E$37</f>
        <v>Moverio</v>
      </c>
      <c r="E152" s="74">
        <f t="shared" si="23"/>
        <v>0</v>
      </c>
      <c r="F152" s="75">
        <f t="shared" si="23"/>
        <v>0</v>
      </c>
      <c r="G152" s="75">
        <f t="shared" si="23"/>
        <v>0</v>
      </c>
      <c r="H152" s="75">
        <f t="shared" si="23"/>
        <v>0</v>
      </c>
      <c r="I152" s="75">
        <f t="shared" si="23"/>
        <v>0</v>
      </c>
      <c r="J152" s="75">
        <f t="shared" si="23"/>
        <v>0</v>
      </c>
      <c r="K152" s="75">
        <f t="shared" si="23"/>
        <v>0</v>
      </c>
      <c r="L152" s="76">
        <f t="shared" si="23"/>
        <v>0</v>
      </c>
    </row>
    <row r="153" spans="3:12" ht="15.6" hidden="1">
      <c r="C153" s="39" t="str">
        <f t="shared" si="21"/>
        <v>H</v>
      </c>
      <c r="D153" s="45" t="str">
        <f>Parameter!E$38</f>
        <v>MYVU</v>
      </c>
      <c r="E153" s="74">
        <f t="shared" ref="E153:L162" si="24">SUMIF(ARVR_Y_PC_PR, "AR_"&amp;E$122&amp;"_"&amp;$D$121&amp;"_"&amp;$D153, PanelRev)</f>
        <v>0</v>
      </c>
      <c r="F153" s="75">
        <f t="shared" si="24"/>
        <v>0</v>
      </c>
      <c r="G153" s="75">
        <f t="shared" si="24"/>
        <v>0</v>
      </c>
      <c r="H153" s="75">
        <f t="shared" si="24"/>
        <v>0</v>
      </c>
      <c r="I153" s="75">
        <f t="shared" si="24"/>
        <v>0</v>
      </c>
      <c r="J153" s="75">
        <f t="shared" si="24"/>
        <v>0</v>
      </c>
      <c r="K153" s="75">
        <f t="shared" si="24"/>
        <v>0</v>
      </c>
      <c r="L153" s="76">
        <f t="shared" si="24"/>
        <v>0</v>
      </c>
    </row>
    <row r="154" spans="3:12" ht="15.6" hidden="1">
      <c r="C154" s="39" t="str">
        <f t="shared" si="21"/>
        <v>H</v>
      </c>
      <c r="D154" s="45" t="str">
        <f>Parameter!E$39</f>
        <v>NXTWear</v>
      </c>
      <c r="E154" s="74">
        <f t="shared" si="24"/>
        <v>0</v>
      </c>
      <c r="F154" s="75">
        <f t="shared" si="24"/>
        <v>0</v>
      </c>
      <c r="G154" s="75">
        <f t="shared" si="24"/>
        <v>0</v>
      </c>
      <c r="H154" s="75">
        <f t="shared" si="24"/>
        <v>0</v>
      </c>
      <c r="I154" s="75">
        <f t="shared" si="24"/>
        <v>0</v>
      </c>
      <c r="J154" s="75">
        <f t="shared" si="24"/>
        <v>0</v>
      </c>
      <c r="K154" s="75">
        <f t="shared" si="24"/>
        <v>0</v>
      </c>
      <c r="L154" s="76">
        <f t="shared" si="24"/>
        <v>0</v>
      </c>
    </row>
    <row r="155" spans="3:12" ht="15.6" hidden="1">
      <c r="C155" s="39" t="str">
        <f t="shared" si="21"/>
        <v>H</v>
      </c>
      <c r="D155" s="45" t="str">
        <f>Parameter!E$40</f>
        <v>One</v>
      </c>
      <c r="E155" s="74">
        <f t="shared" si="24"/>
        <v>0</v>
      </c>
      <c r="F155" s="75">
        <f t="shared" si="24"/>
        <v>0</v>
      </c>
      <c r="G155" s="75">
        <f t="shared" si="24"/>
        <v>0</v>
      </c>
      <c r="H155" s="75">
        <f t="shared" si="24"/>
        <v>0</v>
      </c>
      <c r="I155" s="75">
        <f t="shared" si="24"/>
        <v>0</v>
      </c>
      <c r="J155" s="75">
        <f t="shared" si="24"/>
        <v>0</v>
      </c>
      <c r="K155" s="75">
        <f t="shared" si="24"/>
        <v>0</v>
      </c>
      <c r="L155" s="76">
        <f t="shared" si="24"/>
        <v>0</v>
      </c>
    </row>
    <row r="156" spans="3:12" ht="15.6" hidden="1">
      <c r="C156" s="39" t="str">
        <f t="shared" si="21"/>
        <v>H</v>
      </c>
      <c r="D156" s="45" t="str">
        <f>Parameter!E$41</f>
        <v>One Pro</v>
      </c>
      <c r="E156" s="74">
        <f t="shared" si="24"/>
        <v>0</v>
      </c>
      <c r="F156" s="75">
        <f t="shared" si="24"/>
        <v>0</v>
      </c>
      <c r="G156" s="75">
        <f t="shared" si="24"/>
        <v>0</v>
      </c>
      <c r="H156" s="75">
        <f t="shared" si="24"/>
        <v>0</v>
      </c>
      <c r="I156" s="75">
        <f t="shared" si="24"/>
        <v>0</v>
      </c>
      <c r="J156" s="75">
        <f t="shared" si="24"/>
        <v>0</v>
      </c>
      <c r="K156" s="75">
        <f t="shared" si="24"/>
        <v>0</v>
      </c>
      <c r="L156" s="76">
        <f t="shared" si="24"/>
        <v>0</v>
      </c>
    </row>
    <row r="157" spans="3:12" ht="15.6" hidden="1">
      <c r="C157" s="39" t="str">
        <f t="shared" si="21"/>
        <v>H</v>
      </c>
      <c r="D157" s="45" t="str">
        <f>Parameter!E$42</f>
        <v>Quark AI</v>
      </c>
      <c r="E157" s="74">
        <f t="shared" si="24"/>
        <v>0</v>
      </c>
      <c r="F157" s="75">
        <f t="shared" si="24"/>
        <v>0</v>
      </c>
      <c r="G157" s="75">
        <f t="shared" si="24"/>
        <v>0</v>
      </c>
      <c r="H157" s="75">
        <f t="shared" si="24"/>
        <v>0</v>
      </c>
      <c r="I157" s="75">
        <f t="shared" si="24"/>
        <v>0</v>
      </c>
      <c r="J157" s="75">
        <f t="shared" si="24"/>
        <v>0</v>
      </c>
      <c r="K157" s="75">
        <f t="shared" si="24"/>
        <v>0</v>
      </c>
      <c r="L157" s="76">
        <f t="shared" si="24"/>
        <v>0</v>
      </c>
    </row>
    <row r="158" spans="3:12" ht="15.6" hidden="1">
      <c r="C158" s="39" t="str">
        <f t="shared" si="21"/>
        <v>H</v>
      </c>
      <c r="D158" s="45" t="str">
        <f>Parameter!E$43</f>
        <v>Ray-Ban Meta Display</v>
      </c>
      <c r="E158" s="74">
        <f t="shared" si="24"/>
        <v>0</v>
      </c>
      <c r="F158" s="75">
        <f t="shared" si="24"/>
        <v>0</v>
      </c>
      <c r="G158" s="75">
        <f t="shared" si="24"/>
        <v>0</v>
      </c>
      <c r="H158" s="75">
        <f t="shared" si="24"/>
        <v>0</v>
      </c>
      <c r="I158" s="75">
        <f t="shared" si="24"/>
        <v>0</v>
      </c>
      <c r="J158" s="75">
        <f t="shared" si="24"/>
        <v>0</v>
      </c>
      <c r="K158" s="75">
        <f t="shared" si="24"/>
        <v>0</v>
      </c>
      <c r="L158" s="76">
        <f t="shared" si="24"/>
        <v>0</v>
      </c>
    </row>
    <row r="159" spans="3:12" ht="15.6" hidden="1">
      <c r="C159" s="39" t="str">
        <f t="shared" si="21"/>
        <v>H</v>
      </c>
      <c r="D159" s="45" t="str">
        <f>Parameter!E$44</f>
        <v>Shield</v>
      </c>
      <c r="E159" s="74">
        <f t="shared" si="24"/>
        <v>0</v>
      </c>
      <c r="F159" s="75">
        <f t="shared" si="24"/>
        <v>0</v>
      </c>
      <c r="G159" s="75">
        <f t="shared" si="24"/>
        <v>0</v>
      </c>
      <c r="H159" s="75">
        <f t="shared" si="24"/>
        <v>0</v>
      </c>
      <c r="I159" s="75">
        <f t="shared" si="24"/>
        <v>0</v>
      </c>
      <c r="J159" s="75">
        <f t="shared" si="24"/>
        <v>0</v>
      </c>
      <c r="K159" s="75">
        <f t="shared" si="24"/>
        <v>0</v>
      </c>
      <c r="L159" s="76">
        <f t="shared" si="24"/>
        <v>0</v>
      </c>
    </row>
    <row r="160" spans="3:12" ht="15.6" hidden="1">
      <c r="C160" s="39" t="str">
        <f t="shared" si="21"/>
        <v>H</v>
      </c>
      <c r="D160" s="45" t="str">
        <f>Parameter!E$45</f>
        <v>SiOLED glasses</v>
      </c>
      <c r="E160" s="74">
        <f t="shared" si="24"/>
        <v>0</v>
      </c>
      <c r="F160" s="75">
        <f t="shared" si="24"/>
        <v>0</v>
      </c>
      <c r="G160" s="75">
        <f t="shared" si="24"/>
        <v>0</v>
      </c>
      <c r="H160" s="75">
        <f t="shared" si="24"/>
        <v>0</v>
      </c>
      <c r="I160" s="75">
        <f t="shared" si="24"/>
        <v>0</v>
      </c>
      <c r="J160" s="75">
        <f t="shared" si="24"/>
        <v>0</v>
      </c>
      <c r="K160" s="75">
        <f t="shared" si="24"/>
        <v>0</v>
      </c>
      <c r="L160" s="76">
        <f t="shared" si="24"/>
        <v>0</v>
      </c>
    </row>
    <row r="161" spans="3:12" ht="15.6" hidden="1">
      <c r="C161" s="39" t="str">
        <f t="shared" si="21"/>
        <v>H</v>
      </c>
      <c r="D161" s="45" t="str">
        <f>Parameter!E$46</f>
        <v>T1</v>
      </c>
      <c r="E161" s="74">
        <f t="shared" si="24"/>
        <v>0</v>
      </c>
      <c r="F161" s="75">
        <f t="shared" si="24"/>
        <v>0</v>
      </c>
      <c r="G161" s="75">
        <f t="shared" si="24"/>
        <v>0</v>
      </c>
      <c r="H161" s="75">
        <f t="shared" si="24"/>
        <v>0</v>
      </c>
      <c r="I161" s="75">
        <f t="shared" si="24"/>
        <v>0</v>
      </c>
      <c r="J161" s="75">
        <f t="shared" si="24"/>
        <v>0</v>
      </c>
      <c r="K161" s="75">
        <f t="shared" si="24"/>
        <v>0</v>
      </c>
      <c r="L161" s="76">
        <f t="shared" si="24"/>
        <v>0</v>
      </c>
    </row>
    <row r="162" spans="3:12" ht="15.6" hidden="1">
      <c r="C162" s="39" t="str">
        <f t="shared" si="21"/>
        <v>H</v>
      </c>
      <c r="D162" s="45" t="str">
        <f>Parameter!E$47</f>
        <v>ThinkReality A3</v>
      </c>
      <c r="E162" s="74">
        <f t="shared" si="24"/>
        <v>0</v>
      </c>
      <c r="F162" s="75">
        <f t="shared" si="24"/>
        <v>0</v>
      </c>
      <c r="G162" s="75">
        <f t="shared" si="24"/>
        <v>0</v>
      </c>
      <c r="H162" s="75">
        <f t="shared" si="24"/>
        <v>0</v>
      </c>
      <c r="I162" s="75">
        <f t="shared" si="24"/>
        <v>0</v>
      </c>
      <c r="J162" s="75">
        <f t="shared" si="24"/>
        <v>0</v>
      </c>
      <c r="K162" s="75">
        <f t="shared" si="24"/>
        <v>0</v>
      </c>
      <c r="L162" s="76">
        <f t="shared" si="24"/>
        <v>0</v>
      </c>
    </row>
    <row r="163" spans="3:12" ht="15.6" hidden="1">
      <c r="C163" s="39" t="str">
        <f t="shared" si="21"/>
        <v>H</v>
      </c>
      <c r="D163" s="45" t="str">
        <f>Parameter!E$48</f>
        <v>Viture Pro</v>
      </c>
      <c r="E163" s="74">
        <f t="shared" ref="E163:L172" si="25">SUMIF(ARVR_Y_PC_PR, "AR_"&amp;E$122&amp;"_"&amp;$D$121&amp;"_"&amp;$D163, PanelRev)</f>
        <v>0</v>
      </c>
      <c r="F163" s="75">
        <f t="shared" si="25"/>
        <v>0</v>
      </c>
      <c r="G163" s="75">
        <f t="shared" si="25"/>
        <v>0</v>
      </c>
      <c r="H163" s="75">
        <f t="shared" si="25"/>
        <v>0</v>
      </c>
      <c r="I163" s="75">
        <f t="shared" si="25"/>
        <v>0</v>
      </c>
      <c r="J163" s="75">
        <f t="shared" si="25"/>
        <v>0</v>
      </c>
      <c r="K163" s="75">
        <f t="shared" si="25"/>
        <v>0</v>
      </c>
      <c r="L163" s="76">
        <f t="shared" si="25"/>
        <v>0</v>
      </c>
    </row>
    <row r="164" spans="3:12" ht="15.6" hidden="1">
      <c r="C164" s="39" t="str">
        <f t="shared" si="21"/>
        <v>H</v>
      </c>
      <c r="D164" s="45" t="str">
        <f>Parameter!E$49</f>
        <v>X3 Pro</v>
      </c>
      <c r="E164" s="74">
        <f t="shared" si="25"/>
        <v>0</v>
      </c>
      <c r="F164" s="75">
        <f t="shared" si="25"/>
        <v>0</v>
      </c>
      <c r="G164" s="75">
        <f t="shared" si="25"/>
        <v>0</v>
      </c>
      <c r="H164" s="75">
        <f t="shared" si="25"/>
        <v>0</v>
      </c>
      <c r="I164" s="75">
        <f t="shared" si="25"/>
        <v>0</v>
      </c>
      <c r="J164" s="75">
        <f t="shared" si="25"/>
        <v>0</v>
      </c>
      <c r="K164" s="75">
        <f t="shared" si="25"/>
        <v>0</v>
      </c>
      <c r="L164" s="76">
        <f t="shared" si="25"/>
        <v>0</v>
      </c>
    </row>
    <row r="165" spans="3:12" ht="15.6" hidden="1">
      <c r="C165" s="39" t="str">
        <f t="shared" si="21"/>
        <v>H</v>
      </c>
      <c r="D165" s="45" t="str">
        <f>Parameter!E$50</f>
        <v>Z100</v>
      </c>
      <c r="E165" s="74">
        <f t="shared" si="25"/>
        <v>0</v>
      </c>
      <c r="F165" s="75">
        <f t="shared" si="25"/>
        <v>0</v>
      </c>
      <c r="G165" s="75">
        <f t="shared" si="25"/>
        <v>0</v>
      </c>
      <c r="H165" s="75">
        <f t="shared" si="25"/>
        <v>0</v>
      </c>
      <c r="I165" s="75">
        <f t="shared" si="25"/>
        <v>0</v>
      </c>
      <c r="J165" s="75">
        <f t="shared" si="25"/>
        <v>0</v>
      </c>
      <c r="K165" s="75">
        <f t="shared" si="25"/>
        <v>0</v>
      </c>
      <c r="L165" s="76">
        <f t="shared" si="25"/>
        <v>0</v>
      </c>
    </row>
    <row r="166" spans="3:12" ht="15.6" hidden="1">
      <c r="C166" s="39" t="str">
        <f t="shared" si="21"/>
        <v>H</v>
      </c>
      <c r="D166" s="45">
        <f>Parameter!E$51</f>
        <v>0</v>
      </c>
      <c r="E166" s="74">
        <f t="shared" si="25"/>
        <v>0</v>
      </c>
      <c r="F166" s="75">
        <f t="shared" si="25"/>
        <v>0</v>
      </c>
      <c r="G166" s="75">
        <f t="shared" si="25"/>
        <v>0</v>
      </c>
      <c r="H166" s="75">
        <f t="shared" si="25"/>
        <v>0</v>
      </c>
      <c r="I166" s="75">
        <f t="shared" si="25"/>
        <v>0</v>
      </c>
      <c r="J166" s="75">
        <f t="shared" si="25"/>
        <v>0</v>
      </c>
      <c r="K166" s="75">
        <f t="shared" si="25"/>
        <v>0</v>
      </c>
      <c r="L166" s="76">
        <f t="shared" si="25"/>
        <v>0</v>
      </c>
    </row>
    <row r="167" spans="3:12" ht="15.6" hidden="1">
      <c r="C167" s="39" t="str">
        <f t="shared" si="21"/>
        <v>H</v>
      </c>
      <c r="D167" s="45">
        <f>Parameter!E$52</f>
        <v>0</v>
      </c>
      <c r="E167" s="74">
        <f t="shared" si="25"/>
        <v>0</v>
      </c>
      <c r="F167" s="75">
        <f t="shared" si="25"/>
        <v>0</v>
      </c>
      <c r="G167" s="75">
        <f t="shared" si="25"/>
        <v>0</v>
      </c>
      <c r="H167" s="75">
        <f t="shared" si="25"/>
        <v>0</v>
      </c>
      <c r="I167" s="75">
        <f t="shared" si="25"/>
        <v>0</v>
      </c>
      <c r="J167" s="75">
        <f t="shared" si="25"/>
        <v>0</v>
      </c>
      <c r="K167" s="75">
        <f t="shared" si="25"/>
        <v>0</v>
      </c>
      <c r="L167" s="76">
        <f t="shared" si="25"/>
        <v>0</v>
      </c>
    </row>
    <row r="168" spans="3:12" ht="15.6" hidden="1">
      <c r="C168" s="39" t="str">
        <f t="shared" si="21"/>
        <v>H</v>
      </c>
      <c r="D168" s="45">
        <f>Parameter!E$53</f>
        <v>0</v>
      </c>
      <c r="E168" s="74">
        <f t="shared" si="25"/>
        <v>0</v>
      </c>
      <c r="F168" s="75">
        <f t="shared" si="25"/>
        <v>0</v>
      </c>
      <c r="G168" s="75">
        <f t="shared" si="25"/>
        <v>0</v>
      </c>
      <c r="H168" s="75">
        <f t="shared" si="25"/>
        <v>0</v>
      </c>
      <c r="I168" s="75">
        <f t="shared" si="25"/>
        <v>0</v>
      </c>
      <c r="J168" s="75">
        <f t="shared" si="25"/>
        <v>0</v>
      </c>
      <c r="K168" s="75">
        <f t="shared" si="25"/>
        <v>0</v>
      </c>
      <c r="L168" s="76">
        <f t="shared" si="25"/>
        <v>0</v>
      </c>
    </row>
    <row r="169" spans="3:12" ht="15.6" hidden="1">
      <c r="C169" s="39" t="str">
        <f t="shared" si="21"/>
        <v>H</v>
      </c>
      <c r="D169" s="45">
        <f>Parameter!E$54</f>
        <v>0</v>
      </c>
      <c r="E169" s="74">
        <f t="shared" si="25"/>
        <v>0</v>
      </c>
      <c r="F169" s="75">
        <f t="shared" si="25"/>
        <v>0</v>
      </c>
      <c r="G169" s="75">
        <f t="shared" si="25"/>
        <v>0</v>
      </c>
      <c r="H169" s="75">
        <f t="shared" si="25"/>
        <v>0</v>
      </c>
      <c r="I169" s="75">
        <f t="shared" si="25"/>
        <v>0</v>
      </c>
      <c r="J169" s="75">
        <f t="shared" si="25"/>
        <v>0</v>
      </c>
      <c r="K169" s="75">
        <f t="shared" si="25"/>
        <v>0</v>
      </c>
      <c r="L169" s="76">
        <f t="shared" si="25"/>
        <v>0</v>
      </c>
    </row>
    <row r="170" spans="3:12" ht="15.6" hidden="1">
      <c r="C170" s="39" t="str">
        <f t="shared" si="21"/>
        <v>H</v>
      </c>
      <c r="D170" s="45">
        <f>Parameter!E$55</f>
        <v>0</v>
      </c>
      <c r="E170" s="74">
        <f t="shared" si="25"/>
        <v>0</v>
      </c>
      <c r="F170" s="75">
        <f t="shared" si="25"/>
        <v>0</v>
      </c>
      <c r="G170" s="75">
        <f t="shared" si="25"/>
        <v>0</v>
      </c>
      <c r="H170" s="75">
        <f t="shared" si="25"/>
        <v>0</v>
      </c>
      <c r="I170" s="75">
        <f t="shared" si="25"/>
        <v>0</v>
      </c>
      <c r="J170" s="75">
        <f t="shared" si="25"/>
        <v>0</v>
      </c>
      <c r="K170" s="75">
        <f t="shared" si="25"/>
        <v>0</v>
      </c>
      <c r="L170" s="76">
        <f t="shared" si="25"/>
        <v>0</v>
      </c>
    </row>
    <row r="171" spans="3:12" ht="15.6" hidden="1">
      <c r="C171" s="39" t="str">
        <f t="shared" si="21"/>
        <v>H</v>
      </c>
      <c r="D171" s="45">
        <f>Parameter!E$56</f>
        <v>0</v>
      </c>
      <c r="E171" s="74">
        <f t="shared" si="25"/>
        <v>0</v>
      </c>
      <c r="F171" s="75">
        <f t="shared" si="25"/>
        <v>0</v>
      </c>
      <c r="G171" s="75">
        <f t="shared" si="25"/>
        <v>0</v>
      </c>
      <c r="H171" s="75">
        <f t="shared" si="25"/>
        <v>0</v>
      </c>
      <c r="I171" s="75">
        <f t="shared" si="25"/>
        <v>0</v>
      </c>
      <c r="J171" s="75">
        <f t="shared" si="25"/>
        <v>0</v>
      </c>
      <c r="K171" s="75">
        <f t="shared" si="25"/>
        <v>0</v>
      </c>
      <c r="L171" s="76">
        <f t="shared" si="25"/>
        <v>0</v>
      </c>
    </row>
    <row r="172" spans="3:12" ht="16.2" hidden="1" thickBot="1">
      <c r="C172" s="39" t="str">
        <f t="shared" si="21"/>
        <v>H</v>
      </c>
      <c r="D172" s="53" t="str">
        <f>Parameter!E$57</f>
        <v>ALL</v>
      </c>
      <c r="E172" s="77">
        <f t="shared" si="25"/>
        <v>0</v>
      </c>
      <c r="F172" s="78">
        <f t="shared" si="25"/>
        <v>0</v>
      </c>
      <c r="G172" s="78">
        <f t="shared" si="25"/>
        <v>0</v>
      </c>
      <c r="H172" s="78">
        <f t="shared" si="25"/>
        <v>0</v>
      </c>
      <c r="I172" s="78">
        <f t="shared" si="25"/>
        <v>0</v>
      </c>
      <c r="J172" s="78">
        <f t="shared" si="25"/>
        <v>0</v>
      </c>
      <c r="K172" s="78">
        <f t="shared" si="25"/>
        <v>0</v>
      </c>
      <c r="L172" s="79">
        <f t="shared" si="25"/>
        <v>0</v>
      </c>
    </row>
    <row r="173" spans="3:12" ht="15.6">
      <c r="C173" s="39" t="str">
        <f t="shared" si="21"/>
        <v/>
      </c>
      <c r="D173" s="54" t="s">
        <v>87</v>
      </c>
      <c r="E173" s="80">
        <f>SUM(E123:E172)</f>
        <v>0.51560136381599997</v>
      </c>
      <c r="F173" s="81">
        <f t="shared" ref="F173:L173" si="26">SUM(F123:F172)</f>
        <v>0</v>
      </c>
      <c r="G173" s="81">
        <f t="shared" si="26"/>
        <v>0</v>
      </c>
      <c r="H173" s="81">
        <f t="shared" si="26"/>
        <v>0</v>
      </c>
      <c r="I173" s="81">
        <f t="shared" si="26"/>
        <v>0</v>
      </c>
      <c r="J173" s="81">
        <f t="shared" si="26"/>
        <v>0</v>
      </c>
      <c r="K173" s="81">
        <f t="shared" si="26"/>
        <v>0</v>
      </c>
      <c r="L173" s="82">
        <f t="shared" si="26"/>
        <v>0</v>
      </c>
    </row>
    <row r="174" spans="3:12" ht="16.2" hidden="1" thickBot="1">
      <c r="C174" s="39" t="str">
        <f t="shared" si="21"/>
        <v>H</v>
      </c>
      <c r="D174" s="46" t="s">
        <v>88</v>
      </c>
      <c r="E174" s="47"/>
      <c r="F174" s="50" t="str">
        <f t="shared" ref="F174:G174" si="27">IF(E173*F173=0, "", F173/E173-1)</f>
        <v/>
      </c>
      <c r="G174" s="50" t="str">
        <f t="shared" si="27"/>
        <v/>
      </c>
      <c r="H174" s="50" t="str">
        <f>IF(G173*H173=0, "", H173/G173-1)</f>
        <v/>
      </c>
      <c r="I174" s="50" t="str">
        <f t="shared" ref="I174:L174" si="28">IF(H173*I173=0, "", I173/H173-1)</f>
        <v/>
      </c>
      <c r="J174" s="50" t="str">
        <f t="shared" si="28"/>
        <v/>
      </c>
      <c r="K174" s="50" t="str">
        <f t="shared" si="28"/>
        <v/>
      </c>
      <c r="L174" s="51" t="str">
        <f t="shared" si="28"/>
        <v/>
      </c>
    </row>
    <row r="175" spans="3:12">
      <c r="C175"/>
    </row>
    <row r="176" spans="3:12" ht="14.4" thickBot="1">
      <c r="C176"/>
    </row>
    <row r="177" spans="3:12" ht="15" thickBot="1">
      <c r="C177"/>
      <c r="D177" s="52" t="str">
        <f>Parameter!I11</f>
        <v>1x MicroLED</v>
      </c>
    </row>
    <row r="178" spans="3:12" ht="16.2" thickBot="1">
      <c r="C178"/>
      <c r="D178" s="40" t="s">
        <v>85</v>
      </c>
      <c r="E178" s="41" t="str">
        <f t="shared" ref="E178:L178" si="29">E10</f>
        <v>2022</v>
      </c>
      <c r="F178" s="42" t="str">
        <f t="shared" si="29"/>
        <v>2023</v>
      </c>
      <c r="G178" s="42" t="str">
        <f t="shared" si="29"/>
        <v>2024</v>
      </c>
      <c r="H178" s="42">
        <f t="shared" si="29"/>
        <v>2025</v>
      </c>
      <c r="I178" s="42" t="str">
        <f t="shared" si="29"/>
        <v>2026</v>
      </c>
      <c r="J178" s="42" t="str">
        <f t="shared" si="29"/>
        <v>2027</v>
      </c>
      <c r="K178" s="42" t="str">
        <f t="shared" si="29"/>
        <v>2028</v>
      </c>
      <c r="L178" s="43" t="str">
        <f t="shared" si="29"/>
        <v>2029</v>
      </c>
    </row>
    <row r="179" spans="3:12" ht="15.6" hidden="1">
      <c r="C179" s="39" t="str">
        <f>IF(SUM(E179:L179)=0, "H", "")</f>
        <v>H</v>
      </c>
      <c r="D179" s="44" t="str">
        <f>Parameter!E$8</f>
        <v>Air</v>
      </c>
      <c r="E179" s="74">
        <f t="shared" ref="E179:L188" si="30">SUMIF(ARVR_Y_PC_PR, "AR_"&amp;E$178&amp;"_"&amp;$D$177&amp;"_"&amp;$D179, PanelRev)</f>
        <v>0</v>
      </c>
      <c r="F179" s="75">
        <f t="shared" si="30"/>
        <v>0</v>
      </c>
      <c r="G179" s="75">
        <f t="shared" si="30"/>
        <v>0</v>
      </c>
      <c r="H179" s="75">
        <f t="shared" si="30"/>
        <v>0</v>
      </c>
      <c r="I179" s="75">
        <f t="shared" si="30"/>
        <v>0</v>
      </c>
      <c r="J179" s="75">
        <f t="shared" si="30"/>
        <v>0</v>
      </c>
      <c r="K179" s="75">
        <f t="shared" si="30"/>
        <v>0</v>
      </c>
      <c r="L179" s="76">
        <f t="shared" si="30"/>
        <v>0</v>
      </c>
    </row>
    <row r="180" spans="3:12" ht="15.6" hidden="1">
      <c r="C180" s="39" t="str">
        <f t="shared" ref="C180:C230" si="31">IF(SUM(E180:L180)=0, "H", "")</f>
        <v>H</v>
      </c>
      <c r="D180" s="44" t="str">
        <f>Parameter!E$9</f>
        <v>Air 2</v>
      </c>
      <c r="E180" s="74">
        <f t="shared" si="30"/>
        <v>0</v>
      </c>
      <c r="F180" s="75">
        <f t="shared" si="30"/>
        <v>0</v>
      </c>
      <c r="G180" s="75">
        <f t="shared" si="30"/>
        <v>0</v>
      </c>
      <c r="H180" s="75">
        <f t="shared" si="30"/>
        <v>0</v>
      </c>
      <c r="I180" s="75">
        <f t="shared" si="30"/>
        <v>0</v>
      </c>
      <c r="J180" s="75">
        <f t="shared" si="30"/>
        <v>0</v>
      </c>
      <c r="K180" s="75">
        <f t="shared" si="30"/>
        <v>0</v>
      </c>
      <c r="L180" s="76">
        <f t="shared" si="30"/>
        <v>0</v>
      </c>
    </row>
    <row r="181" spans="3:12" ht="15.6" hidden="1">
      <c r="C181" s="39" t="str">
        <f t="shared" si="31"/>
        <v>H</v>
      </c>
      <c r="D181" s="45" t="str">
        <f>Parameter!E$10</f>
        <v>Air 3</v>
      </c>
      <c r="E181" s="74">
        <f t="shared" si="30"/>
        <v>0</v>
      </c>
      <c r="F181" s="75">
        <f t="shared" si="30"/>
        <v>0</v>
      </c>
      <c r="G181" s="75">
        <f t="shared" si="30"/>
        <v>0</v>
      </c>
      <c r="H181" s="75">
        <f t="shared" si="30"/>
        <v>0</v>
      </c>
      <c r="I181" s="75">
        <f t="shared" si="30"/>
        <v>0</v>
      </c>
      <c r="J181" s="75">
        <f t="shared" si="30"/>
        <v>0</v>
      </c>
      <c r="K181" s="75">
        <f t="shared" si="30"/>
        <v>0</v>
      </c>
      <c r="L181" s="76">
        <f t="shared" si="30"/>
        <v>0</v>
      </c>
    </row>
    <row r="182" spans="3:12" ht="15.6" hidden="1">
      <c r="C182" s="39" t="str">
        <f t="shared" si="31"/>
        <v>H</v>
      </c>
      <c r="D182" s="45" t="str">
        <f>Parameter!E$11</f>
        <v>Air 3s Pro</v>
      </c>
      <c r="E182" s="74">
        <f t="shared" si="30"/>
        <v>0</v>
      </c>
      <c r="F182" s="75">
        <f t="shared" si="30"/>
        <v>0</v>
      </c>
      <c r="G182" s="75">
        <f t="shared" si="30"/>
        <v>0</v>
      </c>
      <c r="H182" s="75">
        <f t="shared" si="30"/>
        <v>0</v>
      </c>
      <c r="I182" s="75">
        <f t="shared" si="30"/>
        <v>0</v>
      </c>
      <c r="J182" s="75">
        <f t="shared" si="30"/>
        <v>0</v>
      </c>
      <c r="K182" s="75">
        <f t="shared" si="30"/>
        <v>0</v>
      </c>
      <c r="L182" s="76">
        <f t="shared" si="30"/>
        <v>0</v>
      </c>
    </row>
    <row r="183" spans="3:12" ht="15.6">
      <c r="C183" s="39" t="str">
        <f t="shared" si="31"/>
        <v/>
      </c>
      <c r="D183" s="45" t="str">
        <f>Parameter!E$12</f>
        <v>Air Glass</v>
      </c>
      <c r="E183" s="74">
        <f t="shared" si="30"/>
        <v>0.21714788095999993</v>
      </c>
      <c r="F183" s="75">
        <f t="shared" si="30"/>
        <v>0</v>
      </c>
      <c r="G183" s="75">
        <f t="shared" si="30"/>
        <v>0</v>
      </c>
      <c r="H183" s="75">
        <f t="shared" si="30"/>
        <v>0</v>
      </c>
      <c r="I183" s="75">
        <f t="shared" si="30"/>
        <v>0</v>
      </c>
      <c r="J183" s="75">
        <f t="shared" si="30"/>
        <v>0</v>
      </c>
      <c r="K183" s="75">
        <f t="shared" si="30"/>
        <v>0</v>
      </c>
      <c r="L183" s="76">
        <f t="shared" si="30"/>
        <v>0</v>
      </c>
    </row>
    <row r="184" spans="3:12" ht="15.6" hidden="1">
      <c r="C184" s="39" t="str">
        <f t="shared" si="31"/>
        <v>H</v>
      </c>
      <c r="D184" s="45" t="str">
        <f>Parameter!E$13</f>
        <v>Binocular MicroLED</v>
      </c>
      <c r="E184" s="74">
        <f t="shared" si="30"/>
        <v>0</v>
      </c>
      <c r="F184" s="75">
        <f t="shared" si="30"/>
        <v>0</v>
      </c>
      <c r="G184" s="75">
        <f t="shared" si="30"/>
        <v>0</v>
      </c>
      <c r="H184" s="75">
        <f t="shared" si="30"/>
        <v>0</v>
      </c>
      <c r="I184" s="75">
        <f t="shared" si="30"/>
        <v>0</v>
      </c>
      <c r="J184" s="75">
        <f t="shared" si="30"/>
        <v>0</v>
      </c>
      <c r="K184" s="75">
        <f t="shared" si="30"/>
        <v>0</v>
      </c>
      <c r="L184" s="76">
        <f t="shared" si="30"/>
        <v>0</v>
      </c>
    </row>
    <row r="185" spans="3:12" ht="15.6" hidden="1">
      <c r="C185" s="39" t="str">
        <f t="shared" si="31"/>
        <v>H</v>
      </c>
      <c r="D185" s="45" t="str">
        <f>Parameter!E$14</f>
        <v>Blade</v>
      </c>
      <c r="E185" s="74">
        <f t="shared" si="30"/>
        <v>0</v>
      </c>
      <c r="F185" s="75">
        <f t="shared" si="30"/>
        <v>0</v>
      </c>
      <c r="G185" s="75">
        <f t="shared" si="30"/>
        <v>0</v>
      </c>
      <c r="H185" s="75">
        <f t="shared" si="30"/>
        <v>0</v>
      </c>
      <c r="I185" s="75">
        <f t="shared" si="30"/>
        <v>0</v>
      </c>
      <c r="J185" s="75">
        <f t="shared" si="30"/>
        <v>0</v>
      </c>
      <c r="K185" s="75">
        <f t="shared" si="30"/>
        <v>0</v>
      </c>
      <c r="L185" s="76">
        <f t="shared" si="30"/>
        <v>0</v>
      </c>
    </row>
    <row r="186" spans="3:12" ht="15.6" hidden="1">
      <c r="C186" s="39" t="str">
        <f t="shared" si="31"/>
        <v>H</v>
      </c>
      <c r="D186" s="45" t="str">
        <f>Parameter!E$15</f>
        <v>DLP glasses</v>
      </c>
      <c r="E186" s="74">
        <f t="shared" si="30"/>
        <v>0</v>
      </c>
      <c r="F186" s="75">
        <f t="shared" si="30"/>
        <v>0</v>
      </c>
      <c r="G186" s="75">
        <f t="shared" si="30"/>
        <v>0</v>
      </c>
      <c r="H186" s="75">
        <f t="shared" si="30"/>
        <v>0</v>
      </c>
      <c r="I186" s="75">
        <f t="shared" si="30"/>
        <v>0</v>
      </c>
      <c r="J186" s="75">
        <f t="shared" si="30"/>
        <v>0</v>
      </c>
      <c r="K186" s="75">
        <f t="shared" si="30"/>
        <v>0</v>
      </c>
      <c r="L186" s="76">
        <f t="shared" si="30"/>
        <v>0</v>
      </c>
    </row>
    <row r="187" spans="3:12" ht="15.6" hidden="1">
      <c r="C187" s="39" t="str">
        <f t="shared" si="31"/>
        <v>H</v>
      </c>
      <c r="D187" s="45" t="str">
        <f>Parameter!E$16</f>
        <v>G1</v>
      </c>
      <c r="E187" s="74">
        <f t="shared" si="30"/>
        <v>0</v>
      </c>
      <c r="F187" s="75">
        <f t="shared" si="30"/>
        <v>0</v>
      </c>
      <c r="G187" s="75">
        <f t="shared" si="30"/>
        <v>0</v>
      </c>
      <c r="H187" s="75">
        <f t="shared" si="30"/>
        <v>0</v>
      </c>
      <c r="I187" s="75">
        <f t="shared" si="30"/>
        <v>0</v>
      </c>
      <c r="J187" s="75">
        <f t="shared" si="30"/>
        <v>0</v>
      </c>
      <c r="K187" s="75">
        <f t="shared" si="30"/>
        <v>0</v>
      </c>
      <c r="L187" s="76">
        <f t="shared" si="30"/>
        <v>0</v>
      </c>
    </row>
    <row r="188" spans="3:12" ht="15.6" hidden="1">
      <c r="C188" s="39" t="str">
        <f t="shared" si="31"/>
        <v>H</v>
      </c>
      <c r="D188" s="45" t="str">
        <f>Parameter!E$17</f>
        <v>Glass</v>
      </c>
      <c r="E188" s="74">
        <f t="shared" si="30"/>
        <v>0</v>
      </c>
      <c r="F188" s="75">
        <f t="shared" si="30"/>
        <v>0</v>
      </c>
      <c r="G188" s="75">
        <f t="shared" si="30"/>
        <v>0</v>
      </c>
      <c r="H188" s="75">
        <f t="shared" si="30"/>
        <v>0</v>
      </c>
      <c r="I188" s="75">
        <f t="shared" si="30"/>
        <v>0</v>
      </c>
      <c r="J188" s="75">
        <f t="shared" si="30"/>
        <v>0</v>
      </c>
      <c r="K188" s="75">
        <f t="shared" si="30"/>
        <v>0</v>
      </c>
      <c r="L188" s="76">
        <f t="shared" si="30"/>
        <v>0</v>
      </c>
    </row>
    <row r="189" spans="3:12" ht="15.6">
      <c r="C189" s="39" t="str">
        <f t="shared" si="31"/>
        <v/>
      </c>
      <c r="D189" s="45" t="str">
        <f>Parameter!E$18</f>
        <v>Glasses</v>
      </c>
      <c r="E189" s="74">
        <f t="shared" ref="E189:L198" si="32">SUMIF(ARVR_Y_PC_PR, "AR_"&amp;E$178&amp;"_"&amp;$D$177&amp;"_"&amp;$D189, PanelRev)</f>
        <v>0</v>
      </c>
      <c r="F189" s="75">
        <f t="shared" si="32"/>
        <v>0</v>
      </c>
      <c r="G189" s="75">
        <f t="shared" si="32"/>
        <v>0.11852549961759996</v>
      </c>
      <c r="H189" s="75">
        <f t="shared" si="32"/>
        <v>5.1119350776249579</v>
      </c>
      <c r="I189" s="75">
        <f t="shared" si="32"/>
        <v>0</v>
      </c>
      <c r="J189" s="75">
        <f t="shared" si="32"/>
        <v>0</v>
      </c>
      <c r="K189" s="75">
        <f t="shared" si="32"/>
        <v>0</v>
      </c>
      <c r="L189" s="76">
        <f t="shared" si="32"/>
        <v>0</v>
      </c>
    </row>
    <row r="190" spans="3:12" ht="15.6">
      <c r="C190" s="39" t="str">
        <f t="shared" si="31"/>
        <v/>
      </c>
      <c r="D190" s="45" t="str">
        <f>Parameter!E$19</f>
        <v>Go</v>
      </c>
      <c r="E190" s="74">
        <f t="shared" si="32"/>
        <v>0</v>
      </c>
      <c r="F190" s="75">
        <f t="shared" si="32"/>
        <v>2.2028831906399997</v>
      </c>
      <c r="G190" s="75">
        <f t="shared" si="32"/>
        <v>0.23774820805647995</v>
      </c>
      <c r="H190" s="75">
        <f t="shared" si="32"/>
        <v>0</v>
      </c>
      <c r="I190" s="75">
        <f t="shared" si="32"/>
        <v>0</v>
      </c>
      <c r="J190" s="75">
        <f t="shared" si="32"/>
        <v>0</v>
      </c>
      <c r="K190" s="75">
        <f t="shared" si="32"/>
        <v>0</v>
      </c>
      <c r="L190" s="76">
        <f t="shared" si="32"/>
        <v>0</v>
      </c>
    </row>
    <row r="191" spans="3:12" ht="15.6">
      <c r="C191" s="39" t="str">
        <f t="shared" si="31"/>
        <v/>
      </c>
      <c r="D191" s="45" t="str">
        <f>Parameter!E$20</f>
        <v>Go 2</v>
      </c>
      <c r="E191" s="74">
        <f t="shared" si="32"/>
        <v>0</v>
      </c>
      <c r="F191" s="75">
        <f t="shared" si="32"/>
        <v>0</v>
      </c>
      <c r="G191" s="75">
        <f t="shared" si="32"/>
        <v>0.71324462416943979</v>
      </c>
      <c r="H191" s="75">
        <f t="shared" si="32"/>
        <v>0.19661288760095996</v>
      </c>
      <c r="I191" s="75">
        <f t="shared" si="32"/>
        <v>0</v>
      </c>
      <c r="J191" s="75">
        <f t="shared" si="32"/>
        <v>0</v>
      </c>
      <c r="K191" s="75">
        <f t="shared" si="32"/>
        <v>0</v>
      </c>
      <c r="L191" s="76">
        <f t="shared" si="32"/>
        <v>0</v>
      </c>
    </row>
    <row r="192" spans="3:12" ht="15.6" hidden="1">
      <c r="C192" s="39" t="str">
        <f t="shared" si="31"/>
        <v>H</v>
      </c>
      <c r="D192" s="45" t="str">
        <f>Parameter!E$21</f>
        <v>HoloLens 2</v>
      </c>
      <c r="E192" s="74">
        <f t="shared" si="32"/>
        <v>0</v>
      </c>
      <c r="F192" s="75">
        <f t="shared" si="32"/>
        <v>0</v>
      </c>
      <c r="G192" s="75">
        <f t="shared" si="32"/>
        <v>0</v>
      </c>
      <c r="H192" s="75">
        <f t="shared" si="32"/>
        <v>0</v>
      </c>
      <c r="I192" s="75">
        <f t="shared" si="32"/>
        <v>0</v>
      </c>
      <c r="J192" s="75">
        <f t="shared" si="32"/>
        <v>0</v>
      </c>
      <c r="K192" s="75">
        <f t="shared" si="32"/>
        <v>0</v>
      </c>
      <c r="L192" s="76">
        <f t="shared" si="32"/>
        <v>0</v>
      </c>
    </row>
    <row r="193" spans="3:12" ht="15.6" hidden="1">
      <c r="C193" s="39" t="str">
        <f t="shared" si="31"/>
        <v>H</v>
      </c>
      <c r="D193" s="45" t="str">
        <f>Parameter!E$22</f>
        <v>INAIR 2</v>
      </c>
      <c r="E193" s="74">
        <f t="shared" si="32"/>
        <v>0</v>
      </c>
      <c r="F193" s="75">
        <f t="shared" si="32"/>
        <v>0</v>
      </c>
      <c r="G193" s="75">
        <f t="shared" si="32"/>
        <v>0</v>
      </c>
      <c r="H193" s="75">
        <f t="shared" si="32"/>
        <v>0</v>
      </c>
      <c r="I193" s="75">
        <f t="shared" si="32"/>
        <v>0</v>
      </c>
      <c r="J193" s="75">
        <f t="shared" si="32"/>
        <v>0</v>
      </c>
      <c r="K193" s="75">
        <f t="shared" si="32"/>
        <v>0</v>
      </c>
      <c r="L193" s="76">
        <f t="shared" si="32"/>
        <v>0</v>
      </c>
    </row>
    <row r="194" spans="3:12" ht="15.6" hidden="1">
      <c r="C194" s="39" t="str">
        <f t="shared" si="31"/>
        <v>H</v>
      </c>
      <c r="D194" s="45" t="str">
        <f>Parameter!E$23</f>
        <v>INAIR 2 Pro</v>
      </c>
      <c r="E194" s="74">
        <f t="shared" si="32"/>
        <v>0</v>
      </c>
      <c r="F194" s="75">
        <f t="shared" si="32"/>
        <v>0</v>
      </c>
      <c r="G194" s="75">
        <f t="shared" si="32"/>
        <v>0</v>
      </c>
      <c r="H194" s="75">
        <f t="shared" si="32"/>
        <v>0</v>
      </c>
      <c r="I194" s="75">
        <f t="shared" si="32"/>
        <v>0</v>
      </c>
      <c r="J194" s="75">
        <f t="shared" si="32"/>
        <v>0</v>
      </c>
      <c r="K194" s="75">
        <f t="shared" si="32"/>
        <v>0</v>
      </c>
      <c r="L194" s="76">
        <f t="shared" si="32"/>
        <v>0</v>
      </c>
    </row>
    <row r="195" spans="3:12" ht="15.6" hidden="1">
      <c r="C195" s="39" t="str">
        <f t="shared" si="31"/>
        <v>H</v>
      </c>
      <c r="D195" s="45" t="str">
        <f>Parameter!E$24</f>
        <v>LBS glasses</v>
      </c>
      <c r="E195" s="74">
        <f t="shared" si="32"/>
        <v>0</v>
      </c>
      <c r="F195" s="75">
        <f t="shared" si="32"/>
        <v>0</v>
      </c>
      <c r="G195" s="75">
        <f t="shared" si="32"/>
        <v>0</v>
      </c>
      <c r="H195" s="75">
        <f t="shared" si="32"/>
        <v>0</v>
      </c>
      <c r="I195" s="75">
        <f t="shared" si="32"/>
        <v>0</v>
      </c>
      <c r="J195" s="75">
        <f t="shared" si="32"/>
        <v>0</v>
      </c>
      <c r="K195" s="75">
        <f t="shared" si="32"/>
        <v>0</v>
      </c>
      <c r="L195" s="76">
        <f t="shared" si="32"/>
        <v>0</v>
      </c>
    </row>
    <row r="196" spans="3:12" ht="15.6" hidden="1">
      <c r="C196" s="39" t="str">
        <f t="shared" si="31"/>
        <v>H</v>
      </c>
      <c r="D196" s="45" t="str">
        <f>Parameter!E$25</f>
        <v>LCoS glasses</v>
      </c>
      <c r="E196" s="74">
        <f t="shared" si="32"/>
        <v>0</v>
      </c>
      <c r="F196" s="75">
        <f t="shared" si="32"/>
        <v>0</v>
      </c>
      <c r="G196" s="75">
        <f t="shared" si="32"/>
        <v>0</v>
      </c>
      <c r="H196" s="75">
        <f t="shared" si="32"/>
        <v>0</v>
      </c>
      <c r="I196" s="75">
        <f t="shared" si="32"/>
        <v>0</v>
      </c>
      <c r="J196" s="75">
        <f t="shared" si="32"/>
        <v>0</v>
      </c>
      <c r="K196" s="75">
        <f t="shared" si="32"/>
        <v>0</v>
      </c>
      <c r="L196" s="76">
        <f t="shared" si="32"/>
        <v>0</v>
      </c>
    </row>
    <row r="197" spans="3:12" ht="15.6" hidden="1">
      <c r="C197" s="39" t="str">
        <f t="shared" si="31"/>
        <v>H</v>
      </c>
      <c r="D197" s="45" t="str">
        <f>Parameter!E$26</f>
        <v>Lenovo Legion Glasses 2</v>
      </c>
      <c r="E197" s="74">
        <f t="shared" si="32"/>
        <v>0</v>
      </c>
      <c r="F197" s="75">
        <f t="shared" si="32"/>
        <v>0</v>
      </c>
      <c r="G197" s="75">
        <f t="shared" si="32"/>
        <v>0</v>
      </c>
      <c r="H197" s="75">
        <f t="shared" si="32"/>
        <v>0</v>
      </c>
      <c r="I197" s="75">
        <f t="shared" si="32"/>
        <v>0</v>
      </c>
      <c r="J197" s="75">
        <f t="shared" si="32"/>
        <v>0</v>
      </c>
      <c r="K197" s="75">
        <f t="shared" si="32"/>
        <v>0</v>
      </c>
      <c r="L197" s="76">
        <f t="shared" si="32"/>
        <v>0</v>
      </c>
    </row>
    <row r="198" spans="3:12" ht="15.6" hidden="1">
      <c r="C198" s="39" t="str">
        <f t="shared" si="31"/>
        <v>H</v>
      </c>
      <c r="D198" s="45" t="str">
        <f>Parameter!E$27</f>
        <v>Light</v>
      </c>
      <c r="E198" s="74">
        <f t="shared" si="32"/>
        <v>0</v>
      </c>
      <c r="F198" s="75">
        <f t="shared" si="32"/>
        <v>0</v>
      </c>
      <c r="G198" s="75">
        <f t="shared" si="32"/>
        <v>0</v>
      </c>
      <c r="H198" s="75">
        <f t="shared" si="32"/>
        <v>0</v>
      </c>
      <c r="I198" s="75">
        <f t="shared" si="32"/>
        <v>0</v>
      </c>
      <c r="J198" s="75">
        <f t="shared" si="32"/>
        <v>0</v>
      </c>
      <c r="K198" s="75">
        <f t="shared" si="32"/>
        <v>0</v>
      </c>
      <c r="L198" s="76">
        <f t="shared" si="32"/>
        <v>0</v>
      </c>
    </row>
    <row r="199" spans="3:12" ht="15.6" hidden="1">
      <c r="C199" s="39" t="str">
        <f t="shared" si="31"/>
        <v>H</v>
      </c>
      <c r="D199" s="45" t="str">
        <f>Parameter!E$28</f>
        <v>Max</v>
      </c>
      <c r="E199" s="74">
        <f t="shared" ref="E199:L208" si="33">SUMIF(ARVR_Y_PC_PR, "AR_"&amp;E$178&amp;"_"&amp;$D$177&amp;"_"&amp;$D199, PanelRev)</f>
        <v>0</v>
      </c>
      <c r="F199" s="75">
        <f t="shared" si="33"/>
        <v>0</v>
      </c>
      <c r="G199" s="75">
        <f t="shared" si="33"/>
        <v>0</v>
      </c>
      <c r="H199" s="75">
        <f t="shared" si="33"/>
        <v>0</v>
      </c>
      <c r="I199" s="75">
        <f t="shared" si="33"/>
        <v>0</v>
      </c>
      <c r="J199" s="75">
        <f t="shared" si="33"/>
        <v>0</v>
      </c>
      <c r="K199" s="75">
        <f t="shared" si="33"/>
        <v>0</v>
      </c>
      <c r="L199" s="76">
        <f t="shared" si="33"/>
        <v>0</v>
      </c>
    </row>
    <row r="200" spans="3:12" ht="15.6" hidden="1">
      <c r="C200" s="39" t="str">
        <f t="shared" si="31"/>
        <v>H</v>
      </c>
      <c r="D200" s="45" t="str">
        <f>Parameter!E$29</f>
        <v>Max 2</v>
      </c>
      <c r="E200" s="74">
        <f t="shared" si="33"/>
        <v>0</v>
      </c>
      <c r="F200" s="75">
        <f t="shared" si="33"/>
        <v>0</v>
      </c>
      <c r="G200" s="75">
        <f t="shared" si="33"/>
        <v>0</v>
      </c>
      <c r="H200" s="75">
        <f t="shared" si="33"/>
        <v>0</v>
      </c>
      <c r="I200" s="75">
        <f t="shared" si="33"/>
        <v>0</v>
      </c>
      <c r="J200" s="75">
        <f t="shared" si="33"/>
        <v>0</v>
      </c>
      <c r="K200" s="75">
        <f t="shared" si="33"/>
        <v>0</v>
      </c>
      <c r="L200" s="76">
        <f t="shared" si="33"/>
        <v>0</v>
      </c>
    </row>
    <row r="201" spans="3:12" ht="15.6">
      <c r="C201" s="39" t="str">
        <f t="shared" si="31"/>
        <v/>
      </c>
      <c r="D201" s="45" t="str">
        <f>Parameter!E$30</f>
        <v>Meizu StarV Air 2</v>
      </c>
      <c r="E201" s="74">
        <f t="shared" si="33"/>
        <v>0</v>
      </c>
      <c r="F201" s="75">
        <f t="shared" si="33"/>
        <v>0</v>
      </c>
      <c r="G201" s="75">
        <f t="shared" si="33"/>
        <v>1.1155341140479997</v>
      </c>
      <c r="H201" s="75">
        <f t="shared" si="33"/>
        <v>3.9322577520191988</v>
      </c>
      <c r="I201" s="75">
        <f t="shared" si="33"/>
        <v>0</v>
      </c>
      <c r="J201" s="75">
        <f t="shared" si="33"/>
        <v>0</v>
      </c>
      <c r="K201" s="75">
        <f t="shared" si="33"/>
        <v>0</v>
      </c>
      <c r="L201" s="76">
        <f t="shared" si="33"/>
        <v>0</v>
      </c>
    </row>
    <row r="202" spans="3:12" ht="15.6" hidden="1">
      <c r="C202" s="39" t="str">
        <f t="shared" si="31"/>
        <v>H</v>
      </c>
      <c r="D202" s="45" t="str">
        <f>Parameter!E$31</f>
        <v>Meizu StarV View</v>
      </c>
      <c r="E202" s="74">
        <f t="shared" si="33"/>
        <v>0</v>
      </c>
      <c r="F202" s="75">
        <f t="shared" si="33"/>
        <v>0</v>
      </c>
      <c r="G202" s="75">
        <f t="shared" si="33"/>
        <v>0</v>
      </c>
      <c r="H202" s="75">
        <f t="shared" si="33"/>
        <v>0</v>
      </c>
      <c r="I202" s="75">
        <f t="shared" si="33"/>
        <v>0</v>
      </c>
      <c r="J202" s="75">
        <f t="shared" si="33"/>
        <v>0</v>
      </c>
      <c r="K202" s="75">
        <f t="shared" si="33"/>
        <v>0</v>
      </c>
      <c r="L202" s="76">
        <f t="shared" si="33"/>
        <v>0</v>
      </c>
    </row>
    <row r="203" spans="3:12" ht="15.6" hidden="1">
      <c r="C203" s="39" t="str">
        <f t="shared" si="31"/>
        <v>H</v>
      </c>
      <c r="D203" s="45" t="str">
        <f>Parameter!E$32</f>
        <v>MiRZA</v>
      </c>
      <c r="E203" s="74">
        <f t="shared" si="33"/>
        <v>0</v>
      </c>
      <c r="F203" s="75">
        <f t="shared" si="33"/>
        <v>0</v>
      </c>
      <c r="G203" s="75">
        <f t="shared" si="33"/>
        <v>0</v>
      </c>
      <c r="H203" s="75">
        <f t="shared" si="33"/>
        <v>0</v>
      </c>
      <c r="I203" s="75">
        <f t="shared" si="33"/>
        <v>0</v>
      </c>
      <c r="J203" s="75">
        <f t="shared" si="33"/>
        <v>0</v>
      </c>
      <c r="K203" s="75">
        <f t="shared" si="33"/>
        <v>0</v>
      </c>
      <c r="L203" s="76">
        <f t="shared" si="33"/>
        <v>0</v>
      </c>
    </row>
    <row r="204" spans="3:12" ht="15.6" hidden="1">
      <c r="C204" s="39" t="str">
        <f t="shared" si="31"/>
        <v>H</v>
      </c>
      <c r="D204" s="45" t="str">
        <f>Parameter!E$33</f>
        <v>ML 2</v>
      </c>
      <c r="E204" s="74">
        <f t="shared" si="33"/>
        <v>0</v>
      </c>
      <c r="F204" s="75">
        <f t="shared" si="33"/>
        <v>0</v>
      </c>
      <c r="G204" s="75">
        <f t="shared" si="33"/>
        <v>0</v>
      </c>
      <c r="H204" s="75">
        <f t="shared" si="33"/>
        <v>0</v>
      </c>
      <c r="I204" s="75">
        <f t="shared" si="33"/>
        <v>0</v>
      </c>
      <c r="J204" s="75">
        <f t="shared" si="33"/>
        <v>0</v>
      </c>
      <c r="K204" s="75">
        <f t="shared" si="33"/>
        <v>0</v>
      </c>
      <c r="L204" s="76">
        <f t="shared" si="33"/>
        <v>0</v>
      </c>
    </row>
    <row r="205" spans="3:12" ht="15.6" hidden="1">
      <c r="C205" s="39" t="str">
        <f t="shared" si="31"/>
        <v>H</v>
      </c>
      <c r="D205" s="45" t="str">
        <f>Parameter!E$34</f>
        <v>ML One</v>
      </c>
      <c r="E205" s="74">
        <f t="shared" si="33"/>
        <v>0</v>
      </c>
      <c r="F205" s="75">
        <f t="shared" si="33"/>
        <v>0</v>
      </c>
      <c r="G205" s="75">
        <f t="shared" si="33"/>
        <v>0</v>
      </c>
      <c r="H205" s="75">
        <f t="shared" si="33"/>
        <v>0</v>
      </c>
      <c r="I205" s="75">
        <f t="shared" si="33"/>
        <v>0</v>
      </c>
      <c r="J205" s="75">
        <f t="shared" si="33"/>
        <v>0</v>
      </c>
      <c r="K205" s="75">
        <f t="shared" si="33"/>
        <v>0</v>
      </c>
      <c r="L205" s="76">
        <f t="shared" si="33"/>
        <v>0</v>
      </c>
    </row>
    <row r="206" spans="3:12" ht="15.6" hidden="1">
      <c r="C206" s="39" t="str">
        <f t="shared" si="31"/>
        <v>H</v>
      </c>
      <c r="D206" s="45" t="str">
        <f>Parameter!E$35</f>
        <v>Monocular LCoS glasses</v>
      </c>
      <c r="E206" s="74">
        <f t="shared" si="33"/>
        <v>0</v>
      </c>
      <c r="F206" s="75">
        <f t="shared" si="33"/>
        <v>0</v>
      </c>
      <c r="G206" s="75">
        <f t="shared" si="33"/>
        <v>0</v>
      </c>
      <c r="H206" s="75">
        <f t="shared" si="33"/>
        <v>0</v>
      </c>
      <c r="I206" s="75">
        <f t="shared" si="33"/>
        <v>0</v>
      </c>
      <c r="J206" s="75">
        <f t="shared" si="33"/>
        <v>0</v>
      </c>
      <c r="K206" s="75">
        <f t="shared" si="33"/>
        <v>0</v>
      </c>
      <c r="L206" s="76">
        <f t="shared" si="33"/>
        <v>0</v>
      </c>
    </row>
    <row r="207" spans="3:12" ht="15.6">
      <c r="C207" s="39" t="str">
        <f t="shared" si="31"/>
        <v/>
      </c>
      <c r="D207" s="45" t="str">
        <f>Parameter!E$36</f>
        <v>Monocular MicroLED</v>
      </c>
      <c r="E207" s="74">
        <f t="shared" si="33"/>
        <v>4.3555824959999996E-2</v>
      </c>
      <c r="F207" s="75">
        <f t="shared" si="33"/>
        <v>5.7111786423999999E-2</v>
      </c>
      <c r="G207" s="75">
        <f t="shared" si="33"/>
        <v>0.48804617489599988</v>
      </c>
      <c r="H207" s="75">
        <f t="shared" si="33"/>
        <v>4.5417577035821752</v>
      </c>
      <c r="I207" s="75">
        <f t="shared" si="33"/>
        <v>12.536693089729209</v>
      </c>
      <c r="J207" s="75">
        <f t="shared" si="33"/>
        <v>40.767970609627518</v>
      </c>
      <c r="K207" s="75">
        <f t="shared" si="33"/>
        <v>55.686499854588092</v>
      </c>
      <c r="L207" s="76">
        <f t="shared" si="33"/>
        <v>70.355999999999995</v>
      </c>
    </row>
    <row r="208" spans="3:12" ht="15.6" hidden="1">
      <c r="C208" s="39" t="str">
        <f t="shared" si="31"/>
        <v>H</v>
      </c>
      <c r="D208" s="45" t="str">
        <f>Parameter!E$37</f>
        <v>Moverio</v>
      </c>
      <c r="E208" s="74">
        <f t="shared" si="33"/>
        <v>0</v>
      </c>
      <c r="F208" s="75">
        <f t="shared" si="33"/>
        <v>0</v>
      </c>
      <c r="G208" s="75">
        <f t="shared" si="33"/>
        <v>0</v>
      </c>
      <c r="H208" s="75">
        <f t="shared" si="33"/>
        <v>0</v>
      </c>
      <c r="I208" s="75">
        <f t="shared" si="33"/>
        <v>0</v>
      </c>
      <c r="J208" s="75">
        <f t="shared" si="33"/>
        <v>0</v>
      </c>
      <c r="K208" s="75">
        <f t="shared" si="33"/>
        <v>0</v>
      </c>
      <c r="L208" s="76">
        <f t="shared" si="33"/>
        <v>0</v>
      </c>
    </row>
    <row r="209" spans="3:12" ht="15.6" hidden="1">
      <c r="C209" s="39" t="str">
        <f t="shared" si="31"/>
        <v>H</v>
      </c>
      <c r="D209" s="45" t="str">
        <f>Parameter!E$38</f>
        <v>MYVU</v>
      </c>
      <c r="E209" s="74">
        <f t="shared" ref="E209:L218" si="34">SUMIF(ARVR_Y_PC_PR, "AR_"&amp;E$178&amp;"_"&amp;$D$177&amp;"_"&amp;$D209, PanelRev)</f>
        <v>0</v>
      </c>
      <c r="F209" s="75">
        <f t="shared" si="34"/>
        <v>0</v>
      </c>
      <c r="G209" s="75">
        <f t="shared" si="34"/>
        <v>0</v>
      </c>
      <c r="H209" s="75">
        <f t="shared" si="34"/>
        <v>0</v>
      </c>
      <c r="I209" s="75">
        <f t="shared" si="34"/>
        <v>0</v>
      </c>
      <c r="J209" s="75">
        <f t="shared" si="34"/>
        <v>0</v>
      </c>
      <c r="K209" s="75">
        <f t="shared" si="34"/>
        <v>0</v>
      </c>
      <c r="L209" s="76">
        <f t="shared" si="34"/>
        <v>0</v>
      </c>
    </row>
    <row r="210" spans="3:12" ht="15.6" hidden="1">
      <c r="C210" s="39" t="str">
        <f t="shared" si="31"/>
        <v>H</v>
      </c>
      <c r="D210" s="45" t="str">
        <f>Parameter!E$39</f>
        <v>NXTWear</v>
      </c>
      <c r="E210" s="74">
        <f t="shared" si="34"/>
        <v>0</v>
      </c>
      <c r="F210" s="75">
        <f t="shared" si="34"/>
        <v>0</v>
      </c>
      <c r="G210" s="75">
        <f t="shared" si="34"/>
        <v>0</v>
      </c>
      <c r="H210" s="75">
        <f t="shared" si="34"/>
        <v>0</v>
      </c>
      <c r="I210" s="75">
        <f t="shared" si="34"/>
        <v>0</v>
      </c>
      <c r="J210" s="75">
        <f t="shared" si="34"/>
        <v>0</v>
      </c>
      <c r="K210" s="75">
        <f t="shared" si="34"/>
        <v>0</v>
      </c>
      <c r="L210" s="76">
        <f t="shared" si="34"/>
        <v>0</v>
      </c>
    </row>
    <row r="211" spans="3:12" ht="15.6" hidden="1">
      <c r="C211" s="39" t="str">
        <f t="shared" si="31"/>
        <v>H</v>
      </c>
      <c r="D211" s="45" t="str">
        <f>Parameter!E$40</f>
        <v>One</v>
      </c>
      <c r="E211" s="74">
        <f t="shared" si="34"/>
        <v>0</v>
      </c>
      <c r="F211" s="75">
        <f t="shared" si="34"/>
        <v>0</v>
      </c>
      <c r="G211" s="75">
        <f t="shared" si="34"/>
        <v>0</v>
      </c>
      <c r="H211" s="75">
        <f t="shared" si="34"/>
        <v>0</v>
      </c>
      <c r="I211" s="75">
        <f t="shared" si="34"/>
        <v>0</v>
      </c>
      <c r="J211" s="75">
        <f t="shared" si="34"/>
        <v>0</v>
      </c>
      <c r="K211" s="75">
        <f t="shared" si="34"/>
        <v>0</v>
      </c>
      <c r="L211" s="76">
        <f t="shared" si="34"/>
        <v>0</v>
      </c>
    </row>
    <row r="212" spans="3:12" ht="15.6" hidden="1">
      <c r="C212" s="39" t="str">
        <f t="shared" si="31"/>
        <v>H</v>
      </c>
      <c r="D212" s="45" t="str">
        <f>Parameter!E$41</f>
        <v>One Pro</v>
      </c>
      <c r="E212" s="74">
        <f t="shared" si="34"/>
        <v>0</v>
      </c>
      <c r="F212" s="75">
        <f t="shared" si="34"/>
        <v>0</v>
      </c>
      <c r="G212" s="75">
        <f t="shared" si="34"/>
        <v>0</v>
      </c>
      <c r="H212" s="75">
        <f t="shared" si="34"/>
        <v>0</v>
      </c>
      <c r="I212" s="75">
        <f t="shared" si="34"/>
        <v>0</v>
      </c>
      <c r="J212" s="75">
        <f t="shared" si="34"/>
        <v>0</v>
      </c>
      <c r="K212" s="75">
        <f t="shared" si="34"/>
        <v>0</v>
      </c>
      <c r="L212" s="76">
        <f t="shared" si="34"/>
        <v>0</v>
      </c>
    </row>
    <row r="213" spans="3:12" ht="15.6" hidden="1">
      <c r="C213" s="39" t="str">
        <f t="shared" si="31"/>
        <v>H</v>
      </c>
      <c r="D213" s="45" t="str">
        <f>Parameter!E$42</f>
        <v>Quark AI</v>
      </c>
      <c r="E213" s="74">
        <f t="shared" si="34"/>
        <v>0</v>
      </c>
      <c r="F213" s="75">
        <f t="shared" si="34"/>
        <v>0</v>
      </c>
      <c r="G213" s="75">
        <f t="shared" si="34"/>
        <v>0</v>
      </c>
      <c r="H213" s="75">
        <f t="shared" si="34"/>
        <v>0</v>
      </c>
      <c r="I213" s="75">
        <f t="shared" si="34"/>
        <v>0</v>
      </c>
      <c r="J213" s="75">
        <f t="shared" si="34"/>
        <v>0</v>
      </c>
      <c r="K213" s="75">
        <f t="shared" si="34"/>
        <v>0</v>
      </c>
      <c r="L213" s="76">
        <f t="shared" si="34"/>
        <v>0</v>
      </c>
    </row>
    <row r="214" spans="3:12" ht="15.6" hidden="1">
      <c r="C214" s="39" t="str">
        <f t="shared" si="31"/>
        <v>H</v>
      </c>
      <c r="D214" s="45" t="str">
        <f>Parameter!E$43</f>
        <v>Ray-Ban Meta Display</v>
      </c>
      <c r="E214" s="74">
        <f t="shared" si="34"/>
        <v>0</v>
      </c>
      <c r="F214" s="75">
        <f t="shared" si="34"/>
        <v>0</v>
      </c>
      <c r="G214" s="75">
        <f t="shared" si="34"/>
        <v>0</v>
      </c>
      <c r="H214" s="75">
        <f t="shared" si="34"/>
        <v>0</v>
      </c>
      <c r="I214" s="75">
        <f t="shared" si="34"/>
        <v>0</v>
      </c>
      <c r="J214" s="75">
        <f t="shared" si="34"/>
        <v>0</v>
      </c>
      <c r="K214" s="75">
        <f t="shared" si="34"/>
        <v>0</v>
      </c>
      <c r="L214" s="76">
        <f t="shared" si="34"/>
        <v>0</v>
      </c>
    </row>
    <row r="215" spans="3:12" ht="15.6" hidden="1">
      <c r="C215" s="39" t="str">
        <f t="shared" si="31"/>
        <v>H</v>
      </c>
      <c r="D215" s="45" t="str">
        <f>Parameter!E$44</f>
        <v>Shield</v>
      </c>
      <c r="E215" s="74">
        <f t="shared" si="34"/>
        <v>0</v>
      </c>
      <c r="F215" s="75">
        <f t="shared" si="34"/>
        <v>0</v>
      </c>
      <c r="G215" s="75">
        <f t="shared" si="34"/>
        <v>0</v>
      </c>
      <c r="H215" s="75">
        <f t="shared" si="34"/>
        <v>0</v>
      </c>
      <c r="I215" s="75">
        <f t="shared" si="34"/>
        <v>0</v>
      </c>
      <c r="J215" s="75">
        <f t="shared" si="34"/>
        <v>0</v>
      </c>
      <c r="K215" s="75">
        <f t="shared" si="34"/>
        <v>0</v>
      </c>
      <c r="L215" s="76">
        <f t="shared" si="34"/>
        <v>0</v>
      </c>
    </row>
    <row r="216" spans="3:12" ht="15.6" hidden="1">
      <c r="C216" s="39" t="str">
        <f t="shared" si="31"/>
        <v>H</v>
      </c>
      <c r="D216" s="45" t="str">
        <f>Parameter!E$45</f>
        <v>SiOLED glasses</v>
      </c>
      <c r="E216" s="74">
        <f t="shared" si="34"/>
        <v>0</v>
      </c>
      <c r="F216" s="75">
        <f t="shared" si="34"/>
        <v>0</v>
      </c>
      <c r="G216" s="75">
        <f t="shared" si="34"/>
        <v>0</v>
      </c>
      <c r="H216" s="75">
        <f t="shared" si="34"/>
        <v>0</v>
      </c>
      <c r="I216" s="75">
        <f t="shared" si="34"/>
        <v>0</v>
      </c>
      <c r="J216" s="75">
        <f t="shared" si="34"/>
        <v>0</v>
      </c>
      <c r="K216" s="75">
        <f t="shared" si="34"/>
        <v>0</v>
      </c>
      <c r="L216" s="76">
        <f t="shared" si="34"/>
        <v>0</v>
      </c>
    </row>
    <row r="217" spans="3:12" ht="15.6" hidden="1">
      <c r="C217" s="39" t="str">
        <f t="shared" si="31"/>
        <v>H</v>
      </c>
      <c r="D217" s="45" t="str">
        <f>Parameter!E$46</f>
        <v>T1</v>
      </c>
      <c r="E217" s="74">
        <f t="shared" si="34"/>
        <v>0</v>
      </c>
      <c r="F217" s="75">
        <f t="shared" si="34"/>
        <v>0</v>
      </c>
      <c r="G217" s="75">
        <f t="shared" si="34"/>
        <v>0</v>
      </c>
      <c r="H217" s="75">
        <f t="shared" si="34"/>
        <v>0</v>
      </c>
      <c r="I217" s="75">
        <f t="shared" si="34"/>
        <v>0</v>
      </c>
      <c r="J217" s="75">
        <f t="shared" si="34"/>
        <v>0</v>
      </c>
      <c r="K217" s="75">
        <f t="shared" si="34"/>
        <v>0</v>
      </c>
      <c r="L217" s="76">
        <f t="shared" si="34"/>
        <v>0</v>
      </c>
    </row>
    <row r="218" spans="3:12" ht="15.6" hidden="1">
      <c r="C218" s="39" t="str">
        <f t="shared" si="31"/>
        <v>H</v>
      </c>
      <c r="D218" s="45" t="str">
        <f>Parameter!E$47</f>
        <v>ThinkReality A3</v>
      </c>
      <c r="E218" s="74">
        <f t="shared" si="34"/>
        <v>0</v>
      </c>
      <c r="F218" s="75">
        <f t="shared" si="34"/>
        <v>0</v>
      </c>
      <c r="G218" s="75">
        <f t="shared" si="34"/>
        <v>0</v>
      </c>
      <c r="H218" s="75">
        <f t="shared" si="34"/>
        <v>0</v>
      </c>
      <c r="I218" s="75">
        <f t="shared" si="34"/>
        <v>0</v>
      </c>
      <c r="J218" s="75">
        <f t="shared" si="34"/>
        <v>0</v>
      </c>
      <c r="K218" s="75">
        <f t="shared" si="34"/>
        <v>0</v>
      </c>
      <c r="L218" s="76">
        <f t="shared" si="34"/>
        <v>0</v>
      </c>
    </row>
    <row r="219" spans="3:12" ht="15.6" hidden="1">
      <c r="C219" s="39" t="str">
        <f t="shared" si="31"/>
        <v>H</v>
      </c>
      <c r="D219" s="45" t="str">
        <f>Parameter!E$48</f>
        <v>Viture Pro</v>
      </c>
      <c r="E219" s="74">
        <f t="shared" ref="E219:L228" si="35">SUMIF(ARVR_Y_PC_PR, "AR_"&amp;E$178&amp;"_"&amp;$D$177&amp;"_"&amp;$D219, PanelRev)</f>
        <v>0</v>
      </c>
      <c r="F219" s="75">
        <f t="shared" si="35"/>
        <v>0</v>
      </c>
      <c r="G219" s="75">
        <f t="shared" si="35"/>
        <v>0</v>
      </c>
      <c r="H219" s="75">
        <f t="shared" si="35"/>
        <v>0</v>
      </c>
      <c r="I219" s="75">
        <f t="shared" si="35"/>
        <v>0</v>
      </c>
      <c r="J219" s="75">
        <f t="shared" si="35"/>
        <v>0</v>
      </c>
      <c r="K219" s="75">
        <f t="shared" si="35"/>
        <v>0</v>
      </c>
      <c r="L219" s="76">
        <f t="shared" si="35"/>
        <v>0</v>
      </c>
    </row>
    <row r="220" spans="3:12" ht="15.6" hidden="1">
      <c r="C220" s="39" t="str">
        <f t="shared" si="31"/>
        <v>H</v>
      </c>
      <c r="D220" s="45" t="str">
        <f>Parameter!E$49</f>
        <v>X3 Pro</v>
      </c>
      <c r="E220" s="74">
        <f t="shared" si="35"/>
        <v>0</v>
      </c>
      <c r="F220" s="75">
        <f t="shared" si="35"/>
        <v>0</v>
      </c>
      <c r="G220" s="75">
        <f t="shared" si="35"/>
        <v>0</v>
      </c>
      <c r="H220" s="75">
        <f t="shared" si="35"/>
        <v>0</v>
      </c>
      <c r="I220" s="75">
        <f t="shared" si="35"/>
        <v>0</v>
      </c>
      <c r="J220" s="75">
        <f t="shared" si="35"/>
        <v>0</v>
      </c>
      <c r="K220" s="75">
        <f t="shared" si="35"/>
        <v>0</v>
      </c>
      <c r="L220" s="76">
        <f t="shared" si="35"/>
        <v>0</v>
      </c>
    </row>
    <row r="221" spans="3:12" ht="16.2" thickBot="1">
      <c r="C221" s="39" t="str">
        <f t="shared" si="31"/>
        <v/>
      </c>
      <c r="D221" s="45" t="str">
        <f>Parameter!E$50</f>
        <v>Z100</v>
      </c>
      <c r="E221" s="74">
        <f t="shared" si="35"/>
        <v>0</v>
      </c>
      <c r="F221" s="75">
        <f t="shared" si="35"/>
        <v>0</v>
      </c>
      <c r="G221" s="75">
        <f t="shared" si="35"/>
        <v>8.3665058553599986E-2</v>
      </c>
      <c r="H221" s="75">
        <f t="shared" si="35"/>
        <v>6.5537629200319983E-2</v>
      </c>
      <c r="I221" s="75">
        <f t="shared" si="35"/>
        <v>0</v>
      </c>
      <c r="J221" s="75">
        <f t="shared" si="35"/>
        <v>0</v>
      </c>
      <c r="K221" s="75">
        <f t="shared" si="35"/>
        <v>0</v>
      </c>
      <c r="L221" s="76">
        <f t="shared" si="35"/>
        <v>0</v>
      </c>
    </row>
    <row r="222" spans="3:12" ht="15.6" hidden="1">
      <c r="C222" s="39" t="str">
        <f t="shared" si="31"/>
        <v>H</v>
      </c>
      <c r="D222" s="45">
        <f>Parameter!E$51</f>
        <v>0</v>
      </c>
      <c r="E222" s="74">
        <f t="shared" si="35"/>
        <v>0</v>
      </c>
      <c r="F222" s="75">
        <f t="shared" si="35"/>
        <v>0</v>
      </c>
      <c r="G222" s="75">
        <f t="shared" si="35"/>
        <v>0</v>
      </c>
      <c r="H222" s="75">
        <f t="shared" si="35"/>
        <v>0</v>
      </c>
      <c r="I222" s="75">
        <f t="shared" si="35"/>
        <v>0</v>
      </c>
      <c r="J222" s="75">
        <f t="shared" si="35"/>
        <v>0</v>
      </c>
      <c r="K222" s="75">
        <f t="shared" si="35"/>
        <v>0</v>
      </c>
      <c r="L222" s="76">
        <f t="shared" si="35"/>
        <v>0</v>
      </c>
    </row>
    <row r="223" spans="3:12" ht="15.6" hidden="1">
      <c r="C223" s="39" t="str">
        <f t="shared" si="31"/>
        <v>H</v>
      </c>
      <c r="D223" s="45">
        <f>Parameter!E$52</f>
        <v>0</v>
      </c>
      <c r="E223" s="74">
        <f t="shared" si="35"/>
        <v>0</v>
      </c>
      <c r="F223" s="75">
        <f t="shared" si="35"/>
        <v>0</v>
      </c>
      <c r="G223" s="75">
        <f t="shared" si="35"/>
        <v>0</v>
      </c>
      <c r="H223" s="75">
        <f t="shared" si="35"/>
        <v>0</v>
      </c>
      <c r="I223" s="75">
        <f t="shared" si="35"/>
        <v>0</v>
      </c>
      <c r="J223" s="75">
        <f t="shared" si="35"/>
        <v>0</v>
      </c>
      <c r="K223" s="75">
        <f t="shared" si="35"/>
        <v>0</v>
      </c>
      <c r="L223" s="76">
        <f t="shared" si="35"/>
        <v>0</v>
      </c>
    </row>
    <row r="224" spans="3:12" ht="15.6" hidden="1">
      <c r="C224" s="39" t="str">
        <f t="shared" si="31"/>
        <v>H</v>
      </c>
      <c r="D224" s="45">
        <f>Parameter!E$53</f>
        <v>0</v>
      </c>
      <c r="E224" s="74">
        <f t="shared" si="35"/>
        <v>0</v>
      </c>
      <c r="F224" s="75">
        <f t="shared" si="35"/>
        <v>0</v>
      </c>
      <c r="G224" s="75">
        <f t="shared" si="35"/>
        <v>0</v>
      </c>
      <c r="H224" s="75">
        <f t="shared" si="35"/>
        <v>0</v>
      </c>
      <c r="I224" s="75">
        <f t="shared" si="35"/>
        <v>0</v>
      </c>
      <c r="J224" s="75">
        <f t="shared" si="35"/>
        <v>0</v>
      </c>
      <c r="K224" s="75">
        <f t="shared" si="35"/>
        <v>0</v>
      </c>
      <c r="L224" s="76">
        <f t="shared" si="35"/>
        <v>0</v>
      </c>
    </row>
    <row r="225" spans="3:12" ht="15.6" hidden="1">
      <c r="C225" s="39" t="str">
        <f t="shared" si="31"/>
        <v>H</v>
      </c>
      <c r="D225" s="45">
        <f>Parameter!E$54</f>
        <v>0</v>
      </c>
      <c r="E225" s="74">
        <f t="shared" si="35"/>
        <v>0</v>
      </c>
      <c r="F225" s="75">
        <f t="shared" si="35"/>
        <v>0</v>
      </c>
      <c r="G225" s="75">
        <f t="shared" si="35"/>
        <v>0</v>
      </c>
      <c r="H225" s="75">
        <f t="shared" si="35"/>
        <v>0</v>
      </c>
      <c r="I225" s="75">
        <f t="shared" si="35"/>
        <v>0</v>
      </c>
      <c r="J225" s="75">
        <f t="shared" si="35"/>
        <v>0</v>
      </c>
      <c r="K225" s="75">
        <f t="shared" si="35"/>
        <v>0</v>
      </c>
      <c r="L225" s="76">
        <f t="shared" si="35"/>
        <v>0</v>
      </c>
    </row>
    <row r="226" spans="3:12" ht="15.6" hidden="1">
      <c r="C226" s="39" t="str">
        <f t="shared" si="31"/>
        <v>H</v>
      </c>
      <c r="D226" s="45">
        <f>Parameter!E$55</f>
        <v>0</v>
      </c>
      <c r="E226" s="74">
        <f t="shared" si="35"/>
        <v>0</v>
      </c>
      <c r="F226" s="75">
        <f t="shared" si="35"/>
        <v>0</v>
      </c>
      <c r="G226" s="75">
        <f t="shared" si="35"/>
        <v>0</v>
      </c>
      <c r="H226" s="75">
        <f t="shared" si="35"/>
        <v>0</v>
      </c>
      <c r="I226" s="75">
        <f t="shared" si="35"/>
        <v>0</v>
      </c>
      <c r="J226" s="75">
        <f t="shared" si="35"/>
        <v>0</v>
      </c>
      <c r="K226" s="75">
        <f t="shared" si="35"/>
        <v>0</v>
      </c>
      <c r="L226" s="76">
        <f t="shared" si="35"/>
        <v>0</v>
      </c>
    </row>
    <row r="227" spans="3:12" ht="15.6" hidden="1">
      <c r="C227" s="39" t="str">
        <f t="shared" si="31"/>
        <v>H</v>
      </c>
      <c r="D227" s="45">
        <f>Parameter!E$56</f>
        <v>0</v>
      </c>
      <c r="E227" s="74">
        <f t="shared" si="35"/>
        <v>0</v>
      </c>
      <c r="F227" s="75">
        <f t="shared" si="35"/>
        <v>0</v>
      </c>
      <c r="G227" s="75">
        <f t="shared" si="35"/>
        <v>0</v>
      </c>
      <c r="H227" s="75">
        <f t="shared" si="35"/>
        <v>0</v>
      </c>
      <c r="I227" s="75">
        <f t="shared" si="35"/>
        <v>0</v>
      </c>
      <c r="J227" s="75">
        <f t="shared" si="35"/>
        <v>0</v>
      </c>
      <c r="K227" s="75">
        <f t="shared" si="35"/>
        <v>0</v>
      </c>
      <c r="L227" s="76">
        <f t="shared" si="35"/>
        <v>0</v>
      </c>
    </row>
    <row r="228" spans="3:12" ht="16.2" hidden="1" thickBot="1">
      <c r="C228" s="39" t="str">
        <f t="shared" si="31"/>
        <v>H</v>
      </c>
      <c r="D228" s="53" t="str">
        <f>Parameter!E$57</f>
        <v>ALL</v>
      </c>
      <c r="E228" s="77">
        <f t="shared" si="35"/>
        <v>0</v>
      </c>
      <c r="F228" s="78">
        <f t="shared" si="35"/>
        <v>0</v>
      </c>
      <c r="G228" s="78">
        <f t="shared" si="35"/>
        <v>0</v>
      </c>
      <c r="H228" s="78">
        <f t="shared" si="35"/>
        <v>0</v>
      </c>
      <c r="I228" s="78">
        <f t="shared" si="35"/>
        <v>0</v>
      </c>
      <c r="J228" s="78">
        <f t="shared" si="35"/>
        <v>0</v>
      </c>
      <c r="K228" s="78">
        <f t="shared" si="35"/>
        <v>0</v>
      </c>
      <c r="L228" s="79">
        <f t="shared" si="35"/>
        <v>0</v>
      </c>
    </row>
    <row r="229" spans="3:12" ht="15.6">
      <c r="C229" s="39" t="str">
        <f t="shared" si="31"/>
        <v/>
      </c>
      <c r="D229" s="54" t="s">
        <v>87</v>
      </c>
      <c r="E229" s="80">
        <f>SUM(E179:E228)</f>
        <v>0.26070370591999992</v>
      </c>
      <c r="F229" s="81">
        <f t="shared" ref="F229:L229" si="36">SUM(F179:F228)</f>
        <v>2.2599949770639998</v>
      </c>
      <c r="G229" s="81">
        <f t="shared" si="36"/>
        <v>2.7567636793411197</v>
      </c>
      <c r="H229" s="81">
        <f t="shared" si="36"/>
        <v>13.84810105002761</v>
      </c>
      <c r="I229" s="81">
        <f t="shared" si="36"/>
        <v>12.536693089729209</v>
      </c>
      <c r="J229" s="81">
        <f t="shared" si="36"/>
        <v>40.767970609627518</v>
      </c>
      <c r="K229" s="81">
        <f t="shared" si="36"/>
        <v>55.686499854588092</v>
      </c>
      <c r="L229" s="82">
        <f t="shared" si="36"/>
        <v>70.355999999999995</v>
      </c>
    </row>
    <row r="230" spans="3:12" ht="16.2" thickBot="1">
      <c r="C230" s="39" t="str">
        <f t="shared" si="31"/>
        <v/>
      </c>
      <c r="D230" s="46" t="s">
        <v>88</v>
      </c>
      <c r="E230" s="47"/>
      <c r="F230" s="50">
        <f t="shared" ref="F230:G230" si="37">IF(E229*F229=0, "", F229/E229-1)</f>
        <v>7.6688256658595666</v>
      </c>
      <c r="G230" s="50">
        <f t="shared" si="37"/>
        <v>0.21980964883491949</v>
      </c>
      <c r="H230" s="50">
        <f>IF(G229*H229=0, "", H229/G229-1)</f>
        <v>4.0233181588265037</v>
      </c>
      <c r="I230" s="50">
        <f t="shared" ref="I230:L230" si="38">IF(H229*I229=0, "", I229/H229-1)</f>
        <v>-9.4699479413156595E-2</v>
      </c>
      <c r="J230" s="50">
        <f t="shared" si="38"/>
        <v>2.2518918918918915</v>
      </c>
      <c r="K230" s="50">
        <f t="shared" si="38"/>
        <v>0.36593750000000003</v>
      </c>
      <c r="L230" s="51">
        <f t="shared" si="38"/>
        <v>0.2634300985646032</v>
      </c>
    </row>
    <row r="231" spans="3:12">
      <c r="C231"/>
    </row>
    <row r="232" spans="3:12" ht="14.4" thickBot="1">
      <c r="C232"/>
    </row>
    <row r="233" spans="3:12" ht="15" thickBot="1">
      <c r="C233"/>
      <c r="D233" s="52" t="str">
        <f>Parameter!I12</f>
        <v>2x LBS</v>
      </c>
    </row>
    <row r="234" spans="3:12" ht="16.2" thickBot="1">
      <c r="C234"/>
      <c r="D234" s="40" t="s">
        <v>85</v>
      </c>
      <c r="E234" s="41" t="str">
        <f t="shared" ref="E234:L234" si="39">E10</f>
        <v>2022</v>
      </c>
      <c r="F234" s="42" t="str">
        <f t="shared" si="39"/>
        <v>2023</v>
      </c>
      <c r="G234" s="42" t="str">
        <f t="shared" si="39"/>
        <v>2024</v>
      </c>
      <c r="H234" s="42">
        <f t="shared" si="39"/>
        <v>2025</v>
      </c>
      <c r="I234" s="42" t="str">
        <f t="shared" si="39"/>
        <v>2026</v>
      </c>
      <c r="J234" s="42" t="str">
        <f t="shared" si="39"/>
        <v>2027</v>
      </c>
      <c r="K234" s="42" t="str">
        <f t="shared" si="39"/>
        <v>2028</v>
      </c>
      <c r="L234" s="43" t="str">
        <f t="shared" si="39"/>
        <v>2029</v>
      </c>
    </row>
    <row r="235" spans="3:12" ht="15.6" hidden="1">
      <c r="C235" s="39" t="str">
        <f>IF(SUM(E235:L235)=0, "H", "")</f>
        <v>H</v>
      </c>
      <c r="D235" s="44" t="str">
        <f>Parameter!E$8</f>
        <v>Air</v>
      </c>
      <c r="E235" s="74">
        <f t="shared" ref="E235:L244" si="40">SUMIF(ARVR_Y_PC_PR, "AR_"&amp;E$234&amp;"_"&amp;$D$233&amp;"_"&amp;$D235, PanelRev)</f>
        <v>0</v>
      </c>
      <c r="F235" s="75">
        <f t="shared" si="40"/>
        <v>0</v>
      </c>
      <c r="G235" s="75">
        <f t="shared" si="40"/>
        <v>0</v>
      </c>
      <c r="H235" s="75">
        <f t="shared" si="40"/>
        <v>0</v>
      </c>
      <c r="I235" s="75">
        <f t="shared" si="40"/>
        <v>0</v>
      </c>
      <c r="J235" s="75">
        <f t="shared" si="40"/>
        <v>0</v>
      </c>
      <c r="K235" s="75">
        <f t="shared" si="40"/>
        <v>0</v>
      </c>
      <c r="L235" s="76">
        <f t="shared" si="40"/>
        <v>0</v>
      </c>
    </row>
    <row r="236" spans="3:12" ht="15.6" hidden="1">
      <c r="C236" s="39" t="str">
        <f t="shared" ref="C236:C286" si="41">IF(SUM(E236:L236)=0, "H", "")</f>
        <v>H</v>
      </c>
      <c r="D236" s="44" t="str">
        <f>Parameter!E$9</f>
        <v>Air 2</v>
      </c>
      <c r="E236" s="74">
        <f t="shared" si="40"/>
        <v>0</v>
      </c>
      <c r="F236" s="75">
        <f t="shared" si="40"/>
        <v>0</v>
      </c>
      <c r="G236" s="75">
        <f t="shared" si="40"/>
        <v>0</v>
      </c>
      <c r="H236" s="75">
        <f t="shared" si="40"/>
        <v>0</v>
      </c>
      <c r="I236" s="75">
        <f t="shared" si="40"/>
        <v>0</v>
      </c>
      <c r="J236" s="75">
        <f t="shared" si="40"/>
        <v>0</v>
      </c>
      <c r="K236" s="75">
        <f t="shared" si="40"/>
        <v>0</v>
      </c>
      <c r="L236" s="76">
        <f t="shared" si="40"/>
        <v>0</v>
      </c>
    </row>
    <row r="237" spans="3:12" ht="15.6" hidden="1">
      <c r="C237" s="39" t="str">
        <f t="shared" si="41"/>
        <v>H</v>
      </c>
      <c r="D237" s="45" t="str">
        <f>Parameter!E$10</f>
        <v>Air 3</v>
      </c>
      <c r="E237" s="74">
        <f t="shared" si="40"/>
        <v>0</v>
      </c>
      <c r="F237" s="75">
        <f t="shared" si="40"/>
        <v>0</v>
      </c>
      <c r="G237" s="75">
        <f t="shared" si="40"/>
        <v>0</v>
      </c>
      <c r="H237" s="75">
        <f t="shared" si="40"/>
        <v>0</v>
      </c>
      <c r="I237" s="75">
        <f t="shared" si="40"/>
        <v>0</v>
      </c>
      <c r="J237" s="75">
        <f t="shared" si="40"/>
        <v>0</v>
      </c>
      <c r="K237" s="75">
        <f t="shared" si="40"/>
        <v>0</v>
      </c>
      <c r="L237" s="76">
        <f t="shared" si="40"/>
        <v>0</v>
      </c>
    </row>
    <row r="238" spans="3:12" ht="15.6" hidden="1">
      <c r="C238" s="39" t="str">
        <f t="shared" si="41"/>
        <v>H</v>
      </c>
      <c r="D238" s="45" t="str">
        <f>Parameter!E$11</f>
        <v>Air 3s Pro</v>
      </c>
      <c r="E238" s="74">
        <f t="shared" si="40"/>
        <v>0</v>
      </c>
      <c r="F238" s="75">
        <f t="shared" si="40"/>
        <v>0</v>
      </c>
      <c r="G238" s="75">
        <f t="shared" si="40"/>
        <v>0</v>
      </c>
      <c r="H238" s="75">
        <f t="shared" si="40"/>
        <v>0</v>
      </c>
      <c r="I238" s="75">
        <f t="shared" si="40"/>
        <v>0</v>
      </c>
      <c r="J238" s="75">
        <f t="shared" si="40"/>
        <v>0</v>
      </c>
      <c r="K238" s="75">
        <f t="shared" si="40"/>
        <v>0</v>
      </c>
      <c r="L238" s="76">
        <f t="shared" si="40"/>
        <v>0</v>
      </c>
    </row>
    <row r="239" spans="3:12" ht="15.6" hidden="1">
      <c r="C239" s="39" t="str">
        <f t="shared" si="41"/>
        <v>H</v>
      </c>
      <c r="D239" s="45" t="str">
        <f>Parameter!E$12</f>
        <v>Air Glass</v>
      </c>
      <c r="E239" s="74">
        <f t="shared" si="40"/>
        <v>0</v>
      </c>
      <c r="F239" s="75">
        <f t="shared" si="40"/>
        <v>0</v>
      </c>
      <c r="G239" s="75">
        <f t="shared" si="40"/>
        <v>0</v>
      </c>
      <c r="H239" s="75">
        <f t="shared" si="40"/>
        <v>0</v>
      </c>
      <c r="I239" s="75">
        <f t="shared" si="40"/>
        <v>0</v>
      </c>
      <c r="J239" s="75">
        <f t="shared" si="40"/>
        <v>0</v>
      </c>
      <c r="K239" s="75">
        <f t="shared" si="40"/>
        <v>0</v>
      </c>
      <c r="L239" s="76">
        <f t="shared" si="40"/>
        <v>0</v>
      </c>
    </row>
    <row r="240" spans="3:12" ht="15.6" hidden="1">
      <c r="C240" s="39" t="str">
        <f t="shared" si="41"/>
        <v>H</v>
      </c>
      <c r="D240" s="45" t="str">
        <f>Parameter!E$13</f>
        <v>Binocular MicroLED</v>
      </c>
      <c r="E240" s="74">
        <f t="shared" si="40"/>
        <v>0</v>
      </c>
      <c r="F240" s="75">
        <f t="shared" si="40"/>
        <v>0</v>
      </c>
      <c r="G240" s="75">
        <f t="shared" si="40"/>
        <v>0</v>
      </c>
      <c r="H240" s="75">
        <f t="shared" si="40"/>
        <v>0</v>
      </c>
      <c r="I240" s="75">
        <f t="shared" si="40"/>
        <v>0</v>
      </c>
      <c r="J240" s="75">
        <f t="shared" si="40"/>
        <v>0</v>
      </c>
      <c r="K240" s="75">
        <f t="shared" si="40"/>
        <v>0</v>
      </c>
      <c r="L240" s="76">
        <f t="shared" si="40"/>
        <v>0</v>
      </c>
    </row>
    <row r="241" spans="3:12" ht="15.6" hidden="1">
      <c r="C241" s="39" t="str">
        <f t="shared" si="41"/>
        <v>H</v>
      </c>
      <c r="D241" s="45" t="str">
        <f>Parameter!E$14</f>
        <v>Blade</v>
      </c>
      <c r="E241" s="74">
        <f t="shared" si="40"/>
        <v>0</v>
      </c>
      <c r="F241" s="75">
        <f t="shared" si="40"/>
        <v>0</v>
      </c>
      <c r="G241" s="75">
        <f t="shared" si="40"/>
        <v>0</v>
      </c>
      <c r="H241" s="75">
        <f t="shared" si="40"/>
        <v>0</v>
      </c>
      <c r="I241" s="75">
        <f t="shared" si="40"/>
        <v>0</v>
      </c>
      <c r="J241" s="75">
        <f t="shared" si="40"/>
        <v>0</v>
      </c>
      <c r="K241" s="75">
        <f t="shared" si="40"/>
        <v>0</v>
      </c>
      <c r="L241" s="76">
        <f t="shared" si="40"/>
        <v>0</v>
      </c>
    </row>
    <row r="242" spans="3:12" ht="15.6" hidden="1">
      <c r="C242" s="39" t="str">
        <f t="shared" si="41"/>
        <v>H</v>
      </c>
      <c r="D242" s="45" t="str">
        <f>Parameter!E$15</f>
        <v>DLP glasses</v>
      </c>
      <c r="E242" s="74">
        <f t="shared" si="40"/>
        <v>0</v>
      </c>
      <c r="F242" s="75">
        <f t="shared" si="40"/>
        <v>0</v>
      </c>
      <c r="G242" s="75">
        <f t="shared" si="40"/>
        <v>0</v>
      </c>
      <c r="H242" s="75">
        <f t="shared" si="40"/>
        <v>0</v>
      </c>
      <c r="I242" s="75">
        <f t="shared" si="40"/>
        <v>0</v>
      </c>
      <c r="J242" s="75">
        <f t="shared" si="40"/>
        <v>0</v>
      </c>
      <c r="K242" s="75">
        <f t="shared" si="40"/>
        <v>0</v>
      </c>
      <c r="L242" s="76">
        <f t="shared" si="40"/>
        <v>0</v>
      </c>
    </row>
    <row r="243" spans="3:12" ht="15.6" hidden="1">
      <c r="C243" s="39" t="str">
        <f t="shared" si="41"/>
        <v>H</v>
      </c>
      <c r="D243" s="45" t="str">
        <f>Parameter!E$16</f>
        <v>G1</v>
      </c>
      <c r="E243" s="74">
        <f t="shared" si="40"/>
        <v>0</v>
      </c>
      <c r="F243" s="75">
        <f t="shared" si="40"/>
        <v>0</v>
      </c>
      <c r="G243" s="75">
        <f t="shared" si="40"/>
        <v>0</v>
      </c>
      <c r="H243" s="75">
        <f t="shared" si="40"/>
        <v>0</v>
      </c>
      <c r="I243" s="75">
        <f t="shared" si="40"/>
        <v>0</v>
      </c>
      <c r="J243" s="75">
        <f t="shared" si="40"/>
        <v>0</v>
      </c>
      <c r="K243" s="75">
        <f t="shared" si="40"/>
        <v>0</v>
      </c>
      <c r="L243" s="76">
        <f t="shared" si="40"/>
        <v>0</v>
      </c>
    </row>
    <row r="244" spans="3:12" ht="15.6" hidden="1">
      <c r="C244" s="39" t="str">
        <f t="shared" si="41"/>
        <v>H</v>
      </c>
      <c r="D244" s="45" t="str">
        <f>Parameter!E$17</f>
        <v>Glass</v>
      </c>
      <c r="E244" s="74">
        <f t="shared" si="40"/>
        <v>0</v>
      </c>
      <c r="F244" s="75">
        <f t="shared" si="40"/>
        <v>0</v>
      </c>
      <c r="G244" s="75">
        <f t="shared" si="40"/>
        <v>0</v>
      </c>
      <c r="H244" s="75">
        <f t="shared" si="40"/>
        <v>0</v>
      </c>
      <c r="I244" s="75">
        <f t="shared" si="40"/>
        <v>0</v>
      </c>
      <c r="J244" s="75">
        <f t="shared" si="40"/>
        <v>0</v>
      </c>
      <c r="K244" s="75">
        <f t="shared" si="40"/>
        <v>0</v>
      </c>
      <c r="L244" s="76">
        <f t="shared" si="40"/>
        <v>0</v>
      </c>
    </row>
    <row r="245" spans="3:12" ht="15.6" hidden="1">
      <c r="C245" s="39" t="str">
        <f t="shared" si="41"/>
        <v>H</v>
      </c>
      <c r="D245" s="45" t="str">
        <f>Parameter!E$18</f>
        <v>Glasses</v>
      </c>
      <c r="E245" s="74">
        <f t="shared" ref="E245:L254" si="42">SUMIF(ARVR_Y_PC_PR, "AR_"&amp;E$234&amp;"_"&amp;$D$233&amp;"_"&amp;$D245, PanelRev)</f>
        <v>0</v>
      </c>
      <c r="F245" s="75">
        <f t="shared" si="42"/>
        <v>0</v>
      </c>
      <c r="G245" s="75">
        <f t="shared" si="42"/>
        <v>0</v>
      </c>
      <c r="H245" s="75">
        <f t="shared" si="42"/>
        <v>0</v>
      </c>
      <c r="I245" s="75">
        <f t="shared" si="42"/>
        <v>0</v>
      </c>
      <c r="J245" s="75">
        <f t="shared" si="42"/>
        <v>0</v>
      </c>
      <c r="K245" s="75">
        <f t="shared" si="42"/>
        <v>0</v>
      </c>
      <c r="L245" s="76">
        <f t="shared" si="42"/>
        <v>0</v>
      </c>
    </row>
    <row r="246" spans="3:12" ht="15.6" hidden="1">
      <c r="C246" s="39" t="str">
        <f t="shared" si="41"/>
        <v>H</v>
      </c>
      <c r="D246" s="45" t="str">
        <f>Parameter!E$19</f>
        <v>Go</v>
      </c>
      <c r="E246" s="74">
        <f t="shared" si="42"/>
        <v>0</v>
      </c>
      <c r="F246" s="75">
        <f t="shared" si="42"/>
        <v>0</v>
      </c>
      <c r="G246" s="75">
        <f t="shared" si="42"/>
        <v>0</v>
      </c>
      <c r="H246" s="75">
        <f t="shared" si="42"/>
        <v>0</v>
      </c>
      <c r="I246" s="75">
        <f t="shared" si="42"/>
        <v>0</v>
      </c>
      <c r="J246" s="75">
        <f t="shared" si="42"/>
        <v>0</v>
      </c>
      <c r="K246" s="75">
        <f t="shared" si="42"/>
        <v>0</v>
      </c>
      <c r="L246" s="76">
        <f t="shared" si="42"/>
        <v>0</v>
      </c>
    </row>
    <row r="247" spans="3:12" ht="15.6" hidden="1">
      <c r="C247" s="39" t="str">
        <f t="shared" si="41"/>
        <v>H</v>
      </c>
      <c r="D247" s="45" t="str">
        <f>Parameter!E$20</f>
        <v>Go 2</v>
      </c>
      <c r="E247" s="74">
        <f t="shared" si="42"/>
        <v>0</v>
      </c>
      <c r="F247" s="75">
        <f t="shared" si="42"/>
        <v>0</v>
      </c>
      <c r="G247" s="75">
        <f t="shared" si="42"/>
        <v>0</v>
      </c>
      <c r="H247" s="75">
        <f t="shared" si="42"/>
        <v>0</v>
      </c>
      <c r="I247" s="75">
        <f t="shared" si="42"/>
        <v>0</v>
      </c>
      <c r="J247" s="75">
        <f t="shared" si="42"/>
        <v>0</v>
      </c>
      <c r="K247" s="75">
        <f t="shared" si="42"/>
        <v>0</v>
      </c>
      <c r="L247" s="76">
        <f t="shared" si="42"/>
        <v>0</v>
      </c>
    </row>
    <row r="248" spans="3:12" ht="15.6">
      <c r="C248" s="39" t="str">
        <f t="shared" si="41"/>
        <v/>
      </c>
      <c r="D248" s="45" t="str">
        <f>Parameter!E$21</f>
        <v>HoloLens 2</v>
      </c>
      <c r="E248" s="74">
        <f t="shared" si="42"/>
        <v>2.8110328399999998</v>
      </c>
      <c r="F248" s="75">
        <f t="shared" si="42"/>
        <v>0</v>
      </c>
      <c r="G248" s="75">
        <f t="shared" si="42"/>
        <v>0</v>
      </c>
      <c r="H248" s="75">
        <f t="shared" si="42"/>
        <v>0</v>
      </c>
      <c r="I248" s="75">
        <f t="shared" si="42"/>
        <v>0</v>
      </c>
      <c r="J248" s="75">
        <f t="shared" si="42"/>
        <v>0</v>
      </c>
      <c r="K248" s="75">
        <f t="shared" si="42"/>
        <v>0</v>
      </c>
      <c r="L248" s="76">
        <f t="shared" si="42"/>
        <v>0</v>
      </c>
    </row>
    <row r="249" spans="3:12" ht="15.6" hidden="1">
      <c r="C249" s="39" t="str">
        <f t="shared" si="41"/>
        <v>H</v>
      </c>
      <c r="D249" s="45" t="str">
        <f>Parameter!E$22</f>
        <v>INAIR 2</v>
      </c>
      <c r="E249" s="74">
        <f t="shared" si="42"/>
        <v>0</v>
      </c>
      <c r="F249" s="75">
        <f t="shared" si="42"/>
        <v>0</v>
      </c>
      <c r="G249" s="75">
        <f t="shared" si="42"/>
        <v>0</v>
      </c>
      <c r="H249" s="75">
        <f t="shared" si="42"/>
        <v>0</v>
      </c>
      <c r="I249" s="75">
        <f t="shared" si="42"/>
        <v>0</v>
      </c>
      <c r="J249" s="75">
        <f t="shared" si="42"/>
        <v>0</v>
      </c>
      <c r="K249" s="75">
        <f t="shared" si="42"/>
        <v>0</v>
      </c>
      <c r="L249" s="76">
        <f t="shared" si="42"/>
        <v>0</v>
      </c>
    </row>
    <row r="250" spans="3:12" ht="15.6" hidden="1">
      <c r="C250" s="39" t="str">
        <f t="shared" si="41"/>
        <v>H</v>
      </c>
      <c r="D250" s="45" t="str">
        <f>Parameter!E$23</f>
        <v>INAIR 2 Pro</v>
      </c>
      <c r="E250" s="74">
        <f t="shared" si="42"/>
        <v>0</v>
      </c>
      <c r="F250" s="75">
        <f t="shared" si="42"/>
        <v>0</v>
      </c>
      <c r="G250" s="75">
        <f t="shared" si="42"/>
        <v>0</v>
      </c>
      <c r="H250" s="75">
        <f t="shared" si="42"/>
        <v>0</v>
      </c>
      <c r="I250" s="75">
        <f t="shared" si="42"/>
        <v>0</v>
      </c>
      <c r="J250" s="75">
        <f t="shared" si="42"/>
        <v>0</v>
      </c>
      <c r="K250" s="75">
        <f t="shared" si="42"/>
        <v>0</v>
      </c>
      <c r="L250" s="76">
        <f t="shared" si="42"/>
        <v>0</v>
      </c>
    </row>
    <row r="251" spans="3:12" ht="16.2" thickBot="1">
      <c r="C251" s="39" t="str">
        <f t="shared" si="41"/>
        <v/>
      </c>
      <c r="D251" s="45" t="str">
        <f>Parameter!E$24</f>
        <v>LBS glasses</v>
      </c>
      <c r="E251" s="74">
        <f t="shared" si="42"/>
        <v>0.3373239408</v>
      </c>
      <c r="F251" s="75">
        <f t="shared" si="42"/>
        <v>0</v>
      </c>
      <c r="G251" s="75">
        <f t="shared" si="42"/>
        <v>0</v>
      </c>
      <c r="H251" s="75">
        <f t="shared" si="42"/>
        <v>0</v>
      </c>
      <c r="I251" s="75">
        <f t="shared" si="42"/>
        <v>0</v>
      </c>
      <c r="J251" s="75">
        <f t="shared" si="42"/>
        <v>0</v>
      </c>
      <c r="K251" s="75">
        <f t="shared" si="42"/>
        <v>0</v>
      </c>
      <c r="L251" s="76">
        <f t="shared" si="42"/>
        <v>0</v>
      </c>
    </row>
    <row r="252" spans="3:12" ht="15.6" hidden="1">
      <c r="C252" s="39" t="str">
        <f t="shared" si="41"/>
        <v>H</v>
      </c>
      <c r="D252" s="45" t="str">
        <f>Parameter!E$25</f>
        <v>LCoS glasses</v>
      </c>
      <c r="E252" s="74">
        <f t="shared" si="42"/>
        <v>0</v>
      </c>
      <c r="F252" s="75">
        <f t="shared" si="42"/>
        <v>0</v>
      </c>
      <c r="G252" s="75">
        <f t="shared" si="42"/>
        <v>0</v>
      </c>
      <c r="H252" s="75">
        <f t="shared" si="42"/>
        <v>0</v>
      </c>
      <c r="I252" s="75">
        <f t="shared" si="42"/>
        <v>0</v>
      </c>
      <c r="J252" s="75">
        <f t="shared" si="42"/>
        <v>0</v>
      </c>
      <c r="K252" s="75">
        <f t="shared" si="42"/>
        <v>0</v>
      </c>
      <c r="L252" s="76">
        <f t="shared" si="42"/>
        <v>0</v>
      </c>
    </row>
    <row r="253" spans="3:12" ht="15.6" hidden="1">
      <c r="C253" s="39" t="str">
        <f t="shared" si="41"/>
        <v>H</v>
      </c>
      <c r="D253" s="45" t="str">
        <f>Parameter!E$26</f>
        <v>Lenovo Legion Glasses 2</v>
      </c>
      <c r="E253" s="74">
        <f t="shared" si="42"/>
        <v>0</v>
      </c>
      <c r="F253" s="75">
        <f t="shared" si="42"/>
        <v>0</v>
      </c>
      <c r="G253" s="75">
        <f t="shared" si="42"/>
        <v>0</v>
      </c>
      <c r="H253" s="75">
        <f t="shared" si="42"/>
        <v>0</v>
      </c>
      <c r="I253" s="75">
        <f t="shared" si="42"/>
        <v>0</v>
      </c>
      <c r="J253" s="75">
        <f t="shared" si="42"/>
        <v>0</v>
      </c>
      <c r="K253" s="75">
        <f t="shared" si="42"/>
        <v>0</v>
      </c>
      <c r="L253" s="76">
        <f t="shared" si="42"/>
        <v>0</v>
      </c>
    </row>
    <row r="254" spans="3:12" ht="15.6" hidden="1">
      <c r="C254" s="39" t="str">
        <f t="shared" si="41"/>
        <v>H</v>
      </c>
      <c r="D254" s="45" t="str">
        <f>Parameter!E$27</f>
        <v>Light</v>
      </c>
      <c r="E254" s="74">
        <f t="shared" si="42"/>
        <v>0</v>
      </c>
      <c r="F254" s="75">
        <f t="shared" si="42"/>
        <v>0</v>
      </c>
      <c r="G254" s="75">
        <f t="shared" si="42"/>
        <v>0</v>
      </c>
      <c r="H254" s="75">
        <f t="shared" si="42"/>
        <v>0</v>
      </c>
      <c r="I254" s="75">
        <f t="shared" si="42"/>
        <v>0</v>
      </c>
      <c r="J254" s="75">
        <f t="shared" si="42"/>
        <v>0</v>
      </c>
      <c r="K254" s="75">
        <f t="shared" si="42"/>
        <v>0</v>
      </c>
      <c r="L254" s="76">
        <f t="shared" si="42"/>
        <v>0</v>
      </c>
    </row>
    <row r="255" spans="3:12" ht="15.6" hidden="1">
      <c r="C255" s="39" t="str">
        <f t="shared" si="41"/>
        <v>H</v>
      </c>
      <c r="D255" s="45" t="str">
        <f>Parameter!E$28</f>
        <v>Max</v>
      </c>
      <c r="E255" s="74">
        <f t="shared" ref="E255:L264" si="43">SUMIF(ARVR_Y_PC_PR, "AR_"&amp;E$234&amp;"_"&amp;$D$233&amp;"_"&amp;$D255, PanelRev)</f>
        <v>0</v>
      </c>
      <c r="F255" s="75">
        <f t="shared" si="43"/>
        <v>0</v>
      </c>
      <c r="G255" s="75">
        <f t="shared" si="43"/>
        <v>0</v>
      </c>
      <c r="H255" s="75">
        <f t="shared" si="43"/>
        <v>0</v>
      </c>
      <c r="I255" s="75">
        <f t="shared" si="43"/>
        <v>0</v>
      </c>
      <c r="J255" s="75">
        <f t="shared" si="43"/>
        <v>0</v>
      </c>
      <c r="K255" s="75">
        <f t="shared" si="43"/>
        <v>0</v>
      </c>
      <c r="L255" s="76">
        <f t="shared" si="43"/>
        <v>0</v>
      </c>
    </row>
    <row r="256" spans="3:12" ht="15.6" hidden="1">
      <c r="C256" s="39" t="str">
        <f t="shared" si="41"/>
        <v>H</v>
      </c>
      <c r="D256" s="45" t="str">
        <f>Parameter!E$29</f>
        <v>Max 2</v>
      </c>
      <c r="E256" s="74">
        <f t="shared" si="43"/>
        <v>0</v>
      </c>
      <c r="F256" s="75">
        <f t="shared" si="43"/>
        <v>0</v>
      </c>
      <c r="G256" s="75">
        <f t="shared" si="43"/>
        <v>0</v>
      </c>
      <c r="H256" s="75">
        <f t="shared" si="43"/>
        <v>0</v>
      </c>
      <c r="I256" s="75">
        <f t="shared" si="43"/>
        <v>0</v>
      </c>
      <c r="J256" s="75">
        <f t="shared" si="43"/>
        <v>0</v>
      </c>
      <c r="K256" s="75">
        <f t="shared" si="43"/>
        <v>0</v>
      </c>
      <c r="L256" s="76">
        <f t="shared" si="43"/>
        <v>0</v>
      </c>
    </row>
    <row r="257" spans="3:12" ht="15.6" hidden="1">
      <c r="C257" s="39" t="str">
        <f t="shared" si="41"/>
        <v>H</v>
      </c>
      <c r="D257" s="45" t="str">
        <f>Parameter!E$30</f>
        <v>Meizu StarV Air 2</v>
      </c>
      <c r="E257" s="74">
        <f t="shared" si="43"/>
        <v>0</v>
      </c>
      <c r="F257" s="75">
        <f t="shared" si="43"/>
        <v>0</v>
      </c>
      <c r="G257" s="75">
        <f t="shared" si="43"/>
        <v>0</v>
      </c>
      <c r="H257" s="75">
        <f t="shared" si="43"/>
        <v>0</v>
      </c>
      <c r="I257" s="75">
        <f t="shared" si="43"/>
        <v>0</v>
      </c>
      <c r="J257" s="75">
        <f t="shared" si="43"/>
        <v>0</v>
      </c>
      <c r="K257" s="75">
        <f t="shared" si="43"/>
        <v>0</v>
      </c>
      <c r="L257" s="76">
        <f t="shared" si="43"/>
        <v>0</v>
      </c>
    </row>
    <row r="258" spans="3:12" ht="15.6" hidden="1">
      <c r="C258" s="39" t="str">
        <f t="shared" si="41"/>
        <v>H</v>
      </c>
      <c r="D258" s="45" t="str">
        <f>Parameter!E$31</f>
        <v>Meizu StarV View</v>
      </c>
      <c r="E258" s="74">
        <f t="shared" si="43"/>
        <v>0</v>
      </c>
      <c r="F258" s="75">
        <f t="shared" si="43"/>
        <v>0</v>
      </c>
      <c r="G258" s="75">
        <f t="shared" si="43"/>
        <v>0</v>
      </c>
      <c r="H258" s="75">
        <f t="shared" si="43"/>
        <v>0</v>
      </c>
      <c r="I258" s="75">
        <f t="shared" si="43"/>
        <v>0</v>
      </c>
      <c r="J258" s="75">
        <f t="shared" si="43"/>
        <v>0</v>
      </c>
      <c r="K258" s="75">
        <f t="shared" si="43"/>
        <v>0</v>
      </c>
      <c r="L258" s="76">
        <f t="shared" si="43"/>
        <v>0</v>
      </c>
    </row>
    <row r="259" spans="3:12" ht="15.6" hidden="1">
      <c r="C259" s="39" t="str">
        <f t="shared" si="41"/>
        <v>H</v>
      </c>
      <c r="D259" s="45" t="str">
        <f>Parameter!E$32</f>
        <v>MiRZA</v>
      </c>
      <c r="E259" s="74">
        <f t="shared" si="43"/>
        <v>0</v>
      </c>
      <c r="F259" s="75">
        <f t="shared" si="43"/>
        <v>0</v>
      </c>
      <c r="G259" s="75">
        <f t="shared" si="43"/>
        <v>0</v>
      </c>
      <c r="H259" s="75">
        <f t="shared" si="43"/>
        <v>0</v>
      </c>
      <c r="I259" s="75">
        <f t="shared" si="43"/>
        <v>0</v>
      </c>
      <c r="J259" s="75">
        <f t="shared" si="43"/>
        <v>0</v>
      </c>
      <c r="K259" s="75">
        <f t="shared" si="43"/>
        <v>0</v>
      </c>
      <c r="L259" s="76">
        <f t="shared" si="43"/>
        <v>0</v>
      </c>
    </row>
    <row r="260" spans="3:12" ht="15.6" hidden="1">
      <c r="C260" s="39" t="str">
        <f t="shared" si="41"/>
        <v>H</v>
      </c>
      <c r="D260" s="45" t="str">
        <f>Parameter!E$33</f>
        <v>ML 2</v>
      </c>
      <c r="E260" s="74">
        <f t="shared" si="43"/>
        <v>0</v>
      </c>
      <c r="F260" s="75">
        <f t="shared" si="43"/>
        <v>0</v>
      </c>
      <c r="G260" s="75">
        <f t="shared" si="43"/>
        <v>0</v>
      </c>
      <c r="H260" s="75">
        <f t="shared" si="43"/>
        <v>0</v>
      </c>
      <c r="I260" s="75">
        <f t="shared" si="43"/>
        <v>0</v>
      </c>
      <c r="J260" s="75">
        <f t="shared" si="43"/>
        <v>0</v>
      </c>
      <c r="K260" s="75">
        <f t="shared" si="43"/>
        <v>0</v>
      </c>
      <c r="L260" s="76">
        <f t="shared" si="43"/>
        <v>0</v>
      </c>
    </row>
    <row r="261" spans="3:12" ht="15.6" hidden="1">
      <c r="C261" s="39" t="str">
        <f t="shared" si="41"/>
        <v>H</v>
      </c>
      <c r="D261" s="45" t="str">
        <f>Parameter!E$34</f>
        <v>ML One</v>
      </c>
      <c r="E261" s="74">
        <f t="shared" si="43"/>
        <v>0</v>
      </c>
      <c r="F261" s="75">
        <f t="shared" si="43"/>
        <v>0</v>
      </c>
      <c r="G261" s="75">
        <f t="shared" si="43"/>
        <v>0</v>
      </c>
      <c r="H261" s="75">
        <f t="shared" si="43"/>
        <v>0</v>
      </c>
      <c r="I261" s="75">
        <f t="shared" si="43"/>
        <v>0</v>
      </c>
      <c r="J261" s="75">
        <f t="shared" si="43"/>
        <v>0</v>
      </c>
      <c r="K261" s="75">
        <f t="shared" si="43"/>
        <v>0</v>
      </c>
      <c r="L261" s="76">
        <f t="shared" si="43"/>
        <v>0</v>
      </c>
    </row>
    <row r="262" spans="3:12" ht="15.6" hidden="1">
      <c r="C262" s="39" t="str">
        <f t="shared" si="41"/>
        <v>H</v>
      </c>
      <c r="D262" s="45" t="str">
        <f>Parameter!E$35</f>
        <v>Monocular LCoS glasses</v>
      </c>
      <c r="E262" s="74">
        <f t="shared" si="43"/>
        <v>0</v>
      </c>
      <c r="F262" s="75">
        <f t="shared" si="43"/>
        <v>0</v>
      </c>
      <c r="G262" s="75">
        <f t="shared" si="43"/>
        <v>0</v>
      </c>
      <c r="H262" s="75">
        <f t="shared" si="43"/>
        <v>0</v>
      </c>
      <c r="I262" s="75">
        <f t="shared" si="43"/>
        <v>0</v>
      </c>
      <c r="J262" s="75">
        <f t="shared" si="43"/>
        <v>0</v>
      </c>
      <c r="K262" s="75">
        <f t="shared" si="43"/>
        <v>0</v>
      </c>
      <c r="L262" s="76">
        <f t="shared" si="43"/>
        <v>0</v>
      </c>
    </row>
    <row r="263" spans="3:12" ht="15.6" hidden="1">
      <c r="C263" s="39" t="str">
        <f t="shared" si="41"/>
        <v>H</v>
      </c>
      <c r="D263" s="45" t="str">
        <f>Parameter!E$36</f>
        <v>Monocular MicroLED</v>
      </c>
      <c r="E263" s="74">
        <f t="shared" si="43"/>
        <v>0</v>
      </c>
      <c r="F263" s="75">
        <f t="shared" si="43"/>
        <v>0</v>
      </c>
      <c r="G263" s="75">
        <f t="shared" si="43"/>
        <v>0</v>
      </c>
      <c r="H263" s="75">
        <f t="shared" si="43"/>
        <v>0</v>
      </c>
      <c r="I263" s="75">
        <f t="shared" si="43"/>
        <v>0</v>
      </c>
      <c r="J263" s="75">
        <f t="shared" si="43"/>
        <v>0</v>
      </c>
      <c r="K263" s="75">
        <f t="shared" si="43"/>
        <v>0</v>
      </c>
      <c r="L263" s="76">
        <f t="shared" si="43"/>
        <v>0</v>
      </c>
    </row>
    <row r="264" spans="3:12" ht="15.6" hidden="1">
      <c r="C264" s="39" t="str">
        <f t="shared" si="41"/>
        <v>H</v>
      </c>
      <c r="D264" s="45" t="str">
        <f>Parameter!E$37</f>
        <v>Moverio</v>
      </c>
      <c r="E264" s="74">
        <f t="shared" si="43"/>
        <v>0</v>
      </c>
      <c r="F264" s="75">
        <f t="shared" si="43"/>
        <v>0</v>
      </c>
      <c r="G264" s="75">
        <f t="shared" si="43"/>
        <v>0</v>
      </c>
      <c r="H264" s="75">
        <f t="shared" si="43"/>
        <v>0</v>
      </c>
      <c r="I264" s="75">
        <f t="shared" si="43"/>
        <v>0</v>
      </c>
      <c r="J264" s="75">
        <f t="shared" si="43"/>
        <v>0</v>
      </c>
      <c r="K264" s="75">
        <f t="shared" si="43"/>
        <v>0</v>
      </c>
      <c r="L264" s="76">
        <f t="shared" si="43"/>
        <v>0</v>
      </c>
    </row>
    <row r="265" spans="3:12" ht="15.6" hidden="1">
      <c r="C265" s="39" t="str">
        <f t="shared" si="41"/>
        <v>H</v>
      </c>
      <c r="D265" s="45" t="str">
        <f>Parameter!E$38</f>
        <v>MYVU</v>
      </c>
      <c r="E265" s="74">
        <f t="shared" ref="E265:L274" si="44">SUMIF(ARVR_Y_PC_PR, "AR_"&amp;E$234&amp;"_"&amp;$D$233&amp;"_"&amp;$D265, PanelRev)</f>
        <v>0</v>
      </c>
      <c r="F265" s="75">
        <f t="shared" si="44"/>
        <v>0</v>
      </c>
      <c r="G265" s="75">
        <f t="shared" si="44"/>
        <v>0</v>
      </c>
      <c r="H265" s="75">
        <f t="shared" si="44"/>
        <v>0</v>
      </c>
      <c r="I265" s="75">
        <f t="shared" si="44"/>
        <v>0</v>
      </c>
      <c r="J265" s="75">
        <f t="shared" si="44"/>
        <v>0</v>
      </c>
      <c r="K265" s="75">
        <f t="shared" si="44"/>
        <v>0</v>
      </c>
      <c r="L265" s="76">
        <f t="shared" si="44"/>
        <v>0</v>
      </c>
    </row>
    <row r="266" spans="3:12" ht="15.6" hidden="1">
      <c r="C266" s="39" t="str">
        <f t="shared" si="41"/>
        <v>H</v>
      </c>
      <c r="D266" s="45" t="str">
        <f>Parameter!E$39</f>
        <v>NXTWear</v>
      </c>
      <c r="E266" s="74">
        <f t="shared" si="44"/>
        <v>0</v>
      </c>
      <c r="F266" s="75">
        <f t="shared" si="44"/>
        <v>0</v>
      </c>
      <c r="G266" s="75">
        <f t="shared" si="44"/>
        <v>0</v>
      </c>
      <c r="H266" s="75">
        <f t="shared" si="44"/>
        <v>0</v>
      </c>
      <c r="I266" s="75">
        <f t="shared" si="44"/>
        <v>0</v>
      </c>
      <c r="J266" s="75">
        <f t="shared" si="44"/>
        <v>0</v>
      </c>
      <c r="K266" s="75">
        <f t="shared" si="44"/>
        <v>0</v>
      </c>
      <c r="L266" s="76">
        <f t="shared" si="44"/>
        <v>0</v>
      </c>
    </row>
    <row r="267" spans="3:12" ht="15.6" hidden="1">
      <c r="C267" s="39" t="str">
        <f t="shared" si="41"/>
        <v>H</v>
      </c>
      <c r="D267" s="45" t="str">
        <f>Parameter!E$40</f>
        <v>One</v>
      </c>
      <c r="E267" s="74">
        <f t="shared" si="44"/>
        <v>0</v>
      </c>
      <c r="F267" s="75">
        <f t="shared" si="44"/>
        <v>0</v>
      </c>
      <c r="G267" s="75">
        <f t="shared" si="44"/>
        <v>0</v>
      </c>
      <c r="H267" s="75">
        <f t="shared" si="44"/>
        <v>0</v>
      </c>
      <c r="I267" s="75">
        <f t="shared" si="44"/>
        <v>0</v>
      </c>
      <c r="J267" s="75">
        <f t="shared" si="44"/>
        <v>0</v>
      </c>
      <c r="K267" s="75">
        <f t="shared" si="44"/>
        <v>0</v>
      </c>
      <c r="L267" s="76">
        <f t="shared" si="44"/>
        <v>0</v>
      </c>
    </row>
    <row r="268" spans="3:12" ht="15.6" hidden="1">
      <c r="C268" s="39" t="str">
        <f t="shared" si="41"/>
        <v>H</v>
      </c>
      <c r="D268" s="45" t="str">
        <f>Parameter!E$41</f>
        <v>One Pro</v>
      </c>
      <c r="E268" s="74">
        <f t="shared" si="44"/>
        <v>0</v>
      </c>
      <c r="F268" s="75">
        <f t="shared" si="44"/>
        <v>0</v>
      </c>
      <c r="G268" s="75">
        <f t="shared" si="44"/>
        <v>0</v>
      </c>
      <c r="H268" s="75">
        <f t="shared" si="44"/>
        <v>0</v>
      </c>
      <c r="I268" s="75">
        <f t="shared" si="44"/>
        <v>0</v>
      </c>
      <c r="J268" s="75">
        <f t="shared" si="44"/>
        <v>0</v>
      </c>
      <c r="K268" s="75">
        <f t="shared" si="44"/>
        <v>0</v>
      </c>
      <c r="L268" s="76">
        <f t="shared" si="44"/>
        <v>0</v>
      </c>
    </row>
    <row r="269" spans="3:12" ht="15.6" hidden="1">
      <c r="C269" s="39" t="str">
        <f t="shared" si="41"/>
        <v>H</v>
      </c>
      <c r="D269" s="45" t="str">
        <f>Parameter!E$42</f>
        <v>Quark AI</v>
      </c>
      <c r="E269" s="74">
        <f t="shared" si="44"/>
        <v>0</v>
      </c>
      <c r="F269" s="75">
        <f t="shared" si="44"/>
        <v>0</v>
      </c>
      <c r="G269" s="75">
        <f t="shared" si="44"/>
        <v>0</v>
      </c>
      <c r="H269" s="75">
        <f t="shared" si="44"/>
        <v>0</v>
      </c>
      <c r="I269" s="75">
        <f t="shared" si="44"/>
        <v>0</v>
      </c>
      <c r="J269" s="75">
        <f t="shared" si="44"/>
        <v>0</v>
      </c>
      <c r="K269" s="75">
        <f t="shared" si="44"/>
        <v>0</v>
      </c>
      <c r="L269" s="76">
        <f t="shared" si="44"/>
        <v>0</v>
      </c>
    </row>
    <row r="270" spans="3:12" ht="15.6" hidden="1">
      <c r="C270" s="39" t="str">
        <f t="shared" si="41"/>
        <v>H</v>
      </c>
      <c r="D270" s="45" t="str">
        <f>Parameter!E$43</f>
        <v>Ray-Ban Meta Display</v>
      </c>
      <c r="E270" s="74">
        <f t="shared" si="44"/>
        <v>0</v>
      </c>
      <c r="F270" s="75">
        <f t="shared" si="44"/>
        <v>0</v>
      </c>
      <c r="G270" s="75">
        <f t="shared" si="44"/>
        <v>0</v>
      </c>
      <c r="H270" s="75">
        <f t="shared" si="44"/>
        <v>0</v>
      </c>
      <c r="I270" s="75">
        <f t="shared" si="44"/>
        <v>0</v>
      </c>
      <c r="J270" s="75">
        <f t="shared" si="44"/>
        <v>0</v>
      </c>
      <c r="K270" s="75">
        <f t="shared" si="44"/>
        <v>0</v>
      </c>
      <c r="L270" s="76">
        <f t="shared" si="44"/>
        <v>0</v>
      </c>
    </row>
    <row r="271" spans="3:12" ht="15.6" hidden="1">
      <c r="C271" s="39" t="str">
        <f t="shared" si="41"/>
        <v>H</v>
      </c>
      <c r="D271" s="45" t="str">
        <f>Parameter!E$44</f>
        <v>Shield</v>
      </c>
      <c r="E271" s="74">
        <f t="shared" si="44"/>
        <v>0</v>
      </c>
      <c r="F271" s="75">
        <f t="shared" si="44"/>
        <v>0</v>
      </c>
      <c r="G271" s="75">
        <f t="shared" si="44"/>
        <v>0</v>
      </c>
      <c r="H271" s="75">
        <f t="shared" si="44"/>
        <v>0</v>
      </c>
      <c r="I271" s="75">
        <f t="shared" si="44"/>
        <v>0</v>
      </c>
      <c r="J271" s="75">
        <f t="shared" si="44"/>
        <v>0</v>
      </c>
      <c r="K271" s="75">
        <f t="shared" si="44"/>
        <v>0</v>
      </c>
      <c r="L271" s="76">
        <f t="shared" si="44"/>
        <v>0</v>
      </c>
    </row>
    <row r="272" spans="3:12" ht="15.6" hidden="1">
      <c r="C272" s="39" t="str">
        <f t="shared" si="41"/>
        <v>H</v>
      </c>
      <c r="D272" s="45" t="str">
        <f>Parameter!E$45</f>
        <v>SiOLED glasses</v>
      </c>
      <c r="E272" s="74">
        <f t="shared" si="44"/>
        <v>0</v>
      </c>
      <c r="F272" s="75">
        <f t="shared" si="44"/>
        <v>0</v>
      </c>
      <c r="G272" s="75">
        <f t="shared" si="44"/>
        <v>0</v>
      </c>
      <c r="H272" s="75">
        <f t="shared" si="44"/>
        <v>0</v>
      </c>
      <c r="I272" s="75">
        <f t="shared" si="44"/>
        <v>0</v>
      </c>
      <c r="J272" s="75">
        <f t="shared" si="44"/>
        <v>0</v>
      </c>
      <c r="K272" s="75">
        <f t="shared" si="44"/>
        <v>0</v>
      </c>
      <c r="L272" s="76">
        <f t="shared" si="44"/>
        <v>0</v>
      </c>
    </row>
    <row r="273" spans="3:12" ht="15.6" hidden="1">
      <c r="C273" s="39" t="str">
        <f t="shared" si="41"/>
        <v>H</v>
      </c>
      <c r="D273" s="45" t="str">
        <f>Parameter!E$46</f>
        <v>T1</v>
      </c>
      <c r="E273" s="74">
        <f t="shared" si="44"/>
        <v>0</v>
      </c>
      <c r="F273" s="75">
        <f t="shared" si="44"/>
        <v>0</v>
      </c>
      <c r="G273" s="75">
        <f t="shared" si="44"/>
        <v>0</v>
      </c>
      <c r="H273" s="75">
        <f t="shared" si="44"/>
        <v>0</v>
      </c>
      <c r="I273" s="75">
        <f t="shared" si="44"/>
        <v>0</v>
      </c>
      <c r="J273" s="75">
        <f t="shared" si="44"/>
        <v>0</v>
      </c>
      <c r="K273" s="75">
        <f t="shared" si="44"/>
        <v>0</v>
      </c>
      <c r="L273" s="76">
        <f t="shared" si="44"/>
        <v>0</v>
      </c>
    </row>
    <row r="274" spans="3:12" ht="15.6" hidden="1">
      <c r="C274" s="39" t="str">
        <f t="shared" si="41"/>
        <v>H</v>
      </c>
      <c r="D274" s="45" t="str">
        <f>Parameter!E$47</f>
        <v>ThinkReality A3</v>
      </c>
      <c r="E274" s="74">
        <f t="shared" si="44"/>
        <v>0</v>
      </c>
      <c r="F274" s="75">
        <f t="shared" si="44"/>
        <v>0</v>
      </c>
      <c r="G274" s="75">
        <f t="shared" si="44"/>
        <v>0</v>
      </c>
      <c r="H274" s="75">
        <f t="shared" si="44"/>
        <v>0</v>
      </c>
      <c r="I274" s="75">
        <f t="shared" si="44"/>
        <v>0</v>
      </c>
      <c r="J274" s="75">
        <f t="shared" si="44"/>
        <v>0</v>
      </c>
      <c r="K274" s="75">
        <f t="shared" si="44"/>
        <v>0</v>
      </c>
      <c r="L274" s="76">
        <f t="shared" si="44"/>
        <v>0</v>
      </c>
    </row>
    <row r="275" spans="3:12" ht="15.6" hidden="1">
      <c r="C275" s="39" t="str">
        <f t="shared" si="41"/>
        <v>H</v>
      </c>
      <c r="D275" s="45" t="str">
        <f>Parameter!E$48</f>
        <v>Viture Pro</v>
      </c>
      <c r="E275" s="74">
        <f t="shared" ref="E275:L284" si="45">SUMIF(ARVR_Y_PC_PR, "AR_"&amp;E$234&amp;"_"&amp;$D$233&amp;"_"&amp;$D275, PanelRev)</f>
        <v>0</v>
      </c>
      <c r="F275" s="75">
        <f t="shared" si="45"/>
        <v>0</v>
      </c>
      <c r="G275" s="75">
        <f t="shared" si="45"/>
        <v>0</v>
      </c>
      <c r="H275" s="75">
        <f t="shared" si="45"/>
        <v>0</v>
      </c>
      <c r="I275" s="75">
        <f t="shared" si="45"/>
        <v>0</v>
      </c>
      <c r="J275" s="75">
        <f t="shared" si="45"/>
        <v>0</v>
      </c>
      <c r="K275" s="75">
        <f t="shared" si="45"/>
        <v>0</v>
      </c>
      <c r="L275" s="76">
        <f t="shared" si="45"/>
        <v>0</v>
      </c>
    </row>
    <row r="276" spans="3:12" ht="15.6" hidden="1">
      <c r="C276" s="39" t="str">
        <f t="shared" si="41"/>
        <v>H</v>
      </c>
      <c r="D276" s="45" t="str">
        <f>Parameter!E$49</f>
        <v>X3 Pro</v>
      </c>
      <c r="E276" s="74">
        <f t="shared" si="45"/>
        <v>0</v>
      </c>
      <c r="F276" s="75">
        <f t="shared" si="45"/>
        <v>0</v>
      </c>
      <c r="G276" s="75">
        <f t="shared" si="45"/>
        <v>0</v>
      </c>
      <c r="H276" s="75">
        <f t="shared" si="45"/>
        <v>0</v>
      </c>
      <c r="I276" s="75">
        <f t="shared" si="45"/>
        <v>0</v>
      </c>
      <c r="J276" s="75">
        <f t="shared" si="45"/>
        <v>0</v>
      </c>
      <c r="K276" s="75">
        <f t="shared" si="45"/>
        <v>0</v>
      </c>
      <c r="L276" s="76">
        <f t="shared" si="45"/>
        <v>0</v>
      </c>
    </row>
    <row r="277" spans="3:12" ht="15.6" hidden="1">
      <c r="C277" s="39" t="str">
        <f t="shared" si="41"/>
        <v>H</v>
      </c>
      <c r="D277" s="45" t="str">
        <f>Parameter!E$50</f>
        <v>Z100</v>
      </c>
      <c r="E277" s="74">
        <f t="shared" si="45"/>
        <v>0</v>
      </c>
      <c r="F277" s="75">
        <f t="shared" si="45"/>
        <v>0</v>
      </c>
      <c r="G277" s="75">
        <f t="shared" si="45"/>
        <v>0</v>
      </c>
      <c r="H277" s="75">
        <f t="shared" si="45"/>
        <v>0</v>
      </c>
      <c r="I277" s="75">
        <f t="shared" si="45"/>
        <v>0</v>
      </c>
      <c r="J277" s="75">
        <f t="shared" si="45"/>
        <v>0</v>
      </c>
      <c r="K277" s="75">
        <f t="shared" si="45"/>
        <v>0</v>
      </c>
      <c r="L277" s="76">
        <f t="shared" si="45"/>
        <v>0</v>
      </c>
    </row>
    <row r="278" spans="3:12" ht="15.6" hidden="1">
      <c r="C278" s="39" t="str">
        <f t="shared" si="41"/>
        <v>H</v>
      </c>
      <c r="D278" s="45">
        <f>Parameter!E$51</f>
        <v>0</v>
      </c>
      <c r="E278" s="74">
        <f t="shared" si="45"/>
        <v>0</v>
      </c>
      <c r="F278" s="75">
        <f t="shared" si="45"/>
        <v>0</v>
      </c>
      <c r="G278" s="75">
        <f t="shared" si="45"/>
        <v>0</v>
      </c>
      <c r="H278" s="75">
        <f t="shared" si="45"/>
        <v>0</v>
      </c>
      <c r="I278" s="75">
        <f t="shared" si="45"/>
        <v>0</v>
      </c>
      <c r="J278" s="75">
        <f t="shared" si="45"/>
        <v>0</v>
      </c>
      <c r="K278" s="75">
        <f t="shared" si="45"/>
        <v>0</v>
      </c>
      <c r="L278" s="76">
        <f t="shared" si="45"/>
        <v>0</v>
      </c>
    </row>
    <row r="279" spans="3:12" ht="15.6" hidden="1">
      <c r="C279" s="39" t="str">
        <f t="shared" si="41"/>
        <v>H</v>
      </c>
      <c r="D279" s="45">
        <f>Parameter!E$52</f>
        <v>0</v>
      </c>
      <c r="E279" s="74">
        <f t="shared" si="45"/>
        <v>0</v>
      </c>
      <c r="F279" s="75">
        <f t="shared" si="45"/>
        <v>0</v>
      </c>
      <c r="G279" s="75">
        <f t="shared" si="45"/>
        <v>0</v>
      </c>
      <c r="H279" s="75">
        <f t="shared" si="45"/>
        <v>0</v>
      </c>
      <c r="I279" s="75">
        <f t="shared" si="45"/>
        <v>0</v>
      </c>
      <c r="J279" s="75">
        <f t="shared" si="45"/>
        <v>0</v>
      </c>
      <c r="K279" s="75">
        <f t="shared" si="45"/>
        <v>0</v>
      </c>
      <c r="L279" s="76">
        <f t="shared" si="45"/>
        <v>0</v>
      </c>
    </row>
    <row r="280" spans="3:12" ht="15.6" hidden="1">
      <c r="C280" s="39" t="str">
        <f t="shared" si="41"/>
        <v>H</v>
      </c>
      <c r="D280" s="45">
        <f>Parameter!E$53</f>
        <v>0</v>
      </c>
      <c r="E280" s="74">
        <f t="shared" si="45"/>
        <v>0</v>
      </c>
      <c r="F280" s="75">
        <f t="shared" si="45"/>
        <v>0</v>
      </c>
      <c r="G280" s="75">
        <f t="shared" si="45"/>
        <v>0</v>
      </c>
      <c r="H280" s="75">
        <f t="shared" si="45"/>
        <v>0</v>
      </c>
      <c r="I280" s="75">
        <f t="shared" si="45"/>
        <v>0</v>
      </c>
      <c r="J280" s="75">
        <f t="shared" si="45"/>
        <v>0</v>
      </c>
      <c r="K280" s="75">
        <f t="shared" si="45"/>
        <v>0</v>
      </c>
      <c r="L280" s="76">
        <f t="shared" si="45"/>
        <v>0</v>
      </c>
    </row>
    <row r="281" spans="3:12" ht="15.6" hidden="1">
      <c r="C281" s="39" t="str">
        <f t="shared" si="41"/>
        <v>H</v>
      </c>
      <c r="D281" s="45">
        <f>Parameter!E$54</f>
        <v>0</v>
      </c>
      <c r="E281" s="74">
        <f t="shared" si="45"/>
        <v>0</v>
      </c>
      <c r="F281" s="75">
        <f t="shared" si="45"/>
        <v>0</v>
      </c>
      <c r="G281" s="75">
        <f t="shared" si="45"/>
        <v>0</v>
      </c>
      <c r="H281" s="75">
        <f t="shared" si="45"/>
        <v>0</v>
      </c>
      <c r="I281" s="75">
        <f t="shared" si="45"/>
        <v>0</v>
      </c>
      <c r="J281" s="75">
        <f t="shared" si="45"/>
        <v>0</v>
      </c>
      <c r="K281" s="75">
        <f t="shared" si="45"/>
        <v>0</v>
      </c>
      <c r="L281" s="76">
        <f t="shared" si="45"/>
        <v>0</v>
      </c>
    </row>
    <row r="282" spans="3:12" ht="15.6" hidden="1">
      <c r="C282" s="39" t="str">
        <f t="shared" si="41"/>
        <v>H</v>
      </c>
      <c r="D282" s="45">
        <f>Parameter!E$55</f>
        <v>0</v>
      </c>
      <c r="E282" s="74">
        <f t="shared" si="45"/>
        <v>0</v>
      </c>
      <c r="F282" s="75">
        <f t="shared" si="45"/>
        <v>0</v>
      </c>
      <c r="G282" s="75">
        <f t="shared" si="45"/>
        <v>0</v>
      </c>
      <c r="H282" s="75">
        <f t="shared" si="45"/>
        <v>0</v>
      </c>
      <c r="I282" s="75">
        <f t="shared" si="45"/>
        <v>0</v>
      </c>
      <c r="J282" s="75">
        <f t="shared" si="45"/>
        <v>0</v>
      </c>
      <c r="K282" s="75">
        <f t="shared" si="45"/>
        <v>0</v>
      </c>
      <c r="L282" s="76">
        <f t="shared" si="45"/>
        <v>0</v>
      </c>
    </row>
    <row r="283" spans="3:12" ht="15.6" hidden="1">
      <c r="C283" s="39" t="str">
        <f t="shared" si="41"/>
        <v>H</v>
      </c>
      <c r="D283" s="45">
        <f>Parameter!E$56</f>
        <v>0</v>
      </c>
      <c r="E283" s="74">
        <f t="shared" si="45"/>
        <v>0</v>
      </c>
      <c r="F283" s="75">
        <f t="shared" si="45"/>
        <v>0</v>
      </c>
      <c r="G283" s="75">
        <f t="shared" si="45"/>
        <v>0</v>
      </c>
      <c r="H283" s="75">
        <f t="shared" si="45"/>
        <v>0</v>
      </c>
      <c r="I283" s="75">
        <f t="shared" si="45"/>
        <v>0</v>
      </c>
      <c r="J283" s="75">
        <f t="shared" si="45"/>
        <v>0</v>
      </c>
      <c r="K283" s="75">
        <f t="shared" si="45"/>
        <v>0</v>
      </c>
      <c r="L283" s="76">
        <f t="shared" si="45"/>
        <v>0</v>
      </c>
    </row>
    <row r="284" spans="3:12" ht="16.2" hidden="1" thickBot="1">
      <c r="C284" s="39" t="str">
        <f t="shared" si="41"/>
        <v>H</v>
      </c>
      <c r="D284" s="53" t="str">
        <f>Parameter!E$57</f>
        <v>ALL</v>
      </c>
      <c r="E284" s="77">
        <f t="shared" si="45"/>
        <v>0</v>
      </c>
      <c r="F284" s="78">
        <f t="shared" si="45"/>
        <v>0</v>
      </c>
      <c r="G284" s="78">
        <f t="shared" si="45"/>
        <v>0</v>
      </c>
      <c r="H284" s="78">
        <f t="shared" si="45"/>
        <v>0</v>
      </c>
      <c r="I284" s="78">
        <f t="shared" si="45"/>
        <v>0</v>
      </c>
      <c r="J284" s="78">
        <f t="shared" si="45"/>
        <v>0</v>
      </c>
      <c r="K284" s="78">
        <f t="shared" si="45"/>
        <v>0</v>
      </c>
      <c r="L284" s="79">
        <f t="shared" si="45"/>
        <v>0</v>
      </c>
    </row>
    <row r="285" spans="3:12" ht="15.6">
      <c r="C285" s="39" t="str">
        <f t="shared" si="41"/>
        <v/>
      </c>
      <c r="D285" s="54" t="s">
        <v>87</v>
      </c>
      <c r="E285" s="80">
        <f>SUM(E235:E284)</f>
        <v>3.1483567807999999</v>
      </c>
      <c r="F285" s="81">
        <f t="shared" ref="F285:L285" si="46">SUM(F235:F284)</f>
        <v>0</v>
      </c>
      <c r="G285" s="81">
        <f t="shared" si="46"/>
        <v>0</v>
      </c>
      <c r="H285" s="81">
        <f t="shared" si="46"/>
        <v>0</v>
      </c>
      <c r="I285" s="81">
        <f t="shared" si="46"/>
        <v>0</v>
      </c>
      <c r="J285" s="81">
        <f t="shared" si="46"/>
        <v>0</v>
      </c>
      <c r="K285" s="81">
        <f t="shared" si="46"/>
        <v>0</v>
      </c>
      <c r="L285" s="82">
        <f t="shared" si="46"/>
        <v>0</v>
      </c>
    </row>
    <row r="286" spans="3:12" ht="16.2" hidden="1" thickBot="1">
      <c r="C286" s="39" t="str">
        <f t="shared" si="41"/>
        <v>H</v>
      </c>
      <c r="D286" s="46" t="s">
        <v>88</v>
      </c>
      <c r="E286" s="47"/>
      <c r="F286" s="50" t="str">
        <f t="shared" ref="F286:G286" si="47">IF(E285*F285=0, "", F285/E285-1)</f>
        <v/>
      </c>
      <c r="G286" s="50" t="str">
        <f t="shared" si="47"/>
        <v/>
      </c>
      <c r="H286" s="50" t="str">
        <f>IF(G285*H285=0, "", H285/G285-1)</f>
        <v/>
      </c>
      <c r="I286" s="50" t="str">
        <f t="shared" ref="I286:L286" si="48">IF(H285*I285=0, "", I285/H285-1)</f>
        <v/>
      </c>
      <c r="J286" s="50" t="str">
        <f t="shared" si="48"/>
        <v/>
      </c>
      <c r="K286" s="50" t="str">
        <f t="shared" si="48"/>
        <v/>
      </c>
      <c r="L286" s="51" t="str">
        <f t="shared" si="48"/>
        <v/>
      </c>
    </row>
    <row r="287" spans="3:12">
      <c r="C287"/>
    </row>
    <row r="288" spans="3:12" ht="14.4" thickBot="1">
      <c r="C288"/>
    </row>
    <row r="289" spans="3:12" ht="15" thickBot="1">
      <c r="C289"/>
      <c r="D289" s="52" t="str">
        <f>Parameter!I13</f>
        <v>2x LCoS</v>
      </c>
    </row>
    <row r="290" spans="3:12" ht="16.2" thickBot="1">
      <c r="C290"/>
      <c r="D290" s="40" t="s">
        <v>85</v>
      </c>
      <c r="E290" s="41" t="str">
        <f t="shared" ref="E290:L290" si="49">E10</f>
        <v>2022</v>
      </c>
      <c r="F290" s="42" t="str">
        <f t="shared" si="49"/>
        <v>2023</v>
      </c>
      <c r="G290" s="42" t="str">
        <f t="shared" si="49"/>
        <v>2024</v>
      </c>
      <c r="H290" s="42">
        <f t="shared" si="49"/>
        <v>2025</v>
      </c>
      <c r="I290" s="42" t="str">
        <f t="shared" si="49"/>
        <v>2026</v>
      </c>
      <c r="J290" s="42" t="str">
        <f t="shared" si="49"/>
        <v>2027</v>
      </c>
      <c r="K290" s="42" t="str">
        <f t="shared" si="49"/>
        <v>2028</v>
      </c>
      <c r="L290" s="43" t="str">
        <f t="shared" si="49"/>
        <v>2029</v>
      </c>
    </row>
    <row r="291" spans="3:12" ht="15.6" hidden="1">
      <c r="C291" s="39" t="str">
        <f>IF(SUM(E291:L291)=0, "H", "")</f>
        <v>H</v>
      </c>
      <c r="D291" s="44" t="str">
        <f>Parameter!E$8</f>
        <v>Air</v>
      </c>
      <c r="E291" s="74">
        <f t="shared" ref="E291:L300" si="50">SUMIF(ARVR_Y_PC_PR, "AR_"&amp;E$290&amp;"_"&amp;$D$289&amp;"_"&amp;$D291, PanelRev)</f>
        <v>0</v>
      </c>
      <c r="F291" s="75">
        <f t="shared" si="50"/>
        <v>0</v>
      </c>
      <c r="G291" s="75">
        <f t="shared" si="50"/>
        <v>0</v>
      </c>
      <c r="H291" s="75">
        <f t="shared" si="50"/>
        <v>0</v>
      </c>
      <c r="I291" s="75">
        <f t="shared" si="50"/>
        <v>0</v>
      </c>
      <c r="J291" s="75">
        <f t="shared" si="50"/>
        <v>0</v>
      </c>
      <c r="K291" s="75">
        <f t="shared" si="50"/>
        <v>0</v>
      </c>
      <c r="L291" s="76">
        <f t="shared" si="50"/>
        <v>0</v>
      </c>
    </row>
    <row r="292" spans="3:12" ht="15.6" hidden="1">
      <c r="C292" s="39" t="str">
        <f t="shared" ref="C292:C342" si="51">IF(SUM(E292:L292)=0, "H", "")</f>
        <v>H</v>
      </c>
      <c r="D292" s="44" t="str">
        <f>Parameter!E$9</f>
        <v>Air 2</v>
      </c>
      <c r="E292" s="74">
        <f t="shared" si="50"/>
        <v>0</v>
      </c>
      <c r="F292" s="75">
        <f t="shared" si="50"/>
        <v>0</v>
      </c>
      <c r="G292" s="75">
        <f t="shared" si="50"/>
        <v>0</v>
      </c>
      <c r="H292" s="75">
        <f t="shared" si="50"/>
        <v>0</v>
      </c>
      <c r="I292" s="75">
        <f t="shared" si="50"/>
        <v>0</v>
      </c>
      <c r="J292" s="75">
        <f t="shared" si="50"/>
        <v>0</v>
      </c>
      <c r="K292" s="75">
        <f t="shared" si="50"/>
        <v>0</v>
      </c>
      <c r="L292" s="76">
        <f t="shared" si="50"/>
        <v>0</v>
      </c>
    </row>
    <row r="293" spans="3:12" ht="15.6" hidden="1">
      <c r="C293" s="39" t="str">
        <f t="shared" si="51"/>
        <v>H</v>
      </c>
      <c r="D293" s="45" t="str">
        <f>Parameter!E$10</f>
        <v>Air 3</v>
      </c>
      <c r="E293" s="74">
        <f t="shared" si="50"/>
        <v>0</v>
      </c>
      <c r="F293" s="75">
        <f t="shared" si="50"/>
        <v>0</v>
      </c>
      <c r="G293" s="75">
        <f t="shared" si="50"/>
        <v>0</v>
      </c>
      <c r="H293" s="75">
        <f t="shared" si="50"/>
        <v>0</v>
      </c>
      <c r="I293" s="75">
        <f t="shared" si="50"/>
        <v>0</v>
      </c>
      <c r="J293" s="75">
        <f t="shared" si="50"/>
        <v>0</v>
      </c>
      <c r="K293" s="75">
        <f t="shared" si="50"/>
        <v>0</v>
      </c>
      <c r="L293" s="76">
        <f t="shared" si="50"/>
        <v>0</v>
      </c>
    </row>
    <row r="294" spans="3:12" ht="15.6" hidden="1">
      <c r="C294" s="39" t="str">
        <f t="shared" si="51"/>
        <v>H</v>
      </c>
      <c r="D294" s="45" t="str">
        <f>Parameter!E$11</f>
        <v>Air 3s Pro</v>
      </c>
      <c r="E294" s="74">
        <f t="shared" si="50"/>
        <v>0</v>
      </c>
      <c r="F294" s="75">
        <f t="shared" si="50"/>
        <v>0</v>
      </c>
      <c r="G294" s="75">
        <f t="shared" si="50"/>
        <v>0</v>
      </c>
      <c r="H294" s="75">
        <f t="shared" si="50"/>
        <v>0</v>
      </c>
      <c r="I294" s="75">
        <f t="shared" si="50"/>
        <v>0</v>
      </c>
      <c r="J294" s="75">
        <f t="shared" si="50"/>
        <v>0</v>
      </c>
      <c r="K294" s="75">
        <f t="shared" si="50"/>
        <v>0</v>
      </c>
      <c r="L294" s="76">
        <f t="shared" si="50"/>
        <v>0</v>
      </c>
    </row>
    <row r="295" spans="3:12" ht="15.6" hidden="1">
      <c r="C295" s="39" t="str">
        <f t="shared" si="51"/>
        <v>H</v>
      </c>
      <c r="D295" s="45" t="str">
        <f>Parameter!E$12</f>
        <v>Air Glass</v>
      </c>
      <c r="E295" s="74">
        <f t="shared" si="50"/>
        <v>0</v>
      </c>
      <c r="F295" s="75">
        <f t="shared" si="50"/>
        <v>0</v>
      </c>
      <c r="G295" s="75">
        <f t="shared" si="50"/>
        <v>0</v>
      </c>
      <c r="H295" s="75">
        <f t="shared" si="50"/>
        <v>0</v>
      </c>
      <c r="I295" s="75">
        <f t="shared" si="50"/>
        <v>0</v>
      </c>
      <c r="J295" s="75">
        <f t="shared" si="50"/>
        <v>0</v>
      </c>
      <c r="K295" s="75">
        <f t="shared" si="50"/>
        <v>0</v>
      </c>
      <c r="L295" s="76">
        <f t="shared" si="50"/>
        <v>0</v>
      </c>
    </row>
    <row r="296" spans="3:12" ht="15.6" hidden="1">
      <c r="C296" s="39" t="str">
        <f t="shared" si="51"/>
        <v>H</v>
      </c>
      <c r="D296" s="45" t="str">
        <f>Parameter!E$13</f>
        <v>Binocular MicroLED</v>
      </c>
      <c r="E296" s="74">
        <f t="shared" si="50"/>
        <v>0</v>
      </c>
      <c r="F296" s="75">
        <f t="shared" si="50"/>
        <v>0</v>
      </c>
      <c r="G296" s="75">
        <f t="shared" si="50"/>
        <v>0</v>
      </c>
      <c r="H296" s="75">
        <f t="shared" si="50"/>
        <v>0</v>
      </c>
      <c r="I296" s="75">
        <f t="shared" si="50"/>
        <v>0</v>
      </c>
      <c r="J296" s="75">
        <f t="shared" si="50"/>
        <v>0</v>
      </c>
      <c r="K296" s="75">
        <f t="shared" si="50"/>
        <v>0</v>
      </c>
      <c r="L296" s="76">
        <f t="shared" si="50"/>
        <v>0</v>
      </c>
    </row>
    <row r="297" spans="3:12" ht="15.6" hidden="1">
      <c r="C297" s="39" t="str">
        <f t="shared" si="51"/>
        <v>H</v>
      </c>
      <c r="D297" s="45" t="str">
        <f>Parameter!E$14</f>
        <v>Blade</v>
      </c>
      <c r="E297" s="74">
        <f t="shared" si="50"/>
        <v>0</v>
      </c>
      <c r="F297" s="75">
        <f t="shared" si="50"/>
        <v>0</v>
      </c>
      <c r="G297" s="75">
        <f t="shared" si="50"/>
        <v>0</v>
      </c>
      <c r="H297" s="75">
        <f t="shared" si="50"/>
        <v>0</v>
      </c>
      <c r="I297" s="75">
        <f t="shared" si="50"/>
        <v>0</v>
      </c>
      <c r="J297" s="75">
        <f t="shared" si="50"/>
        <v>0</v>
      </c>
      <c r="K297" s="75">
        <f t="shared" si="50"/>
        <v>0</v>
      </c>
      <c r="L297" s="76">
        <f t="shared" si="50"/>
        <v>0</v>
      </c>
    </row>
    <row r="298" spans="3:12" ht="15.6" hidden="1">
      <c r="C298" s="39" t="str">
        <f t="shared" si="51"/>
        <v>H</v>
      </c>
      <c r="D298" s="45" t="str">
        <f>Parameter!E$15</f>
        <v>DLP glasses</v>
      </c>
      <c r="E298" s="74">
        <f t="shared" si="50"/>
        <v>0</v>
      </c>
      <c r="F298" s="75">
        <f t="shared" si="50"/>
        <v>0</v>
      </c>
      <c r="G298" s="75">
        <f t="shared" si="50"/>
        <v>0</v>
      </c>
      <c r="H298" s="75">
        <f t="shared" si="50"/>
        <v>0</v>
      </c>
      <c r="I298" s="75">
        <f t="shared" si="50"/>
        <v>0</v>
      </c>
      <c r="J298" s="75">
        <f t="shared" si="50"/>
        <v>0</v>
      </c>
      <c r="K298" s="75">
        <f t="shared" si="50"/>
        <v>0</v>
      </c>
      <c r="L298" s="76">
        <f t="shared" si="50"/>
        <v>0</v>
      </c>
    </row>
    <row r="299" spans="3:12" ht="15.6" hidden="1">
      <c r="C299" s="39" t="str">
        <f t="shared" si="51"/>
        <v>H</v>
      </c>
      <c r="D299" s="45" t="str">
        <f>Parameter!E$16</f>
        <v>G1</v>
      </c>
      <c r="E299" s="74">
        <f t="shared" si="50"/>
        <v>0</v>
      </c>
      <c r="F299" s="75">
        <f t="shared" si="50"/>
        <v>0</v>
      </c>
      <c r="G299" s="75">
        <f t="shared" si="50"/>
        <v>0</v>
      </c>
      <c r="H299" s="75">
        <f t="shared" si="50"/>
        <v>0</v>
      </c>
      <c r="I299" s="75">
        <f t="shared" si="50"/>
        <v>0</v>
      </c>
      <c r="J299" s="75">
        <f t="shared" si="50"/>
        <v>0</v>
      </c>
      <c r="K299" s="75">
        <f t="shared" si="50"/>
        <v>0</v>
      </c>
      <c r="L299" s="76">
        <f t="shared" si="50"/>
        <v>0</v>
      </c>
    </row>
    <row r="300" spans="3:12" ht="15.6" hidden="1">
      <c r="C300" s="39" t="str">
        <f t="shared" si="51"/>
        <v>H</v>
      </c>
      <c r="D300" s="45" t="str">
        <f>Parameter!E$17</f>
        <v>Glass</v>
      </c>
      <c r="E300" s="74">
        <f t="shared" si="50"/>
        <v>0</v>
      </c>
      <c r="F300" s="75">
        <f t="shared" si="50"/>
        <v>0</v>
      </c>
      <c r="G300" s="75">
        <f t="shared" si="50"/>
        <v>0</v>
      </c>
      <c r="H300" s="75">
        <f t="shared" si="50"/>
        <v>0</v>
      </c>
      <c r="I300" s="75">
        <f t="shared" si="50"/>
        <v>0</v>
      </c>
      <c r="J300" s="75">
        <f t="shared" si="50"/>
        <v>0</v>
      </c>
      <c r="K300" s="75">
        <f t="shared" si="50"/>
        <v>0</v>
      </c>
      <c r="L300" s="76">
        <f t="shared" si="50"/>
        <v>0</v>
      </c>
    </row>
    <row r="301" spans="3:12" ht="15.6" hidden="1">
      <c r="C301" s="39" t="str">
        <f t="shared" si="51"/>
        <v>H</v>
      </c>
      <c r="D301" s="45" t="str">
        <f>Parameter!E$18</f>
        <v>Glasses</v>
      </c>
      <c r="E301" s="74">
        <f t="shared" ref="E301:L310" si="52">SUMIF(ARVR_Y_PC_PR, "AR_"&amp;E$290&amp;"_"&amp;$D$289&amp;"_"&amp;$D301, PanelRev)</f>
        <v>0</v>
      </c>
      <c r="F301" s="75">
        <f t="shared" si="52"/>
        <v>0</v>
      </c>
      <c r="G301" s="75">
        <f t="shared" si="52"/>
        <v>0</v>
      </c>
      <c r="H301" s="75">
        <f t="shared" si="52"/>
        <v>0</v>
      </c>
      <c r="I301" s="75">
        <f t="shared" si="52"/>
        <v>0</v>
      </c>
      <c r="J301" s="75">
        <f t="shared" si="52"/>
        <v>0</v>
      </c>
      <c r="K301" s="75">
        <f t="shared" si="52"/>
        <v>0</v>
      </c>
      <c r="L301" s="76">
        <f t="shared" si="52"/>
        <v>0</v>
      </c>
    </row>
    <row r="302" spans="3:12" ht="15.6" hidden="1">
      <c r="C302" s="39" t="str">
        <f t="shared" si="51"/>
        <v>H</v>
      </c>
      <c r="D302" s="45" t="str">
        <f>Parameter!E$19</f>
        <v>Go</v>
      </c>
      <c r="E302" s="74">
        <f t="shared" si="52"/>
        <v>0</v>
      </c>
      <c r="F302" s="75">
        <f t="shared" si="52"/>
        <v>0</v>
      </c>
      <c r="G302" s="75">
        <f t="shared" si="52"/>
        <v>0</v>
      </c>
      <c r="H302" s="75">
        <f t="shared" si="52"/>
        <v>0</v>
      </c>
      <c r="I302" s="75">
        <f t="shared" si="52"/>
        <v>0</v>
      </c>
      <c r="J302" s="75">
        <f t="shared" si="52"/>
        <v>0</v>
      </c>
      <c r="K302" s="75">
        <f t="shared" si="52"/>
        <v>0</v>
      </c>
      <c r="L302" s="76">
        <f t="shared" si="52"/>
        <v>0</v>
      </c>
    </row>
    <row r="303" spans="3:12" ht="15.6" hidden="1">
      <c r="C303" s="39" t="str">
        <f t="shared" si="51"/>
        <v>H</v>
      </c>
      <c r="D303" s="45" t="str">
        <f>Parameter!E$20</f>
        <v>Go 2</v>
      </c>
      <c r="E303" s="74">
        <f t="shared" si="52"/>
        <v>0</v>
      </c>
      <c r="F303" s="75">
        <f t="shared" si="52"/>
        <v>0</v>
      </c>
      <c r="G303" s="75">
        <f t="shared" si="52"/>
        <v>0</v>
      </c>
      <c r="H303" s="75">
        <f t="shared" si="52"/>
        <v>0</v>
      </c>
      <c r="I303" s="75">
        <f t="shared" si="52"/>
        <v>0</v>
      </c>
      <c r="J303" s="75">
        <f t="shared" si="52"/>
        <v>0</v>
      </c>
      <c r="K303" s="75">
        <f t="shared" si="52"/>
        <v>0</v>
      </c>
      <c r="L303" s="76">
        <f t="shared" si="52"/>
        <v>0</v>
      </c>
    </row>
    <row r="304" spans="3:12" ht="15.6" hidden="1">
      <c r="C304" s="39" t="str">
        <f t="shared" si="51"/>
        <v>H</v>
      </c>
      <c r="D304" s="45" t="str">
        <f>Parameter!E$21</f>
        <v>HoloLens 2</v>
      </c>
      <c r="E304" s="74">
        <f t="shared" si="52"/>
        <v>0</v>
      </c>
      <c r="F304" s="75">
        <f t="shared" si="52"/>
        <v>0</v>
      </c>
      <c r="G304" s="75">
        <f t="shared" si="52"/>
        <v>0</v>
      </c>
      <c r="H304" s="75">
        <f t="shared" si="52"/>
        <v>0</v>
      </c>
      <c r="I304" s="75">
        <f t="shared" si="52"/>
        <v>0</v>
      </c>
      <c r="J304" s="75">
        <f t="shared" si="52"/>
        <v>0</v>
      </c>
      <c r="K304" s="75">
        <f t="shared" si="52"/>
        <v>0</v>
      </c>
      <c r="L304" s="76">
        <f t="shared" si="52"/>
        <v>0</v>
      </c>
    </row>
    <row r="305" spans="3:12" ht="15.6" hidden="1">
      <c r="C305" s="39" t="str">
        <f t="shared" si="51"/>
        <v>H</v>
      </c>
      <c r="D305" s="45" t="str">
        <f>Parameter!E$22</f>
        <v>INAIR 2</v>
      </c>
      <c r="E305" s="74">
        <f t="shared" si="52"/>
        <v>0</v>
      </c>
      <c r="F305" s="75">
        <f t="shared" si="52"/>
        <v>0</v>
      </c>
      <c r="G305" s="75">
        <f t="shared" si="52"/>
        <v>0</v>
      </c>
      <c r="H305" s="75">
        <f t="shared" si="52"/>
        <v>0</v>
      </c>
      <c r="I305" s="75">
        <f t="shared" si="52"/>
        <v>0</v>
      </c>
      <c r="J305" s="75">
        <f t="shared" si="52"/>
        <v>0</v>
      </c>
      <c r="K305" s="75">
        <f t="shared" si="52"/>
        <v>0</v>
      </c>
      <c r="L305" s="76">
        <f t="shared" si="52"/>
        <v>0</v>
      </c>
    </row>
    <row r="306" spans="3:12" ht="15.6" hidden="1">
      <c r="C306" s="39" t="str">
        <f t="shared" si="51"/>
        <v>H</v>
      </c>
      <c r="D306" s="45" t="str">
        <f>Parameter!E$23</f>
        <v>INAIR 2 Pro</v>
      </c>
      <c r="E306" s="74">
        <f t="shared" si="52"/>
        <v>0</v>
      </c>
      <c r="F306" s="75">
        <f t="shared" si="52"/>
        <v>0</v>
      </c>
      <c r="G306" s="75">
        <f t="shared" si="52"/>
        <v>0</v>
      </c>
      <c r="H306" s="75">
        <f t="shared" si="52"/>
        <v>0</v>
      </c>
      <c r="I306" s="75">
        <f t="shared" si="52"/>
        <v>0</v>
      </c>
      <c r="J306" s="75">
        <f t="shared" si="52"/>
        <v>0</v>
      </c>
      <c r="K306" s="75">
        <f t="shared" si="52"/>
        <v>0</v>
      </c>
      <c r="L306" s="76">
        <f t="shared" si="52"/>
        <v>0</v>
      </c>
    </row>
    <row r="307" spans="3:12" ht="15.6" hidden="1">
      <c r="C307" s="39" t="str">
        <f t="shared" si="51"/>
        <v>H</v>
      </c>
      <c r="D307" s="45" t="str">
        <f>Parameter!E$24</f>
        <v>LBS glasses</v>
      </c>
      <c r="E307" s="74">
        <f t="shared" si="52"/>
        <v>0</v>
      </c>
      <c r="F307" s="75">
        <f t="shared" si="52"/>
        <v>0</v>
      </c>
      <c r="G307" s="75">
        <f t="shared" si="52"/>
        <v>0</v>
      </c>
      <c r="H307" s="75">
        <f t="shared" si="52"/>
        <v>0</v>
      </c>
      <c r="I307" s="75">
        <f t="shared" si="52"/>
        <v>0</v>
      </c>
      <c r="J307" s="75">
        <f t="shared" si="52"/>
        <v>0</v>
      </c>
      <c r="K307" s="75">
        <f t="shared" si="52"/>
        <v>0</v>
      </c>
      <c r="L307" s="76">
        <f t="shared" si="52"/>
        <v>0</v>
      </c>
    </row>
    <row r="308" spans="3:12" ht="15.6">
      <c r="C308" s="39" t="str">
        <f t="shared" si="51"/>
        <v/>
      </c>
      <c r="D308" s="45" t="str">
        <f>Parameter!E$25</f>
        <v>LCoS glasses</v>
      </c>
      <c r="E308" s="74">
        <f t="shared" si="52"/>
        <v>0.73645694100000014</v>
      </c>
      <c r="F308" s="75">
        <f t="shared" si="52"/>
        <v>0.58327389727200007</v>
      </c>
      <c r="G308" s="75">
        <f t="shared" si="52"/>
        <v>0.21172842470973602</v>
      </c>
      <c r="H308" s="75">
        <f t="shared" si="52"/>
        <v>1.5244446579100992</v>
      </c>
      <c r="I308" s="75">
        <f t="shared" si="52"/>
        <v>8.017626122695928</v>
      </c>
      <c r="J308" s="75">
        <f t="shared" si="52"/>
        <v>7.9374498614689672</v>
      </c>
      <c r="K308" s="75">
        <f t="shared" si="52"/>
        <v>44.375013813765349</v>
      </c>
      <c r="L308" s="76">
        <f t="shared" si="52"/>
        <v>50.511999999999993</v>
      </c>
    </row>
    <row r="309" spans="3:12" ht="15.6" hidden="1">
      <c r="C309" s="39" t="str">
        <f t="shared" si="51"/>
        <v>H</v>
      </c>
      <c r="D309" s="45" t="str">
        <f>Parameter!E$26</f>
        <v>Lenovo Legion Glasses 2</v>
      </c>
      <c r="E309" s="74">
        <f t="shared" si="52"/>
        <v>0</v>
      </c>
      <c r="F309" s="75">
        <f t="shared" si="52"/>
        <v>0</v>
      </c>
      <c r="G309" s="75">
        <f t="shared" si="52"/>
        <v>0</v>
      </c>
      <c r="H309" s="75">
        <f t="shared" si="52"/>
        <v>0</v>
      </c>
      <c r="I309" s="75">
        <f t="shared" si="52"/>
        <v>0</v>
      </c>
      <c r="J309" s="75">
        <f t="shared" si="52"/>
        <v>0</v>
      </c>
      <c r="K309" s="75">
        <f t="shared" si="52"/>
        <v>0</v>
      </c>
      <c r="L309" s="76">
        <f t="shared" si="52"/>
        <v>0</v>
      </c>
    </row>
    <row r="310" spans="3:12" ht="15.6" hidden="1">
      <c r="C310" s="39" t="str">
        <f t="shared" si="51"/>
        <v>H</v>
      </c>
      <c r="D310" s="45" t="str">
        <f>Parameter!E$27</f>
        <v>Light</v>
      </c>
      <c r="E310" s="74">
        <f t="shared" si="52"/>
        <v>0</v>
      </c>
      <c r="F310" s="75">
        <f t="shared" si="52"/>
        <v>0</v>
      </c>
      <c r="G310" s="75">
        <f t="shared" si="52"/>
        <v>0</v>
      </c>
      <c r="H310" s="75">
        <f t="shared" si="52"/>
        <v>0</v>
      </c>
      <c r="I310" s="75">
        <f t="shared" si="52"/>
        <v>0</v>
      </c>
      <c r="J310" s="75">
        <f t="shared" si="52"/>
        <v>0</v>
      </c>
      <c r="K310" s="75">
        <f t="shared" si="52"/>
        <v>0</v>
      </c>
      <c r="L310" s="76">
        <f t="shared" si="52"/>
        <v>0</v>
      </c>
    </row>
    <row r="311" spans="3:12" ht="15.6" hidden="1">
      <c r="C311" s="39" t="str">
        <f t="shared" si="51"/>
        <v>H</v>
      </c>
      <c r="D311" s="45" t="str">
        <f>Parameter!E$28</f>
        <v>Max</v>
      </c>
      <c r="E311" s="74">
        <f t="shared" ref="E311:L320" si="53">SUMIF(ARVR_Y_PC_PR, "AR_"&amp;E$290&amp;"_"&amp;$D$289&amp;"_"&amp;$D311, PanelRev)</f>
        <v>0</v>
      </c>
      <c r="F311" s="75">
        <f t="shared" si="53"/>
        <v>0</v>
      </c>
      <c r="G311" s="75">
        <f t="shared" si="53"/>
        <v>0</v>
      </c>
      <c r="H311" s="75">
        <f t="shared" si="53"/>
        <v>0</v>
      </c>
      <c r="I311" s="75">
        <f t="shared" si="53"/>
        <v>0</v>
      </c>
      <c r="J311" s="75">
        <f t="shared" si="53"/>
        <v>0</v>
      </c>
      <c r="K311" s="75">
        <f t="shared" si="53"/>
        <v>0</v>
      </c>
      <c r="L311" s="76">
        <f t="shared" si="53"/>
        <v>0</v>
      </c>
    </row>
    <row r="312" spans="3:12" ht="15.6" hidden="1">
      <c r="C312" s="39" t="str">
        <f t="shared" si="51"/>
        <v>H</v>
      </c>
      <c r="D312" s="45" t="str">
        <f>Parameter!E$29</f>
        <v>Max 2</v>
      </c>
      <c r="E312" s="74">
        <f t="shared" si="53"/>
        <v>0</v>
      </c>
      <c r="F312" s="75">
        <f t="shared" si="53"/>
        <v>0</v>
      </c>
      <c r="G312" s="75">
        <f t="shared" si="53"/>
        <v>0</v>
      </c>
      <c r="H312" s="75">
        <f t="shared" si="53"/>
        <v>0</v>
      </c>
      <c r="I312" s="75">
        <f t="shared" si="53"/>
        <v>0</v>
      </c>
      <c r="J312" s="75">
        <f t="shared" si="53"/>
        <v>0</v>
      </c>
      <c r="K312" s="75">
        <f t="shared" si="53"/>
        <v>0</v>
      </c>
      <c r="L312" s="76">
        <f t="shared" si="53"/>
        <v>0</v>
      </c>
    </row>
    <row r="313" spans="3:12" ht="15.6" hidden="1">
      <c r="C313" s="39" t="str">
        <f t="shared" si="51"/>
        <v>H</v>
      </c>
      <c r="D313" s="45" t="str">
        <f>Parameter!E$30</f>
        <v>Meizu StarV Air 2</v>
      </c>
      <c r="E313" s="74">
        <f t="shared" si="53"/>
        <v>0</v>
      </c>
      <c r="F313" s="75">
        <f t="shared" si="53"/>
        <v>0</v>
      </c>
      <c r="G313" s="75">
        <f t="shared" si="53"/>
        <v>0</v>
      </c>
      <c r="H313" s="75">
        <f t="shared" si="53"/>
        <v>0</v>
      </c>
      <c r="I313" s="75">
        <f t="shared" si="53"/>
        <v>0</v>
      </c>
      <c r="J313" s="75">
        <f t="shared" si="53"/>
        <v>0</v>
      </c>
      <c r="K313" s="75">
        <f t="shared" si="53"/>
        <v>0</v>
      </c>
      <c r="L313" s="76">
        <f t="shared" si="53"/>
        <v>0</v>
      </c>
    </row>
    <row r="314" spans="3:12" ht="15.6" hidden="1">
      <c r="C314" s="39" t="str">
        <f t="shared" si="51"/>
        <v>H</v>
      </c>
      <c r="D314" s="45" t="str">
        <f>Parameter!E$31</f>
        <v>Meizu StarV View</v>
      </c>
      <c r="E314" s="74">
        <f t="shared" si="53"/>
        <v>0</v>
      </c>
      <c r="F314" s="75">
        <f t="shared" si="53"/>
        <v>0</v>
      </c>
      <c r="G314" s="75">
        <f t="shared" si="53"/>
        <v>0</v>
      </c>
      <c r="H314" s="75">
        <f t="shared" si="53"/>
        <v>0</v>
      </c>
      <c r="I314" s="75">
        <f t="shared" si="53"/>
        <v>0</v>
      </c>
      <c r="J314" s="75">
        <f t="shared" si="53"/>
        <v>0</v>
      </c>
      <c r="K314" s="75">
        <f t="shared" si="53"/>
        <v>0</v>
      </c>
      <c r="L314" s="76">
        <f t="shared" si="53"/>
        <v>0</v>
      </c>
    </row>
    <row r="315" spans="3:12" ht="15.6" hidden="1">
      <c r="C315" s="39" t="str">
        <f t="shared" si="51"/>
        <v>H</v>
      </c>
      <c r="D315" s="45" t="str">
        <f>Parameter!E$32</f>
        <v>MiRZA</v>
      </c>
      <c r="E315" s="74">
        <f t="shared" si="53"/>
        <v>0</v>
      </c>
      <c r="F315" s="75">
        <f t="shared" si="53"/>
        <v>0</v>
      </c>
      <c r="G315" s="75">
        <f t="shared" si="53"/>
        <v>0</v>
      </c>
      <c r="H315" s="75">
        <f t="shared" si="53"/>
        <v>0</v>
      </c>
      <c r="I315" s="75">
        <f t="shared" si="53"/>
        <v>0</v>
      </c>
      <c r="J315" s="75">
        <f t="shared" si="53"/>
        <v>0</v>
      </c>
      <c r="K315" s="75">
        <f t="shared" si="53"/>
        <v>0</v>
      </c>
      <c r="L315" s="76">
        <f t="shared" si="53"/>
        <v>0</v>
      </c>
    </row>
    <row r="316" spans="3:12" ht="16.2" thickBot="1">
      <c r="C316" s="39" t="str">
        <f t="shared" si="51"/>
        <v/>
      </c>
      <c r="D316" s="45" t="str">
        <f>Parameter!E$33</f>
        <v>ML 2</v>
      </c>
      <c r="E316" s="74">
        <f t="shared" si="53"/>
        <v>0.98194258800000001</v>
      </c>
      <c r="F316" s="75">
        <f t="shared" si="53"/>
        <v>0.35190858468743996</v>
      </c>
      <c r="G316" s="75">
        <f t="shared" si="53"/>
        <v>0</v>
      </c>
      <c r="H316" s="75">
        <f t="shared" si="53"/>
        <v>0</v>
      </c>
      <c r="I316" s="75">
        <f t="shared" si="53"/>
        <v>0</v>
      </c>
      <c r="J316" s="75">
        <f t="shared" si="53"/>
        <v>0</v>
      </c>
      <c r="K316" s="75">
        <f t="shared" si="53"/>
        <v>0</v>
      </c>
      <c r="L316" s="76">
        <f t="shared" si="53"/>
        <v>0</v>
      </c>
    </row>
    <row r="317" spans="3:12" ht="15.6" hidden="1">
      <c r="C317" s="39" t="str">
        <f t="shared" si="51"/>
        <v>H</v>
      </c>
      <c r="D317" s="45" t="str">
        <f>Parameter!E$34</f>
        <v>ML One</v>
      </c>
      <c r="E317" s="74">
        <f t="shared" si="53"/>
        <v>0</v>
      </c>
      <c r="F317" s="75">
        <f t="shared" si="53"/>
        <v>0</v>
      </c>
      <c r="G317" s="75">
        <f t="shared" si="53"/>
        <v>0</v>
      </c>
      <c r="H317" s="75">
        <f t="shared" si="53"/>
        <v>0</v>
      </c>
      <c r="I317" s="75">
        <f t="shared" si="53"/>
        <v>0</v>
      </c>
      <c r="J317" s="75">
        <f t="shared" si="53"/>
        <v>0</v>
      </c>
      <c r="K317" s="75">
        <f t="shared" si="53"/>
        <v>0</v>
      </c>
      <c r="L317" s="76">
        <f t="shared" si="53"/>
        <v>0</v>
      </c>
    </row>
    <row r="318" spans="3:12" ht="15.6" hidden="1">
      <c r="C318" s="39" t="str">
        <f t="shared" si="51"/>
        <v>H</v>
      </c>
      <c r="D318" s="45" t="str">
        <f>Parameter!E$35</f>
        <v>Monocular LCoS glasses</v>
      </c>
      <c r="E318" s="74">
        <f t="shared" si="53"/>
        <v>0</v>
      </c>
      <c r="F318" s="75">
        <f t="shared" si="53"/>
        <v>0</v>
      </c>
      <c r="G318" s="75">
        <f t="shared" si="53"/>
        <v>0</v>
      </c>
      <c r="H318" s="75">
        <f t="shared" si="53"/>
        <v>0</v>
      </c>
      <c r="I318" s="75">
        <f t="shared" si="53"/>
        <v>0</v>
      </c>
      <c r="J318" s="75">
        <f t="shared" si="53"/>
        <v>0</v>
      </c>
      <c r="K318" s="75">
        <f t="shared" si="53"/>
        <v>0</v>
      </c>
      <c r="L318" s="76">
        <f t="shared" si="53"/>
        <v>0</v>
      </c>
    </row>
    <row r="319" spans="3:12" ht="15.6" hidden="1">
      <c r="C319" s="39" t="str">
        <f t="shared" si="51"/>
        <v>H</v>
      </c>
      <c r="D319" s="45" t="str">
        <f>Parameter!E$36</f>
        <v>Monocular MicroLED</v>
      </c>
      <c r="E319" s="74">
        <f t="shared" si="53"/>
        <v>0</v>
      </c>
      <c r="F319" s="75">
        <f t="shared" si="53"/>
        <v>0</v>
      </c>
      <c r="G319" s="75">
        <f t="shared" si="53"/>
        <v>0</v>
      </c>
      <c r="H319" s="75">
        <f t="shared" si="53"/>
        <v>0</v>
      </c>
      <c r="I319" s="75">
        <f t="shared" si="53"/>
        <v>0</v>
      </c>
      <c r="J319" s="75">
        <f t="shared" si="53"/>
        <v>0</v>
      </c>
      <c r="K319" s="75">
        <f t="shared" si="53"/>
        <v>0</v>
      </c>
      <c r="L319" s="76">
        <f t="shared" si="53"/>
        <v>0</v>
      </c>
    </row>
    <row r="320" spans="3:12" ht="15.6" hidden="1">
      <c r="C320" s="39" t="str">
        <f t="shared" si="51"/>
        <v>H</v>
      </c>
      <c r="D320" s="45" t="str">
        <f>Parameter!E$37</f>
        <v>Moverio</v>
      </c>
      <c r="E320" s="74">
        <f t="shared" si="53"/>
        <v>0</v>
      </c>
      <c r="F320" s="75">
        <f t="shared" si="53"/>
        <v>0</v>
      </c>
      <c r="G320" s="75">
        <f t="shared" si="53"/>
        <v>0</v>
      </c>
      <c r="H320" s="75">
        <f t="shared" si="53"/>
        <v>0</v>
      </c>
      <c r="I320" s="75">
        <f t="shared" si="53"/>
        <v>0</v>
      </c>
      <c r="J320" s="75">
        <f t="shared" si="53"/>
        <v>0</v>
      </c>
      <c r="K320" s="75">
        <f t="shared" si="53"/>
        <v>0</v>
      </c>
      <c r="L320" s="76">
        <f t="shared" si="53"/>
        <v>0</v>
      </c>
    </row>
    <row r="321" spans="3:12" ht="15.6" hidden="1">
      <c r="C321" s="39" t="str">
        <f t="shared" si="51"/>
        <v>H</v>
      </c>
      <c r="D321" s="45" t="str">
        <f>Parameter!E$38</f>
        <v>MYVU</v>
      </c>
      <c r="E321" s="74">
        <f t="shared" ref="E321:L330" si="54">SUMIF(ARVR_Y_PC_PR, "AR_"&amp;E$290&amp;"_"&amp;$D$289&amp;"_"&amp;$D321, PanelRev)</f>
        <v>0</v>
      </c>
      <c r="F321" s="75">
        <f t="shared" si="54"/>
        <v>0</v>
      </c>
      <c r="G321" s="75">
        <f t="shared" si="54"/>
        <v>0</v>
      </c>
      <c r="H321" s="75">
        <f t="shared" si="54"/>
        <v>0</v>
      </c>
      <c r="I321" s="75">
        <f t="shared" si="54"/>
        <v>0</v>
      </c>
      <c r="J321" s="75">
        <f t="shared" si="54"/>
        <v>0</v>
      </c>
      <c r="K321" s="75">
        <f t="shared" si="54"/>
        <v>0</v>
      </c>
      <c r="L321" s="76">
        <f t="shared" si="54"/>
        <v>0</v>
      </c>
    </row>
    <row r="322" spans="3:12" ht="15.6" hidden="1">
      <c r="C322" s="39" t="str">
        <f t="shared" si="51"/>
        <v>H</v>
      </c>
      <c r="D322" s="45" t="str">
        <f>Parameter!E$39</f>
        <v>NXTWear</v>
      </c>
      <c r="E322" s="74">
        <f t="shared" si="54"/>
        <v>0</v>
      </c>
      <c r="F322" s="75">
        <f t="shared" si="54"/>
        <v>0</v>
      </c>
      <c r="G322" s="75">
        <f t="shared" si="54"/>
        <v>0</v>
      </c>
      <c r="H322" s="75">
        <f t="shared" si="54"/>
        <v>0</v>
      </c>
      <c r="I322" s="75">
        <f t="shared" si="54"/>
        <v>0</v>
      </c>
      <c r="J322" s="75">
        <f t="shared" si="54"/>
        <v>0</v>
      </c>
      <c r="K322" s="75">
        <f t="shared" si="54"/>
        <v>0</v>
      </c>
      <c r="L322" s="76">
        <f t="shared" si="54"/>
        <v>0</v>
      </c>
    </row>
    <row r="323" spans="3:12" ht="15.6" hidden="1">
      <c r="C323" s="39" t="str">
        <f t="shared" si="51"/>
        <v>H</v>
      </c>
      <c r="D323" s="45" t="str">
        <f>Parameter!E$40</f>
        <v>One</v>
      </c>
      <c r="E323" s="74">
        <f t="shared" si="54"/>
        <v>0</v>
      </c>
      <c r="F323" s="75">
        <f t="shared" si="54"/>
        <v>0</v>
      </c>
      <c r="G323" s="75">
        <f t="shared" si="54"/>
        <v>0</v>
      </c>
      <c r="H323" s="75">
        <f t="shared" si="54"/>
        <v>0</v>
      </c>
      <c r="I323" s="75">
        <f t="shared" si="54"/>
        <v>0</v>
      </c>
      <c r="J323" s="75">
        <f t="shared" si="54"/>
        <v>0</v>
      </c>
      <c r="K323" s="75">
        <f t="shared" si="54"/>
        <v>0</v>
      </c>
      <c r="L323" s="76">
        <f t="shared" si="54"/>
        <v>0</v>
      </c>
    </row>
    <row r="324" spans="3:12" ht="15.6" hidden="1">
      <c r="C324" s="39" t="str">
        <f t="shared" si="51"/>
        <v>H</v>
      </c>
      <c r="D324" s="45" t="str">
        <f>Parameter!E$41</f>
        <v>One Pro</v>
      </c>
      <c r="E324" s="74">
        <f t="shared" si="54"/>
        <v>0</v>
      </c>
      <c r="F324" s="75">
        <f t="shared" si="54"/>
        <v>0</v>
      </c>
      <c r="G324" s="75">
        <f t="shared" si="54"/>
        <v>0</v>
      </c>
      <c r="H324" s="75">
        <f t="shared" si="54"/>
        <v>0</v>
      </c>
      <c r="I324" s="75">
        <f t="shared" si="54"/>
        <v>0</v>
      </c>
      <c r="J324" s="75">
        <f t="shared" si="54"/>
        <v>0</v>
      </c>
      <c r="K324" s="75">
        <f t="shared" si="54"/>
        <v>0</v>
      </c>
      <c r="L324" s="76">
        <f t="shared" si="54"/>
        <v>0</v>
      </c>
    </row>
    <row r="325" spans="3:12" ht="15.6" hidden="1">
      <c r="C325" s="39" t="str">
        <f t="shared" si="51"/>
        <v>H</v>
      </c>
      <c r="D325" s="45" t="str">
        <f>Parameter!E$42</f>
        <v>Quark AI</v>
      </c>
      <c r="E325" s="74">
        <f t="shared" si="54"/>
        <v>0</v>
      </c>
      <c r="F325" s="75">
        <f t="shared" si="54"/>
        <v>0</v>
      </c>
      <c r="G325" s="75">
        <f t="shared" si="54"/>
        <v>0</v>
      </c>
      <c r="H325" s="75">
        <f t="shared" si="54"/>
        <v>0</v>
      </c>
      <c r="I325" s="75">
        <f t="shared" si="54"/>
        <v>0</v>
      </c>
      <c r="J325" s="75">
        <f t="shared" si="54"/>
        <v>0</v>
      </c>
      <c r="K325" s="75">
        <f t="shared" si="54"/>
        <v>0</v>
      </c>
      <c r="L325" s="76">
        <f t="shared" si="54"/>
        <v>0</v>
      </c>
    </row>
    <row r="326" spans="3:12" ht="15.6" hidden="1">
      <c r="C326" s="39" t="str">
        <f t="shared" si="51"/>
        <v>H</v>
      </c>
      <c r="D326" s="45" t="str">
        <f>Parameter!E$43</f>
        <v>Ray-Ban Meta Display</v>
      </c>
      <c r="E326" s="74">
        <f t="shared" si="54"/>
        <v>0</v>
      </c>
      <c r="F326" s="75">
        <f t="shared" si="54"/>
        <v>0</v>
      </c>
      <c r="G326" s="75">
        <f t="shared" si="54"/>
        <v>0</v>
      </c>
      <c r="H326" s="75">
        <f t="shared" si="54"/>
        <v>0</v>
      </c>
      <c r="I326" s="75">
        <f t="shared" si="54"/>
        <v>0</v>
      </c>
      <c r="J326" s="75">
        <f t="shared" si="54"/>
        <v>0</v>
      </c>
      <c r="K326" s="75">
        <f t="shared" si="54"/>
        <v>0</v>
      </c>
      <c r="L326" s="76">
        <f t="shared" si="54"/>
        <v>0</v>
      </c>
    </row>
    <row r="327" spans="3:12" ht="15.6" hidden="1">
      <c r="C327" s="39" t="str">
        <f t="shared" si="51"/>
        <v>H</v>
      </c>
      <c r="D327" s="45" t="str">
        <f>Parameter!E$44</f>
        <v>Shield</v>
      </c>
      <c r="E327" s="74">
        <f t="shared" si="54"/>
        <v>0</v>
      </c>
      <c r="F327" s="75">
        <f t="shared" si="54"/>
        <v>0</v>
      </c>
      <c r="G327" s="75">
        <f t="shared" si="54"/>
        <v>0</v>
      </c>
      <c r="H327" s="75">
        <f t="shared" si="54"/>
        <v>0</v>
      </c>
      <c r="I327" s="75">
        <f t="shared" si="54"/>
        <v>0</v>
      </c>
      <c r="J327" s="75">
        <f t="shared" si="54"/>
        <v>0</v>
      </c>
      <c r="K327" s="75">
        <f t="shared" si="54"/>
        <v>0</v>
      </c>
      <c r="L327" s="76">
        <f t="shared" si="54"/>
        <v>0</v>
      </c>
    </row>
    <row r="328" spans="3:12" ht="15.6" hidden="1">
      <c r="C328" s="39" t="str">
        <f t="shared" si="51"/>
        <v>H</v>
      </c>
      <c r="D328" s="45" t="str">
        <f>Parameter!E$45</f>
        <v>SiOLED glasses</v>
      </c>
      <c r="E328" s="74">
        <f t="shared" si="54"/>
        <v>0</v>
      </c>
      <c r="F328" s="75">
        <f t="shared" si="54"/>
        <v>0</v>
      </c>
      <c r="G328" s="75">
        <f t="shared" si="54"/>
        <v>0</v>
      </c>
      <c r="H328" s="75">
        <f t="shared" si="54"/>
        <v>0</v>
      </c>
      <c r="I328" s="75">
        <f t="shared" si="54"/>
        <v>0</v>
      </c>
      <c r="J328" s="75">
        <f t="shared" si="54"/>
        <v>0</v>
      </c>
      <c r="K328" s="75">
        <f t="shared" si="54"/>
        <v>0</v>
      </c>
      <c r="L328" s="76">
        <f t="shared" si="54"/>
        <v>0</v>
      </c>
    </row>
    <row r="329" spans="3:12" ht="15.6" hidden="1">
      <c r="C329" s="39" t="str">
        <f t="shared" si="51"/>
        <v>H</v>
      </c>
      <c r="D329" s="45" t="str">
        <f>Parameter!E$46</f>
        <v>T1</v>
      </c>
      <c r="E329" s="74">
        <f t="shared" si="54"/>
        <v>0</v>
      </c>
      <c r="F329" s="75">
        <f t="shared" si="54"/>
        <v>0</v>
      </c>
      <c r="G329" s="75">
        <f t="shared" si="54"/>
        <v>0</v>
      </c>
      <c r="H329" s="75">
        <f t="shared" si="54"/>
        <v>0</v>
      </c>
      <c r="I329" s="75">
        <f t="shared" si="54"/>
        <v>0</v>
      </c>
      <c r="J329" s="75">
        <f t="shared" si="54"/>
        <v>0</v>
      </c>
      <c r="K329" s="75">
        <f t="shared" si="54"/>
        <v>0</v>
      </c>
      <c r="L329" s="76">
        <f t="shared" si="54"/>
        <v>0</v>
      </c>
    </row>
    <row r="330" spans="3:12" ht="15.6" hidden="1">
      <c r="C330" s="39" t="str">
        <f t="shared" si="51"/>
        <v>H</v>
      </c>
      <c r="D330" s="45" t="str">
        <f>Parameter!E$47</f>
        <v>ThinkReality A3</v>
      </c>
      <c r="E330" s="74">
        <f t="shared" si="54"/>
        <v>0</v>
      </c>
      <c r="F330" s="75">
        <f t="shared" si="54"/>
        <v>0</v>
      </c>
      <c r="G330" s="75">
        <f t="shared" si="54"/>
        <v>0</v>
      </c>
      <c r="H330" s="75">
        <f t="shared" si="54"/>
        <v>0</v>
      </c>
      <c r="I330" s="75">
        <f t="shared" si="54"/>
        <v>0</v>
      </c>
      <c r="J330" s="75">
        <f t="shared" si="54"/>
        <v>0</v>
      </c>
      <c r="K330" s="75">
        <f t="shared" si="54"/>
        <v>0</v>
      </c>
      <c r="L330" s="76">
        <f t="shared" si="54"/>
        <v>0</v>
      </c>
    </row>
    <row r="331" spans="3:12" ht="15.6" hidden="1">
      <c r="C331" s="39" t="str">
        <f t="shared" si="51"/>
        <v>H</v>
      </c>
      <c r="D331" s="45" t="str">
        <f>Parameter!E$48</f>
        <v>Viture Pro</v>
      </c>
      <c r="E331" s="74">
        <f t="shared" ref="E331:L340" si="55">SUMIF(ARVR_Y_PC_PR, "AR_"&amp;E$290&amp;"_"&amp;$D$289&amp;"_"&amp;$D331, PanelRev)</f>
        <v>0</v>
      </c>
      <c r="F331" s="75">
        <f t="shared" si="55"/>
        <v>0</v>
      </c>
      <c r="G331" s="75">
        <f t="shared" si="55"/>
        <v>0</v>
      </c>
      <c r="H331" s="75">
        <f t="shared" si="55"/>
        <v>0</v>
      </c>
      <c r="I331" s="75">
        <f t="shared" si="55"/>
        <v>0</v>
      </c>
      <c r="J331" s="75">
        <f t="shared" si="55"/>
        <v>0</v>
      </c>
      <c r="K331" s="75">
        <f t="shared" si="55"/>
        <v>0</v>
      </c>
      <c r="L331" s="76">
        <f t="shared" si="55"/>
        <v>0</v>
      </c>
    </row>
    <row r="332" spans="3:12" ht="15.6" hidden="1">
      <c r="C332" s="39" t="str">
        <f t="shared" si="51"/>
        <v>H</v>
      </c>
      <c r="D332" s="45" t="str">
        <f>Parameter!E$49</f>
        <v>X3 Pro</v>
      </c>
      <c r="E332" s="74">
        <f t="shared" si="55"/>
        <v>0</v>
      </c>
      <c r="F332" s="75">
        <f t="shared" si="55"/>
        <v>0</v>
      </c>
      <c r="G332" s="75">
        <f t="shared" si="55"/>
        <v>0</v>
      </c>
      <c r="H332" s="75">
        <f t="shared" si="55"/>
        <v>0</v>
      </c>
      <c r="I332" s="75">
        <f t="shared" si="55"/>
        <v>0</v>
      </c>
      <c r="J332" s="75">
        <f t="shared" si="55"/>
        <v>0</v>
      </c>
      <c r="K332" s="75">
        <f t="shared" si="55"/>
        <v>0</v>
      </c>
      <c r="L332" s="76">
        <f t="shared" si="55"/>
        <v>0</v>
      </c>
    </row>
    <row r="333" spans="3:12" ht="15.6" hidden="1">
      <c r="C333" s="39" t="str">
        <f t="shared" si="51"/>
        <v>H</v>
      </c>
      <c r="D333" s="45" t="str">
        <f>Parameter!E$50</f>
        <v>Z100</v>
      </c>
      <c r="E333" s="74">
        <f t="shared" si="55"/>
        <v>0</v>
      </c>
      <c r="F333" s="75">
        <f t="shared" si="55"/>
        <v>0</v>
      </c>
      <c r="G333" s="75">
        <f t="shared" si="55"/>
        <v>0</v>
      </c>
      <c r="H333" s="75">
        <f t="shared" si="55"/>
        <v>0</v>
      </c>
      <c r="I333" s="75">
        <f t="shared" si="55"/>
        <v>0</v>
      </c>
      <c r="J333" s="75">
        <f t="shared" si="55"/>
        <v>0</v>
      </c>
      <c r="K333" s="75">
        <f t="shared" si="55"/>
        <v>0</v>
      </c>
      <c r="L333" s="76">
        <f t="shared" si="55"/>
        <v>0</v>
      </c>
    </row>
    <row r="334" spans="3:12" ht="15.6" hidden="1">
      <c r="C334" s="39" t="str">
        <f t="shared" si="51"/>
        <v>H</v>
      </c>
      <c r="D334" s="45">
        <f>Parameter!E$51</f>
        <v>0</v>
      </c>
      <c r="E334" s="74">
        <f t="shared" si="55"/>
        <v>0</v>
      </c>
      <c r="F334" s="75">
        <f t="shared" si="55"/>
        <v>0</v>
      </c>
      <c r="G334" s="75">
        <f t="shared" si="55"/>
        <v>0</v>
      </c>
      <c r="H334" s="75">
        <f t="shared" si="55"/>
        <v>0</v>
      </c>
      <c r="I334" s="75">
        <f t="shared" si="55"/>
        <v>0</v>
      </c>
      <c r="J334" s="75">
        <f t="shared" si="55"/>
        <v>0</v>
      </c>
      <c r="K334" s="75">
        <f t="shared" si="55"/>
        <v>0</v>
      </c>
      <c r="L334" s="76">
        <f t="shared" si="55"/>
        <v>0</v>
      </c>
    </row>
    <row r="335" spans="3:12" ht="15.6" hidden="1">
      <c r="C335" s="39" t="str">
        <f t="shared" si="51"/>
        <v>H</v>
      </c>
      <c r="D335" s="45">
        <f>Parameter!E$52</f>
        <v>0</v>
      </c>
      <c r="E335" s="74">
        <f t="shared" si="55"/>
        <v>0</v>
      </c>
      <c r="F335" s="75">
        <f t="shared" si="55"/>
        <v>0</v>
      </c>
      <c r="G335" s="75">
        <f t="shared" si="55"/>
        <v>0</v>
      </c>
      <c r="H335" s="75">
        <f t="shared" si="55"/>
        <v>0</v>
      </c>
      <c r="I335" s="75">
        <f t="shared" si="55"/>
        <v>0</v>
      </c>
      <c r="J335" s="75">
        <f t="shared" si="55"/>
        <v>0</v>
      </c>
      <c r="K335" s="75">
        <f t="shared" si="55"/>
        <v>0</v>
      </c>
      <c r="L335" s="76">
        <f t="shared" si="55"/>
        <v>0</v>
      </c>
    </row>
    <row r="336" spans="3:12" ht="15.6" hidden="1">
      <c r="C336" s="39" t="str">
        <f t="shared" si="51"/>
        <v>H</v>
      </c>
      <c r="D336" s="45">
        <f>Parameter!E$53</f>
        <v>0</v>
      </c>
      <c r="E336" s="74">
        <f t="shared" si="55"/>
        <v>0</v>
      </c>
      <c r="F336" s="75">
        <f t="shared" si="55"/>
        <v>0</v>
      </c>
      <c r="G336" s="75">
        <f t="shared" si="55"/>
        <v>0</v>
      </c>
      <c r="H336" s="75">
        <f t="shared" si="55"/>
        <v>0</v>
      </c>
      <c r="I336" s="75">
        <f t="shared" si="55"/>
        <v>0</v>
      </c>
      <c r="J336" s="75">
        <f t="shared" si="55"/>
        <v>0</v>
      </c>
      <c r="K336" s="75">
        <f t="shared" si="55"/>
        <v>0</v>
      </c>
      <c r="L336" s="76">
        <f t="shared" si="55"/>
        <v>0</v>
      </c>
    </row>
    <row r="337" spans="3:12" ht="15.6" hidden="1">
      <c r="C337" s="39" t="str">
        <f t="shared" si="51"/>
        <v>H</v>
      </c>
      <c r="D337" s="45">
        <f>Parameter!E$54</f>
        <v>0</v>
      </c>
      <c r="E337" s="74">
        <f t="shared" si="55"/>
        <v>0</v>
      </c>
      <c r="F337" s="75">
        <f t="shared" si="55"/>
        <v>0</v>
      </c>
      <c r="G337" s="75">
        <f t="shared" si="55"/>
        <v>0</v>
      </c>
      <c r="H337" s="75">
        <f t="shared" si="55"/>
        <v>0</v>
      </c>
      <c r="I337" s="75">
        <f t="shared" si="55"/>
        <v>0</v>
      </c>
      <c r="J337" s="75">
        <f t="shared" si="55"/>
        <v>0</v>
      </c>
      <c r="K337" s="75">
        <f t="shared" si="55"/>
        <v>0</v>
      </c>
      <c r="L337" s="76">
        <f t="shared" si="55"/>
        <v>0</v>
      </c>
    </row>
    <row r="338" spans="3:12" ht="15.6" hidden="1">
      <c r="C338" s="39" t="str">
        <f t="shared" si="51"/>
        <v>H</v>
      </c>
      <c r="D338" s="45">
        <f>Parameter!E$55</f>
        <v>0</v>
      </c>
      <c r="E338" s="74">
        <f t="shared" si="55"/>
        <v>0</v>
      </c>
      <c r="F338" s="75">
        <f t="shared" si="55"/>
        <v>0</v>
      </c>
      <c r="G338" s="75">
        <f t="shared" si="55"/>
        <v>0</v>
      </c>
      <c r="H338" s="75">
        <f t="shared" si="55"/>
        <v>0</v>
      </c>
      <c r="I338" s="75">
        <f t="shared" si="55"/>
        <v>0</v>
      </c>
      <c r="J338" s="75">
        <f t="shared" si="55"/>
        <v>0</v>
      </c>
      <c r="K338" s="75">
        <f t="shared" si="55"/>
        <v>0</v>
      </c>
      <c r="L338" s="76">
        <f t="shared" si="55"/>
        <v>0</v>
      </c>
    </row>
    <row r="339" spans="3:12" ht="15.6" hidden="1">
      <c r="C339" s="39" t="str">
        <f t="shared" si="51"/>
        <v>H</v>
      </c>
      <c r="D339" s="45">
        <f>Parameter!E$56</f>
        <v>0</v>
      </c>
      <c r="E339" s="74">
        <f t="shared" si="55"/>
        <v>0</v>
      </c>
      <c r="F339" s="75">
        <f t="shared" si="55"/>
        <v>0</v>
      </c>
      <c r="G339" s="75">
        <f t="shared" si="55"/>
        <v>0</v>
      </c>
      <c r="H339" s="75">
        <f t="shared" si="55"/>
        <v>0</v>
      </c>
      <c r="I339" s="75">
        <f t="shared" si="55"/>
        <v>0</v>
      </c>
      <c r="J339" s="75">
        <f t="shared" si="55"/>
        <v>0</v>
      </c>
      <c r="K339" s="75">
        <f t="shared" si="55"/>
        <v>0</v>
      </c>
      <c r="L339" s="76">
        <f t="shared" si="55"/>
        <v>0</v>
      </c>
    </row>
    <row r="340" spans="3:12" ht="16.2" hidden="1" thickBot="1">
      <c r="C340" s="39" t="str">
        <f t="shared" si="51"/>
        <v>H</v>
      </c>
      <c r="D340" s="53" t="str">
        <f>Parameter!E$57</f>
        <v>ALL</v>
      </c>
      <c r="E340" s="77">
        <f t="shared" si="55"/>
        <v>0</v>
      </c>
      <c r="F340" s="78">
        <f t="shared" si="55"/>
        <v>0</v>
      </c>
      <c r="G340" s="78">
        <f t="shared" si="55"/>
        <v>0</v>
      </c>
      <c r="H340" s="78">
        <f t="shared" si="55"/>
        <v>0</v>
      </c>
      <c r="I340" s="78">
        <f t="shared" si="55"/>
        <v>0</v>
      </c>
      <c r="J340" s="78">
        <f t="shared" si="55"/>
        <v>0</v>
      </c>
      <c r="K340" s="78">
        <f t="shared" si="55"/>
        <v>0</v>
      </c>
      <c r="L340" s="79">
        <f t="shared" si="55"/>
        <v>0</v>
      </c>
    </row>
    <row r="341" spans="3:12" ht="15.6">
      <c r="C341" s="39" t="str">
        <f t="shared" si="51"/>
        <v/>
      </c>
      <c r="D341" s="54" t="s">
        <v>87</v>
      </c>
      <c r="E341" s="80">
        <f>SUM(E291:E340)</f>
        <v>1.718399529</v>
      </c>
      <c r="F341" s="81">
        <f t="shared" ref="F341:L341" si="56">SUM(F291:F340)</f>
        <v>0.93518248195944009</v>
      </c>
      <c r="G341" s="81">
        <f t="shared" si="56"/>
        <v>0.21172842470973602</v>
      </c>
      <c r="H341" s="81">
        <f t="shared" si="56"/>
        <v>1.5244446579100992</v>
      </c>
      <c r="I341" s="81">
        <f t="shared" si="56"/>
        <v>8.017626122695928</v>
      </c>
      <c r="J341" s="81">
        <f t="shared" si="56"/>
        <v>7.9374498614689672</v>
      </c>
      <c r="K341" s="81">
        <f t="shared" si="56"/>
        <v>44.375013813765349</v>
      </c>
      <c r="L341" s="82">
        <f t="shared" si="56"/>
        <v>50.511999999999993</v>
      </c>
    </row>
    <row r="342" spans="3:12" ht="16.2" thickBot="1">
      <c r="C342" s="39" t="str">
        <f t="shared" si="51"/>
        <v/>
      </c>
      <c r="D342" s="46" t="s">
        <v>88</v>
      </c>
      <c r="E342" s="47"/>
      <c r="F342" s="50">
        <f t="shared" ref="F342:G342" si="57">IF(E341*F341=0, "", F341/E341-1)</f>
        <v>-0.45578285714285705</v>
      </c>
      <c r="G342" s="50">
        <f t="shared" si="57"/>
        <v>-0.77359667359667361</v>
      </c>
      <c r="H342" s="50">
        <f>IF(G341*H341=0, "", H341/G341-1)</f>
        <v>6.1999999999999993</v>
      </c>
      <c r="I342" s="50">
        <f t="shared" ref="I342:L342" si="58">IF(H341*I341=0, "", I341/H341-1)</f>
        <v>4.2593750000000004</v>
      </c>
      <c r="J342" s="50">
        <f t="shared" si="58"/>
        <v>-1.0000000000000231E-2</v>
      </c>
      <c r="K342" s="50">
        <f t="shared" si="58"/>
        <v>4.5905882352941196</v>
      </c>
      <c r="L342" s="51">
        <f t="shared" si="58"/>
        <v>0.13829823720147028</v>
      </c>
    </row>
    <row r="343" spans="3:12">
      <c r="C343"/>
    </row>
    <row r="344" spans="3:12" ht="14.4" thickBot="1">
      <c r="C344"/>
    </row>
    <row r="345" spans="3:12" ht="15" thickBot="1">
      <c r="C345"/>
      <c r="D345" s="52" t="str">
        <f>Parameter!I14</f>
        <v>2x MicroLED</v>
      </c>
    </row>
    <row r="346" spans="3:12" ht="16.2" thickBot="1">
      <c r="C346"/>
      <c r="D346" s="40" t="s">
        <v>85</v>
      </c>
      <c r="E346" s="41" t="str">
        <f>E10</f>
        <v>2022</v>
      </c>
      <c r="F346" s="42" t="str">
        <f t="shared" ref="F346:L346" si="59">F10</f>
        <v>2023</v>
      </c>
      <c r="G346" s="42" t="str">
        <f t="shared" si="59"/>
        <v>2024</v>
      </c>
      <c r="H346" s="42">
        <f t="shared" si="59"/>
        <v>2025</v>
      </c>
      <c r="I346" s="42" t="str">
        <f t="shared" si="59"/>
        <v>2026</v>
      </c>
      <c r="J346" s="42" t="str">
        <f t="shared" si="59"/>
        <v>2027</v>
      </c>
      <c r="K346" s="42" t="str">
        <f t="shared" si="59"/>
        <v>2028</v>
      </c>
      <c r="L346" s="43" t="str">
        <f t="shared" si="59"/>
        <v>2029</v>
      </c>
    </row>
    <row r="347" spans="3:12" ht="15.6" hidden="1">
      <c r="C347" s="39" t="str">
        <f>IF(SUM(E347:L347)=0, "H", "")</f>
        <v>H</v>
      </c>
      <c r="D347" s="44" t="str">
        <f>Parameter!E$8</f>
        <v>Air</v>
      </c>
      <c r="E347" s="74">
        <f t="shared" ref="E347:L356" si="60">SUMIF(ARVR_Y_PC_PR, "AR_"&amp;E$346&amp;"_"&amp;$D$345&amp;"_"&amp;$D347, PanelRev)</f>
        <v>0</v>
      </c>
      <c r="F347" s="75">
        <f t="shared" si="60"/>
        <v>0</v>
      </c>
      <c r="G347" s="75">
        <f t="shared" si="60"/>
        <v>0</v>
      </c>
      <c r="H347" s="75">
        <f t="shared" si="60"/>
        <v>0</v>
      </c>
      <c r="I347" s="75">
        <f t="shared" si="60"/>
        <v>0</v>
      </c>
      <c r="J347" s="75">
        <f t="shared" si="60"/>
        <v>0</v>
      </c>
      <c r="K347" s="75">
        <f t="shared" si="60"/>
        <v>0</v>
      </c>
      <c r="L347" s="76">
        <f t="shared" si="60"/>
        <v>0</v>
      </c>
    </row>
    <row r="348" spans="3:12" ht="15.6" hidden="1">
      <c r="C348" s="39" t="str">
        <f t="shared" ref="C348:C411" si="61">IF(SUM(E348:L348)=0, "H", "")</f>
        <v>H</v>
      </c>
      <c r="D348" s="44" t="str">
        <f>Parameter!E$9</f>
        <v>Air 2</v>
      </c>
      <c r="E348" s="74">
        <f t="shared" si="60"/>
        <v>0</v>
      </c>
      <c r="F348" s="75">
        <f t="shared" si="60"/>
        <v>0</v>
      </c>
      <c r="G348" s="75">
        <f t="shared" si="60"/>
        <v>0</v>
      </c>
      <c r="H348" s="75">
        <f t="shared" si="60"/>
        <v>0</v>
      </c>
      <c r="I348" s="75">
        <f t="shared" si="60"/>
        <v>0</v>
      </c>
      <c r="J348" s="75">
        <f t="shared" si="60"/>
        <v>0</v>
      </c>
      <c r="K348" s="75">
        <f t="shared" si="60"/>
        <v>0</v>
      </c>
      <c r="L348" s="76">
        <f t="shared" si="60"/>
        <v>0</v>
      </c>
    </row>
    <row r="349" spans="3:12" ht="15.6" hidden="1">
      <c r="C349" s="39" t="str">
        <f t="shared" si="61"/>
        <v>H</v>
      </c>
      <c r="D349" s="45" t="str">
        <f>Parameter!E$10</f>
        <v>Air 3</v>
      </c>
      <c r="E349" s="74">
        <f t="shared" si="60"/>
        <v>0</v>
      </c>
      <c r="F349" s="75">
        <f t="shared" si="60"/>
        <v>0</v>
      </c>
      <c r="G349" s="75">
        <f t="shared" si="60"/>
        <v>0</v>
      </c>
      <c r="H349" s="75">
        <f t="shared" si="60"/>
        <v>0</v>
      </c>
      <c r="I349" s="75">
        <f t="shared" si="60"/>
        <v>0</v>
      </c>
      <c r="J349" s="75">
        <f t="shared" si="60"/>
        <v>0</v>
      </c>
      <c r="K349" s="75">
        <f t="shared" si="60"/>
        <v>0</v>
      </c>
      <c r="L349" s="76">
        <f t="shared" si="60"/>
        <v>0</v>
      </c>
    </row>
    <row r="350" spans="3:12" ht="15.6" hidden="1">
      <c r="C350" s="39" t="str">
        <f t="shared" si="61"/>
        <v>H</v>
      </c>
      <c r="D350" s="45" t="str">
        <f>Parameter!E$11</f>
        <v>Air 3s Pro</v>
      </c>
      <c r="E350" s="74">
        <f t="shared" si="60"/>
        <v>0</v>
      </c>
      <c r="F350" s="75">
        <f t="shared" si="60"/>
        <v>0</v>
      </c>
      <c r="G350" s="75">
        <f t="shared" si="60"/>
        <v>0</v>
      </c>
      <c r="H350" s="75">
        <f t="shared" si="60"/>
        <v>0</v>
      </c>
      <c r="I350" s="75">
        <f t="shared" si="60"/>
        <v>0</v>
      </c>
      <c r="J350" s="75">
        <f t="shared" si="60"/>
        <v>0</v>
      </c>
      <c r="K350" s="75">
        <f t="shared" si="60"/>
        <v>0</v>
      </c>
      <c r="L350" s="76">
        <f t="shared" si="60"/>
        <v>0</v>
      </c>
    </row>
    <row r="351" spans="3:12" ht="15.6" hidden="1">
      <c r="C351" s="39" t="str">
        <f t="shared" si="61"/>
        <v>H</v>
      </c>
      <c r="D351" s="45" t="str">
        <f>Parameter!E$12</f>
        <v>Air Glass</v>
      </c>
      <c r="E351" s="74">
        <f t="shared" si="60"/>
        <v>0</v>
      </c>
      <c r="F351" s="75">
        <f t="shared" si="60"/>
        <v>0</v>
      </c>
      <c r="G351" s="75">
        <f t="shared" si="60"/>
        <v>0</v>
      </c>
      <c r="H351" s="75">
        <f t="shared" si="60"/>
        <v>0</v>
      </c>
      <c r="I351" s="75">
        <f t="shared" si="60"/>
        <v>0</v>
      </c>
      <c r="J351" s="75">
        <f t="shared" si="60"/>
        <v>0</v>
      </c>
      <c r="K351" s="75">
        <f t="shared" si="60"/>
        <v>0</v>
      </c>
      <c r="L351" s="76">
        <f t="shared" si="60"/>
        <v>0</v>
      </c>
    </row>
    <row r="352" spans="3:12" ht="15.6">
      <c r="C352" s="39" t="str">
        <f t="shared" si="61"/>
        <v/>
      </c>
      <c r="D352" s="45" t="str">
        <f>Parameter!E$13</f>
        <v>Binocular MicroLED</v>
      </c>
      <c r="E352" s="74">
        <f t="shared" si="60"/>
        <v>8.6796027999999983E-2</v>
      </c>
      <c r="F352" s="75">
        <f t="shared" si="60"/>
        <v>1.2401416480639997</v>
      </c>
      <c r="G352" s="75">
        <f t="shared" si="60"/>
        <v>0.18406312881791995</v>
      </c>
      <c r="H352" s="75">
        <f t="shared" si="60"/>
        <v>2.8836556848140793</v>
      </c>
      <c r="I352" s="75">
        <f t="shared" si="60"/>
        <v>11.926799912391029</v>
      </c>
      <c r="J352" s="75">
        <f t="shared" si="60"/>
        <v>17.45378741724678</v>
      </c>
      <c r="K352" s="75">
        <f t="shared" si="60"/>
        <v>38.321892373049863</v>
      </c>
      <c r="L352" s="76">
        <f t="shared" si="60"/>
        <v>64.063999999999993</v>
      </c>
    </row>
    <row r="353" spans="3:12" ht="15.6" hidden="1">
      <c r="C353" s="39" t="str">
        <f t="shared" si="61"/>
        <v>H</v>
      </c>
      <c r="D353" s="45" t="str">
        <f>Parameter!E$14</f>
        <v>Blade</v>
      </c>
      <c r="E353" s="74">
        <f t="shared" si="60"/>
        <v>0</v>
      </c>
      <c r="F353" s="75">
        <f t="shared" si="60"/>
        <v>0</v>
      </c>
      <c r="G353" s="75">
        <f t="shared" si="60"/>
        <v>0</v>
      </c>
      <c r="H353" s="75">
        <f t="shared" si="60"/>
        <v>0</v>
      </c>
      <c r="I353" s="75">
        <f t="shared" si="60"/>
        <v>0</v>
      </c>
      <c r="J353" s="75">
        <f t="shared" si="60"/>
        <v>0</v>
      </c>
      <c r="K353" s="75">
        <f t="shared" si="60"/>
        <v>0</v>
      </c>
      <c r="L353" s="76">
        <f t="shared" si="60"/>
        <v>0</v>
      </c>
    </row>
    <row r="354" spans="3:12" ht="15.6" hidden="1">
      <c r="C354" s="39" t="str">
        <f t="shared" si="61"/>
        <v>H</v>
      </c>
      <c r="D354" s="45" t="str">
        <f>Parameter!E$15</f>
        <v>DLP glasses</v>
      </c>
      <c r="E354" s="74">
        <f t="shared" si="60"/>
        <v>0</v>
      </c>
      <c r="F354" s="75">
        <f t="shared" si="60"/>
        <v>0</v>
      </c>
      <c r="G354" s="75">
        <f t="shared" si="60"/>
        <v>0</v>
      </c>
      <c r="H354" s="75">
        <f t="shared" si="60"/>
        <v>0</v>
      </c>
      <c r="I354" s="75">
        <f t="shared" si="60"/>
        <v>0</v>
      </c>
      <c r="J354" s="75">
        <f t="shared" si="60"/>
        <v>0</v>
      </c>
      <c r="K354" s="75">
        <f t="shared" si="60"/>
        <v>0</v>
      </c>
      <c r="L354" s="76">
        <f t="shared" si="60"/>
        <v>0</v>
      </c>
    </row>
    <row r="355" spans="3:12" ht="15.6">
      <c r="C355" s="39" t="str">
        <f t="shared" si="61"/>
        <v/>
      </c>
      <c r="D355" s="45" t="str">
        <f>Parameter!E$16</f>
        <v>G1</v>
      </c>
      <c r="E355" s="74">
        <f t="shared" si="60"/>
        <v>0</v>
      </c>
      <c r="F355" s="75">
        <f t="shared" si="60"/>
        <v>0</v>
      </c>
      <c r="G355" s="75">
        <f t="shared" si="60"/>
        <v>2.8585561672479995</v>
      </c>
      <c r="H355" s="75">
        <f t="shared" si="60"/>
        <v>4.5876340440223986</v>
      </c>
      <c r="I355" s="75">
        <f t="shared" si="60"/>
        <v>0</v>
      </c>
      <c r="J355" s="75">
        <f t="shared" si="60"/>
        <v>0</v>
      </c>
      <c r="K355" s="75">
        <f t="shared" si="60"/>
        <v>0</v>
      </c>
      <c r="L355" s="76">
        <f t="shared" si="60"/>
        <v>0</v>
      </c>
    </row>
    <row r="356" spans="3:12" ht="15.6" hidden="1">
      <c r="C356" s="39" t="str">
        <f t="shared" si="61"/>
        <v>H</v>
      </c>
      <c r="D356" s="45" t="str">
        <f>Parameter!E$17</f>
        <v>Glass</v>
      </c>
      <c r="E356" s="74">
        <f t="shared" si="60"/>
        <v>0</v>
      </c>
      <c r="F356" s="75">
        <f t="shared" si="60"/>
        <v>0</v>
      </c>
      <c r="G356" s="75">
        <f t="shared" si="60"/>
        <v>0</v>
      </c>
      <c r="H356" s="75">
        <f t="shared" si="60"/>
        <v>0</v>
      </c>
      <c r="I356" s="75">
        <f t="shared" si="60"/>
        <v>0</v>
      </c>
      <c r="J356" s="75">
        <f t="shared" si="60"/>
        <v>0</v>
      </c>
      <c r="K356" s="75">
        <f t="shared" si="60"/>
        <v>0</v>
      </c>
      <c r="L356" s="76">
        <f t="shared" si="60"/>
        <v>0</v>
      </c>
    </row>
    <row r="357" spans="3:12" ht="15.6" hidden="1">
      <c r="C357" s="39" t="str">
        <f t="shared" si="61"/>
        <v>H</v>
      </c>
      <c r="D357" s="45" t="str">
        <f>Parameter!E$18</f>
        <v>Glasses</v>
      </c>
      <c r="E357" s="74">
        <f t="shared" ref="E357:L366" si="62">SUMIF(ARVR_Y_PC_PR, "AR_"&amp;E$346&amp;"_"&amp;$D$345&amp;"_"&amp;$D357, PanelRev)</f>
        <v>0</v>
      </c>
      <c r="F357" s="75">
        <f t="shared" si="62"/>
        <v>0</v>
      </c>
      <c r="G357" s="75">
        <f t="shared" si="62"/>
        <v>0</v>
      </c>
      <c r="H357" s="75">
        <f t="shared" si="62"/>
        <v>0</v>
      </c>
      <c r="I357" s="75">
        <f t="shared" si="62"/>
        <v>0</v>
      </c>
      <c r="J357" s="75">
        <f t="shared" si="62"/>
        <v>0</v>
      </c>
      <c r="K357" s="75">
        <f t="shared" si="62"/>
        <v>0</v>
      </c>
      <c r="L357" s="76">
        <f t="shared" si="62"/>
        <v>0</v>
      </c>
    </row>
    <row r="358" spans="3:12" ht="15.6" hidden="1">
      <c r="C358" s="39" t="str">
        <f t="shared" si="61"/>
        <v>H</v>
      </c>
      <c r="D358" s="45" t="str">
        <f>Parameter!E$19</f>
        <v>Go</v>
      </c>
      <c r="E358" s="74">
        <f t="shared" si="62"/>
        <v>0</v>
      </c>
      <c r="F358" s="75">
        <f t="shared" si="62"/>
        <v>0</v>
      </c>
      <c r="G358" s="75">
        <f t="shared" si="62"/>
        <v>0</v>
      </c>
      <c r="H358" s="75">
        <f t="shared" si="62"/>
        <v>0</v>
      </c>
      <c r="I358" s="75">
        <f t="shared" si="62"/>
        <v>0</v>
      </c>
      <c r="J358" s="75">
        <f t="shared" si="62"/>
        <v>0</v>
      </c>
      <c r="K358" s="75">
        <f t="shared" si="62"/>
        <v>0</v>
      </c>
      <c r="L358" s="76">
        <f t="shared" si="62"/>
        <v>0</v>
      </c>
    </row>
    <row r="359" spans="3:12" ht="15.6" hidden="1">
      <c r="C359" s="39" t="str">
        <f t="shared" si="61"/>
        <v>H</v>
      </c>
      <c r="D359" s="45" t="str">
        <f>Parameter!E$20</f>
        <v>Go 2</v>
      </c>
      <c r="E359" s="74">
        <f t="shared" si="62"/>
        <v>0</v>
      </c>
      <c r="F359" s="75">
        <f t="shared" si="62"/>
        <v>0</v>
      </c>
      <c r="G359" s="75">
        <f t="shared" si="62"/>
        <v>0</v>
      </c>
      <c r="H359" s="75">
        <f t="shared" si="62"/>
        <v>0</v>
      </c>
      <c r="I359" s="75">
        <f t="shared" si="62"/>
        <v>0</v>
      </c>
      <c r="J359" s="75">
        <f t="shared" si="62"/>
        <v>0</v>
      </c>
      <c r="K359" s="75">
        <f t="shared" si="62"/>
        <v>0</v>
      </c>
      <c r="L359" s="76">
        <f t="shared" si="62"/>
        <v>0</v>
      </c>
    </row>
    <row r="360" spans="3:12" ht="15.6" hidden="1">
      <c r="C360" s="39" t="str">
        <f t="shared" si="61"/>
        <v>H</v>
      </c>
      <c r="D360" s="45" t="str">
        <f>Parameter!E$21</f>
        <v>HoloLens 2</v>
      </c>
      <c r="E360" s="74">
        <f t="shared" si="62"/>
        <v>0</v>
      </c>
      <c r="F360" s="75">
        <f t="shared" si="62"/>
        <v>0</v>
      </c>
      <c r="G360" s="75">
        <f t="shared" si="62"/>
        <v>0</v>
      </c>
      <c r="H360" s="75">
        <f t="shared" si="62"/>
        <v>0</v>
      </c>
      <c r="I360" s="75">
        <f t="shared" si="62"/>
        <v>0</v>
      </c>
      <c r="J360" s="75">
        <f t="shared" si="62"/>
        <v>0</v>
      </c>
      <c r="K360" s="75">
        <f t="shared" si="62"/>
        <v>0</v>
      </c>
      <c r="L360" s="76">
        <f t="shared" si="62"/>
        <v>0</v>
      </c>
    </row>
    <row r="361" spans="3:12" ht="15.6" hidden="1">
      <c r="C361" s="39" t="str">
        <f t="shared" si="61"/>
        <v>H</v>
      </c>
      <c r="D361" s="45" t="str">
        <f>Parameter!E$22</f>
        <v>INAIR 2</v>
      </c>
      <c r="E361" s="74">
        <f t="shared" si="62"/>
        <v>0</v>
      </c>
      <c r="F361" s="75">
        <f t="shared" si="62"/>
        <v>0</v>
      </c>
      <c r="G361" s="75">
        <f t="shared" si="62"/>
        <v>0</v>
      </c>
      <c r="H361" s="75">
        <f t="shared" si="62"/>
        <v>0</v>
      </c>
      <c r="I361" s="75">
        <f t="shared" si="62"/>
        <v>0</v>
      </c>
      <c r="J361" s="75">
        <f t="shared" si="62"/>
        <v>0</v>
      </c>
      <c r="K361" s="75">
        <f t="shared" si="62"/>
        <v>0</v>
      </c>
      <c r="L361" s="76">
        <f t="shared" si="62"/>
        <v>0</v>
      </c>
    </row>
    <row r="362" spans="3:12" ht="15.6" hidden="1">
      <c r="C362" s="39" t="str">
        <f t="shared" si="61"/>
        <v>H</v>
      </c>
      <c r="D362" s="45" t="str">
        <f>Parameter!E$23</f>
        <v>INAIR 2 Pro</v>
      </c>
      <c r="E362" s="74">
        <f t="shared" si="62"/>
        <v>0</v>
      </c>
      <c r="F362" s="75">
        <f t="shared" si="62"/>
        <v>0</v>
      </c>
      <c r="G362" s="75">
        <f t="shared" si="62"/>
        <v>0</v>
      </c>
      <c r="H362" s="75">
        <f t="shared" si="62"/>
        <v>0</v>
      </c>
      <c r="I362" s="75">
        <f t="shared" si="62"/>
        <v>0</v>
      </c>
      <c r="J362" s="75">
        <f t="shared" si="62"/>
        <v>0</v>
      </c>
      <c r="K362" s="75">
        <f t="shared" si="62"/>
        <v>0</v>
      </c>
      <c r="L362" s="76">
        <f t="shared" si="62"/>
        <v>0</v>
      </c>
    </row>
    <row r="363" spans="3:12" ht="15.6" hidden="1">
      <c r="C363" s="39" t="str">
        <f t="shared" si="61"/>
        <v>H</v>
      </c>
      <c r="D363" s="45" t="str">
        <f>Parameter!E$24</f>
        <v>LBS glasses</v>
      </c>
      <c r="E363" s="74">
        <f t="shared" si="62"/>
        <v>0</v>
      </c>
      <c r="F363" s="75">
        <f t="shared" si="62"/>
        <v>0</v>
      </c>
      <c r="G363" s="75">
        <f t="shared" si="62"/>
        <v>0</v>
      </c>
      <c r="H363" s="75">
        <f t="shared" si="62"/>
        <v>0</v>
      </c>
      <c r="I363" s="75">
        <f t="shared" si="62"/>
        <v>0</v>
      </c>
      <c r="J363" s="75">
        <f t="shared" si="62"/>
        <v>0</v>
      </c>
      <c r="K363" s="75">
        <f t="shared" si="62"/>
        <v>0</v>
      </c>
      <c r="L363" s="76">
        <f t="shared" si="62"/>
        <v>0</v>
      </c>
    </row>
    <row r="364" spans="3:12" ht="15.6" hidden="1">
      <c r="C364" s="39" t="str">
        <f t="shared" si="61"/>
        <v>H</v>
      </c>
      <c r="D364" s="45" t="str">
        <f>Parameter!E$25</f>
        <v>LCoS glasses</v>
      </c>
      <c r="E364" s="74">
        <f t="shared" si="62"/>
        <v>0</v>
      </c>
      <c r="F364" s="75">
        <f t="shared" si="62"/>
        <v>0</v>
      </c>
      <c r="G364" s="75">
        <f t="shared" si="62"/>
        <v>0</v>
      </c>
      <c r="H364" s="75">
        <f t="shared" si="62"/>
        <v>0</v>
      </c>
      <c r="I364" s="75">
        <f t="shared" si="62"/>
        <v>0</v>
      </c>
      <c r="J364" s="75">
        <f t="shared" si="62"/>
        <v>0</v>
      </c>
      <c r="K364" s="75">
        <f t="shared" si="62"/>
        <v>0</v>
      </c>
      <c r="L364" s="76">
        <f t="shared" si="62"/>
        <v>0</v>
      </c>
    </row>
    <row r="365" spans="3:12" ht="15.6" hidden="1">
      <c r="C365" s="39" t="str">
        <f t="shared" si="61"/>
        <v>H</v>
      </c>
      <c r="D365" s="45" t="str">
        <f>Parameter!E$26</f>
        <v>Lenovo Legion Glasses 2</v>
      </c>
      <c r="E365" s="74">
        <f t="shared" si="62"/>
        <v>0</v>
      </c>
      <c r="F365" s="75">
        <f t="shared" si="62"/>
        <v>0</v>
      </c>
      <c r="G365" s="75">
        <f t="shared" si="62"/>
        <v>0</v>
      </c>
      <c r="H365" s="75">
        <f t="shared" si="62"/>
        <v>0</v>
      </c>
      <c r="I365" s="75">
        <f t="shared" si="62"/>
        <v>0</v>
      </c>
      <c r="J365" s="75">
        <f t="shared" si="62"/>
        <v>0</v>
      </c>
      <c r="K365" s="75">
        <f t="shared" si="62"/>
        <v>0</v>
      </c>
      <c r="L365" s="76">
        <f t="shared" si="62"/>
        <v>0</v>
      </c>
    </row>
    <row r="366" spans="3:12" ht="15.6" hidden="1">
      <c r="C366" s="39" t="str">
        <f t="shared" si="61"/>
        <v>H</v>
      </c>
      <c r="D366" s="45" t="str">
        <f>Parameter!E$27</f>
        <v>Light</v>
      </c>
      <c r="E366" s="74">
        <f t="shared" si="62"/>
        <v>0</v>
      </c>
      <c r="F366" s="75">
        <f t="shared" si="62"/>
        <v>0</v>
      </c>
      <c r="G366" s="75">
        <f t="shared" si="62"/>
        <v>0</v>
      </c>
      <c r="H366" s="75">
        <f t="shared" si="62"/>
        <v>0</v>
      </c>
      <c r="I366" s="75">
        <f t="shared" si="62"/>
        <v>0</v>
      </c>
      <c r="J366" s="75">
        <f t="shared" si="62"/>
        <v>0</v>
      </c>
      <c r="K366" s="75">
        <f t="shared" si="62"/>
        <v>0</v>
      </c>
      <c r="L366" s="76">
        <f t="shared" si="62"/>
        <v>0</v>
      </c>
    </row>
    <row r="367" spans="3:12" ht="15.6" hidden="1">
      <c r="C367" s="39" t="str">
        <f t="shared" si="61"/>
        <v>H</v>
      </c>
      <c r="D367" s="45" t="str">
        <f>Parameter!E$28</f>
        <v>Max</v>
      </c>
      <c r="E367" s="74">
        <f t="shared" ref="E367:L376" si="63">SUMIF(ARVR_Y_PC_PR, "AR_"&amp;E$346&amp;"_"&amp;$D$345&amp;"_"&amp;$D367, PanelRev)</f>
        <v>0</v>
      </c>
      <c r="F367" s="75">
        <f t="shared" si="63"/>
        <v>0</v>
      </c>
      <c r="G367" s="75">
        <f t="shared" si="63"/>
        <v>0</v>
      </c>
      <c r="H367" s="75">
        <f t="shared" si="63"/>
        <v>0</v>
      </c>
      <c r="I367" s="75">
        <f t="shared" si="63"/>
        <v>0</v>
      </c>
      <c r="J367" s="75">
        <f t="shared" si="63"/>
        <v>0</v>
      </c>
      <c r="K367" s="75">
        <f t="shared" si="63"/>
        <v>0</v>
      </c>
      <c r="L367" s="76">
        <f t="shared" si="63"/>
        <v>0</v>
      </c>
    </row>
    <row r="368" spans="3:12" ht="15.6" hidden="1">
      <c r="C368" s="39" t="str">
        <f t="shared" si="61"/>
        <v>H</v>
      </c>
      <c r="D368" s="45" t="str">
        <f>Parameter!E$29</f>
        <v>Max 2</v>
      </c>
      <c r="E368" s="74">
        <f t="shared" si="63"/>
        <v>0</v>
      </c>
      <c r="F368" s="75">
        <f t="shared" si="63"/>
        <v>0</v>
      </c>
      <c r="G368" s="75">
        <f t="shared" si="63"/>
        <v>0</v>
      </c>
      <c r="H368" s="75">
        <f t="shared" si="63"/>
        <v>0</v>
      </c>
      <c r="I368" s="75">
        <f t="shared" si="63"/>
        <v>0</v>
      </c>
      <c r="J368" s="75">
        <f t="shared" si="63"/>
        <v>0</v>
      </c>
      <c r="K368" s="75">
        <f t="shared" si="63"/>
        <v>0</v>
      </c>
      <c r="L368" s="76">
        <f t="shared" si="63"/>
        <v>0</v>
      </c>
    </row>
    <row r="369" spans="3:12" ht="15.6" hidden="1">
      <c r="C369" s="39" t="str">
        <f t="shared" si="61"/>
        <v>H</v>
      </c>
      <c r="D369" s="45" t="str">
        <f>Parameter!E$30</f>
        <v>Meizu StarV Air 2</v>
      </c>
      <c r="E369" s="74">
        <f t="shared" si="63"/>
        <v>0</v>
      </c>
      <c r="F369" s="75">
        <f t="shared" si="63"/>
        <v>0</v>
      </c>
      <c r="G369" s="75">
        <f t="shared" si="63"/>
        <v>0</v>
      </c>
      <c r="H369" s="75">
        <f t="shared" si="63"/>
        <v>0</v>
      </c>
      <c r="I369" s="75">
        <f t="shared" si="63"/>
        <v>0</v>
      </c>
      <c r="J369" s="75">
        <f t="shared" si="63"/>
        <v>0</v>
      </c>
      <c r="K369" s="75">
        <f t="shared" si="63"/>
        <v>0</v>
      </c>
      <c r="L369" s="76">
        <f t="shared" si="63"/>
        <v>0</v>
      </c>
    </row>
    <row r="370" spans="3:12" ht="15.6" hidden="1">
      <c r="C370" s="39" t="str">
        <f t="shared" si="61"/>
        <v>H</v>
      </c>
      <c r="D370" s="45" t="str">
        <f>Parameter!E$31</f>
        <v>Meizu StarV View</v>
      </c>
      <c r="E370" s="74">
        <f t="shared" si="63"/>
        <v>0</v>
      </c>
      <c r="F370" s="75">
        <f t="shared" si="63"/>
        <v>0</v>
      </c>
      <c r="G370" s="75">
        <f t="shared" si="63"/>
        <v>0</v>
      </c>
      <c r="H370" s="75">
        <f t="shared" si="63"/>
        <v>0</v>
      </c>
      <c r="I370" s="75">
        <f t="shared" si="63"/>
        <v>0</v>
      </c>
      <c r="J370" s="75">
        <f t="shared" si="63"/>
        <v>0</v>
      </c>
      <c r="K370" s="75">
        <f t="shared" si="63"/>
        <v>0</v>
      </c>
      <c r="L370" s="76">
        <f t="shared" si="63"/>
        <v>0</v>
      </c>
    </row>
    <row r="371" spans="3:12" ht="15.6" hidden="1">
      <c r="C371" s="39" t="str">
        <f t="shared" si="61"/>
        <v>H</v>
      </c>
      <c r="D371" s="45" t="str">
        <f>Parameter!E$32</f>
        <v>MiRZA</v>
      </c>
      <c r="E371" s="74">
        <f t="shared" si="63"/>
        <v>0</v>
      </c>
      <c r="F371" s="75">
        <f t="shared" si="63"/>
        <v>0</v>
      </c>
      <c r="G371" s="75">
        <f t="shared" si="63"/>
        <v>0</v>
      </c>
      <c r="H371" s="75">
        <f t="shared" si="63"/>
        <v>0</v>
      </c>
      <c r="I371" s="75">
        <f t="shared" si="63"/>
        <v>0</v>
      </c>
      <c r="J371" s="75">
        <f t="shared" si="63"/>
        <v>0</v>
      </c>
      <c r="K371" s="75">
        <f t="shared" si="63"/>
        <v>0</v>
      </c>
      <c r="L371" s="76">
        <f t="shared" si="63"/>
        <v>0</v>
      </c>
    </row>
    <row r="372" spans="3:12" ht="15.6" hidden="1">
      <c r="C372" s="39" t="str">
        <f t="shared" si="61"/>
        <v>H</v>
      </c>
      <c r="D372" s="45" t="str">
        <f>Parameter!E$33</f>
        <v>ML 2</v>
      </c>
      <c r="E372" s="74">
        <f t="shared" si="63"/>
        <v>0</v>
      </c>
      <c r="F372" s="75">
        <f t="shared" si="63"/>
        <v>0</v>
      </c>
      <c r="G372" s="75">
        <f t="shared" si="63"/>
        <v>0</v>
      </c>
      <c r="H372" s="75">
        <f t="shared" si="63"/>
        <v>0</v>
      </c>
      <c r="I372" s="75">
        <f t="shared" si="63"/>
        <v>0</v>
      </c>
      <c r="J372" s="75">
        <f t="shared" si="63"/>
        <v>0</v>
      </c>
      <c r="K372" s="75">
        <f t="shared" si="63"/>
        <v>0</v>
      </c>
      <c r="L372" s="76">
        <f t="shared" si="63"/>
        <v>0</v>
      </c>
    </row>
    <row r="373" spans="3:12" ht="15.6" hidden="1">
      <c r="C373" s="39" t="str">
        <f t="shared" si="61"/>
        <v>H</v>
      </c>
      <c r="D373" s="45" t="str">
        <f>Parameter!E$34</f>
        <v>ML One</v>
      </c>
      <c r="E373" s="74">
        <f t="shared" si="63"/>
        <v>0</v>
      </c>
      <c r="F373" s="75">
        <f t="shared" si="63"/>
        <v>0</v>
      </c>
      <c r="G373" s="75">
        <f t="shared" si="63"/>
        <v>0</v>
      </c>
      <c r="H373" s="75">
        <f t="shared" si="63"/>
        <v>0</v>
      </c>
      <c r="I373" s="75">
        <f t="shared" si="63"/>
        <v>0</v>
      </c>
      <c r="J373" s="75">
        <f t="shared" si="63"/>
        <v>0</v>
      </c>
      <c r="K373" s="75">
        <f t="shared" si="63"/>
        <v>0</v>
      </c>
      <c r="L373" s="76">
        <f t="shared" si="63"/>
        <v>0</v>
      </c>
    </row>
    <row r="374" spans="3:12" ht="15.6" hidden="1">
      <c r="C374" s="39" t="str">
        <f t="shared" si="61"/>
        <v>H</v>
      </c>
      <c r="D374" s="45" t="str">
        <f>Parameter!E$35</f>
        <v>Monocular LCoS glasses</v>
      </c>
      <c r="E374" s="74">
        <f t="shared" si="63"/>
        <v>0</v>
      </c>
      <c r="F374" s="75">
        <f t="shared" si="63"/>
        <v>0</v>
      </c>
      <c r="G374" s="75">
        <f t="shared" si="63"/>
        <v>0</v>
      </c>
      <c r="H374" s="75">
        <f t="shared" si="63"/>
        <v>0</v>
      </c>
      <c r="I374" s="75">
        <f t="shared" si="63"/>
        <v>0</v>
      </c>
      <c r="J374" s="75">
        <f t="shared" si="63"/>
        <v>0</v>
      </c>
      <c r="K374" s="75">
        <f t="shared" si="63"/>
        <v>0</v>
      </c>
      <c r="L374" s="76">
        <f t="shared" si="63"/>
        <v>0</v>
      </c>
    </row>
    <row r="375" spans="3:12" ht="15.6" hidden="1">
      <c r="C375" s="39" t="str">
        <f t="shared" si="61"/>
        <v>H</v>
      </c>
      <c r="D375" s="45" t="str">
        <f>Parameter!E$36</f>
        <v>Monocular MicroLED</v>
      </c>
      <c r="E375" s="74">
        <f t="shared" si="63"/>
        <v>0</v>
      </c>
      <c r="F375" s="75">
        <f t="shared" si="63"/>
        <v>0</v>
      </c>
      <c r="G375" s="75">
        <f t="shared" si="63"/>
        <v>0</v>
      </c>
      <c r="H375" s="75">
        <f t="shared" si="63"/>
        <v>0</v>
      </c>
      <c r="I375" s="75">
        <f t="shared" si="63"/>
        <v>0</v>
      </c>
      <c r="J375" s="75">
        <f t="shared" si="63"/>
        <v>0</v>
      </c>
      <c r="K375" s="75">
        <f t="shared" si="63"/>
        <v>0</v>
      </c>
      <c r="L375" s="76">
        <f t="shared" si="63"/>
        <v>0</v>
      </c>
    </row>
    <row r="376" spans="3:12" ht="15.6" hidden="1">
      <c r="C376" s="39" t="str">
        <f t="shared" si="61"/>
        <v>H</v>
      </c>
      <c r="D376" s="45" t="str">
        <f>Parameter!E$37</f>
        <v>Moverio</v>
      </c>
      <c r="E376" s="74">
        <f t="shared" si="63"/>
        <v>0</v>
      </c>
      <c r="F376" s="75">
        <f t="shared" si="63"/>
        <v>0</v>
      </c>
      <c r="G376" s="75">
        <f t="shared" si="63"/>
        <v>0</v>
      </c>
      <c r="H376" s="75">
        <f t="shared" si="63"/>
        <v>0</v>
      </c>
      <c r="I376" s="75">
        <f t="shared" si="63"/>
        <v>0</v>
      </c>
      <c r="J376" s="75">
        <f t="shared" si="63"/>
        <v>0</v>
      </c>
      <c r="K376" s="75">
        <f t="shared" si="63"/>
        <v>0</v>
      </c>
      <c r="L376" s="76">
        <f t="shared" si="63"/>
        <v>0</v>
      </c>
    </row>
    <row r="377" spans="3:12" ht="15.6">
      <c r="C377" s="39" t="str">
        <f t="shared" si="61"/>
        <v/>
      </c>
      <c r="D377" s="45" t="str">
        <f>Parameter!E$38</f>
        <v>MYVU</v>
      </c>
      <c r="E377" s="74">
        <f t="shared" ref="E377:L386" si="64">SUMIF(ARVR_Y_PC_PR, "AR_"&amp;E$346&amp;"_"&amp;$D$345&amp;"_"&amp;$D377, PanelRev)</f>
        <v>0</v>
      </c>
      <c r="F377" s="75">
        <f t="shared" si="64"/>
        <v>0.89005381439999987</v>
      </c>
      <c r="G377" s="75">
        <f t="shared" si="64"/>
        <v>0.34302674006975992</v>
      </c>
      <c r="H377" s="75">
        <f t="shared" si="64"/>
        <v>0</v>
      </c>
      <c r="I377" s="75">
        <f t="shared" si="64"/>
        <v>0</v>
      </c>
      <c r="J377" s="75">
        <f t="shared" si="64"/>
        <v>0</v>
      </c>
      <c r="K377" s="75">
        <f t="shared" si="64"/>
        <v>0</v>
      </c>
      <c r="L377" s="76">
        <f t="shared" si="64"/>
        <v>0</v>
      </c>
    </row>
    <row r="378" spans="3:12" ht="15.6" hidden="1">
      <c r="C378" s="39" t="str">
        <f t="shared" si="61"/>
        <v>H</v>
      </c>
      <c r="D378" s="45" t="str">
        <f>Parameter!E$39</f>
        <v>NXTWear</v>
      </c>
      <c r="E378" s="74">
        <f t="shared" si="64"/>
        <v>0</v>
      </c>
      <c r="F378" s="75">
        <f t="shared" si="64"/>
        <v>0</v>
      </c>
      <c r="G378" s="75">
        <f t="shared" si="64"/>
        <v>0</v>
      </c>
      <c r="H378" s="75">
        <f t="shared" si="64"/>
        <v>0</v>
      </c>
      <c r="I378" s="75">
        <f t="shared" si="64"/>
        <v>0</v>
      </c>
      <c r="J378" s="75">
        <f t="shared" si="64"/>
        <v>0</v>
      </c>
      <c r="K378" s="75">
        <f t="shared" si="64"/>
        <v>0</v>
      </c>
      <c r="L378" s="76">
        <f t="shared" si="64"/>
        <v>0</v>
      </c>
    </row>
    <row r="379" spans="3:12" ht="15.6" hidden="1">
      <c r="C379" s="39" t="str">
        <f t="shared" si="61"/>
        <v>H</v>
      </c>
      <c r="D379" s="45" t="str">
        <f>Parameter!E$40</f>
        <v>One</v>
      </c>
      <c r="E379" s="74">
        <f t="shared" si="64"/>
        <v>0</v>
      </c>
      <c r="F379" s="75">
        <f t="shared" si="64"/>
        <v>0</v>
      </c>
      <c r="G379" s="75">
        <f t="shared" si="64"/>
        <v>0</v>
      </c>
      <c r="H379" s="75">
        <f t="shared" si="64"/>
        <v>0</v>
      </c>
      <c r="I379" s="75">
        <f t="shared" si="64"/>
        <v>0</v>
      </c>
      <c r="J379" s="75">
        <f t="shared" si="64"/>
        <v>0</v>
      </c>
      <c r="K379" s="75">
        <f t="shared" si="64"/>
        <v>0</v>
      </c>
      <c r="L379" s="76">
        <f t="shared" si="64"/>
        <v>0</v>
      </c>
    </row>
    <row r="380" spans="3:12" ht="15.6" hidden="1">
      <c r="C380" s="39" t="str">
        <f t="shared" si="61"/>
        <v>H</v>
      </c>
      <c r="D380" s="45" t="str">
        <f>Parameter!E$41</f>
        <v>One Pro</v>
      </c>
      <c r="E380" s="74">
        <f t="shared" si="64"/>
        <v>0</v>
      </c>
      <c r="F380" s="75">
        <f t="shared" si="64"/>
        <v>0</v>
      </c>
      <c r="G380" s="75">
        <f t="shared" si="64"/>
        <v>0</v>
      </c>
      <c r="H380" s="75">
        <f t="shared" si="64"/>
        <v>0</v>
      </c>
      <c r="I380" s="75">
        <f t="shared" si="64"/>
        <v>0</v>
      </c>
      <c r="J380" s="75">
        <f t="shared" si="64"/>
        <v>0</v>
      </c>
      <c r="K380" s="75">
        <f t="shared" si="64"/>
        <v>0</v>
      </c>
      <c r="L380" s="76">
        <f t="shared" si="64"/>
        <v>0</v>
      </c>
    </row>
    <row r="381" spans="3:12" ht="15.6">
      <c r="C381" s="39" t="str">
        <f t="shared" si="61"/>
        <v/>
      </c>
      <c r="D381" s="45" t="str">
        <f>Parameter!E$42</f>
        <v>Quark AI</v>
      </c>
      <c r="E381" s="74">
        <f t="shared" si="64"/>
        <v>0</v>
      </c>
      <c r="F381" s="75">
        <f t="shared" si="64"/>
        <v>0</v>
      </c>
      <c r="G381" s="75">
        <f t="shared" si="64"/>
        <v>0</v>
      </c>
      <c r="H381" s="75">
        <f t="shared" si="64"/>
        <v>1.5</v>
      </c>
      <c r="I381" s="75">
        <f t="shared" si="64"/>
        <v>0</v>
      </c>
      <c r="J381" s="75">
        <f t="shared" si="64"/>
        <v>0</v>
      </c>
      <c r="K381" s="75">
        <f t="shared" si="64"/>
        <v>0</v>
      </c>
      <c r="L381" s="76">
        <f t="shared" si="64"/>
        <v>0</v>
      </c>
    </row>
    <row r="382" spans="3:12" ht="15.6" hidden="1">
      <c r="C382" s="39" t="str">
        <f t="shared" si="61"/>
        <v>H</v>
      </c>
      <c r="D382" s="45" t="str">
        <f>Parameter!E$43</f>
        <v>Ray-Ban Meta Display</v>
      </c>
      <c r="E382" s="74">
        <f t="shared" si="64"/>
        <v>0</v>
      </c>
      <c r="F382" s="75">
        <f t="shared" si="64"/>
        <v>0</v>
      </c>
      <c r="G382" s="75">
        <f t="shared" si="64"/>
        <v>0</v>
      </c>
      <c r="H382" s="75">
        <f t="shared" si="64"/>
        <v>0</v>
      </c>
      <c r="I382" s="75">
        <f t="shared" si="64"/>
        <v>0</v>
      </c>
      <c r="J382" s="75">
        <f t="shared" si="64"/>
        <v>0</v>
      </c>
      <c r="K382" s="75">
        <f t="shared" si="64"/>
        <v>0</v>
      </c>
      <c r="L382" s="76">
        <f t="shared" si="64"/>
        <v>0</v>
      </c>
    </row>
    <row r="383" spans="3:12" ht="15.6">
      <c r="C383" s="39" t="str">
        <f t="shared" si="61"/>
        <v/>
      </c>
      <c r="D383" s="45" t="str">
        <f>Parameter!E$44</f>
        <v>Shield</v>
      </c>
      <c r="E383" s="74">
        <f t="shared" si="64"/>
        <v>0.17359205599999997</v>
      </c>
      <c r="F383" s="75">
        <f t="shared" si="64"/>
        <v>0.13870005274399999</v>
      </c>
      <c r="G383" s="75">
        <f t="shared" si="64"/>
        <v>5.6752798052191987E-2</v>
      </c>
      <c r="H383" s="75">
        <f t="shared" si="64"/>
        <v>0</v>
      </c>
      <c r="I383" s="75">
        <f t="shared" si="64"/>
        <v>0</v>
      </c>
      <c r="J383" s="75">
        <f t="shared" si="64"/>
        <v>0</v>
      </c>
      <c r="K383" s="75">
        <f t="shared" si="64"/>
        <v>0</v>
      </c>
      <c r="L383" s="76">
        <f t="shared" si="64"/>
        <v>0</v>
      </c>
    </row>
    <row r="384" spans="3:12" ht="15.6" hidden="1">
      <c r="C384" s="39" t="str">
        <f t="shared" si="61"/>
        <v>H</v>
      </c>
      <c r="D384" s="45" t="str">
        <f>Parameter!E$45</f>
        <v>SiOLED glasses</v>
      </c>
      <c r="E384" s="74">
        <f t="shared" si="64"/>
        <v>0</v>
      </c>
      <c r="F384" s="75">
        <f t="shared" si="64"/>
        <v>0</v>
      </c>
      <c r="G384" s="75">
        <f t="shared" si="64"/>
        <v>0</v>
      </c>
      <c r="H384" s="75">
        <f t="shared" si="64"/>
        <v>0</v>
      </c>
      <c r="I384" s="75">
        <f t="shared" si="64"/>
        <v>0</v>
      </c>
      <c r="J384" s="75">
        <f t="shared" si="64"/>
        <v>0</v>
      </c>
      <c r="K384" s="75">
        <f t="shared" si="64"/>
        <v>0</v>
      </c>
      <c r="L384" s="76">
        <f t="shared" si="64"/>
        <v>0</v>
      </c>
    </row>
    <row r="385" spans="3:12" ht="15.6" hidden="1">
      <c r="C385" s="39" t="str">
        <f t="shared" si="61"/>
        <v>H</v>
      </c>
      <c r="D385" s="45" t="str">
        <f>Parameter!E$46</f>
        <v>T1</v>
      </c>
      <c r="E385" s="74">
        <f t="shared" si="64"/>
        <v>0</v>
      </c>
      <c r="F385" s="75">
        <f t="shared" si="64"/>
        <v>0</v>
      </c>
      <c r="G385" s="75">
        <f t="shared" si="64"/>
        <v>0</v>
      </c>
      <c r="H385" s="75">
        <f t="shared" si="64"/>
        <v>0</v>
      </c>
      <c r="I385" s="75">
        <f t="shared" si="64"/>
        <v>0</v>
      </c>
      <c r="J385" s="75">
        <f t="shared" si="64"/>
        <v>0</v>
      </c>
      <c r="K385" s="75">
        <f t="shared" si="64"/>
        <v>0</v>
      </c>
      <c r="L385" s="76">
        <f t="shared" si="64"/>
        <v>0</v>
      </c>
    </row>
    <row r="386" spans="3:12" ht="15.6" hidden="1">
      <c r="C386" s="39" t="str">
        <f t="shared" si="61"/>
        <v>H</v>
      </c>
      <c r="D386" s="45" t="str">
        <f>Parameter!E$47</f>
        <v>ThinkReality A3</v>
      </c>
      <c r="E386" s="74">
        <f t="shared" si="64"/>
        <v>0</v>
      </c>
      <c r="F386" s="75">
        <f t="shared" si="64"/>
        <v>0</v>
      </c>
      <c r="G386" s="75">
        <f t="shared" si="64"/>
        <v>0</v>
      </c>
      <c r="H386" s="75">
        <f t="shared" si="64"/>
        <v>0</v>
      </c>
      <c r="I386" s="75">
        <f t="shared" si="64"/>
        <v>0</v>
      </c>
      <c r="J386" s="75">
        <f t="shared" si="64"/>
        <v>0</v>
      </c>
      <c r="K386" s="75">
        <f t="shared" si="64"/>
        <v>0</v>
      </c>
      <c r="L386" s="76">
        <f t="shared" si="64"/>
        <v>0</v>
      </c>
    </row>
    <row r="387" spans="3:12" ht="15.6" hidden="1">
      <c r="C387" s="39" t="str">
        <f t="shared" si="61"/>
        <v>H</v>
      </c>
      <c r="D387" s="45" t="str">
        <f>Parameter!E$48</f>
        <v>Viture Pro</v>
      </c>
      <c r="E387" s="74">
        <f t="shared" ref="E387:L396" si="65">SUMIF(ARVR_Y_PC_PR, "AR_"&amp;E$346&amp;"_"&amp;$D$345&amp;"_"&amp;$D387, PanelRev)</f>
        <v>0</v>
      </c>
      <c r="F387" s="75">
        <f t="shared" si="65"/>
        <v>0</v>
      </c>
      <c r="G387" s="75">
        <f t="shared" si="65"/>
        <v>0</v>
      </c>
      <c r="H387" s="75">
        <f t="shared" si="65"/>
        <v>0</v>
      </c>
      <c r="I387" s="75">
        <f t="shared" si="65"/>
        <v>0</v>
      </c>
      <c r="J387" s="75">
        <f t="shared" si="65"/>
        <v>0</v>
      </c>
      <c r="K387" s="75">
        <f t="shared" si="65"/>
        <v>0</v>
      </c>
      <c r="L387" s="76">
        <f t="shared" si="65"/>
        <v>0</v>
      </c>
    </row>
    <row r="388" spans="3:12" ht="16.2" thickBot="1">
      <c r="C388" s="39" t="str">
        <f t="shared" si="61"/>
        <v/>
      </c>
      <c r="D388" s="45" t="str">
        <f>Parameter!E$49</f>
        <v>X3 Pro</v>
      </c>
      <c r="E388" s="74">
        <f t="shared" si="65"/>
        <v>0</v>
      </c>
      <c r="F388" s="75">
        <f t="shared" si="65"/>
        <v>0</v>
      </c>
      <c r="G388" s="75">
        <f t="shared" si="65"/>
        <v>0</v>
      </c>
      <c r="H388" s="75">
        <f t="shared" si="65"/>
        <v>1.35</v>
      </c>
      <c r="I388" s="75">
        <f t="shared" si="65"/>
        <v>0</v>
      </c>
      <c r="J388" s="75">
        <f t="shared" si="65"/>
        <v>0</v>
      </c>
      <c r="K388" s="75">
        <f t="shared" si="65"/>
        <v>0</v>
      </c>
      <c r="L388" s="76">
        <f t="shared" si="65"/>
        <v>0</v>
      </c>
    </row>
    <row r="389" spans="3:12" ht="15.6" hidden="1">
      <c r="C389" s="39" t="str">
        <f t="shared" si="61"/>
        <v>H</v>
      </c>
      <c r="D389" s="45" t="str">
        <f>Parameter!E$50</f>
        <v>Z100</v>
      </c>
      <c r="E389" s="74">
        <f t="shared" si="65"/>
        <v>0</v>
      </c>
      <c r="F389" s="75">
        <f t="shared" si="65"/>
        <v>0</v>
      </c>
      <c r="G389" s="75">
        <f t="shared" si="65"/>
        <v>0</v>
      </c>
      <c r="H389" s="75">
        <f t="shared" si="65"/>
        <v>0</v>
      </c>
      <c r="I389" s="75">
        <f t="shared" si="65"/>
        <v>0</v>
      </c>
      <c r="J389" s="75">
        <f t="shared" si="65"/>
        <v>0</v>
      </c>
      <c r="K389" s="75">
        <f t="shared" si="65"/>
        <v>0</v>
      </c>
      <c r="L389" s="76">
        <f t="shared" si="65"/>
        <v>0</v>
      </c>
    </row>
    <row r="390" spans="3:12" ht="15.6" hidden="1">
      <c r="C390" s="39" t="str">
        <f t="shared" si="61"/>
        <v>H</v>
      </c>
      <c r="D390" s="45">
        <f>Parameter!E$51</f>
        <v>0</v>
      </c>
      <c r="E390" s="74">
        <f t="shared" si="65"/>
        <v>0</v>
      </c>
      <c r="F390" s="75">
        <f t="shared" si="65"/>
        <v>0</v>
      </c>
      <c r="G390" s="75">
        <f t="shared" si="65"/>
        <v>0</v>
      </c>
      <c r="H390" s="75">
        <f t="shared" si="65"/>
        <v>0</v>
      </c>
      <c r="I390" s="75">
        <f t="shared" si="65"/>
        <v>0</v>
      </c>
      <c r="J390" s="75">
        <f t="shared" si="65"/>
        <v>0</v>
      </c>
      <c r="K390" s="75">
        <f t="shared" si="65"/>
        <v>0</v>
      </c>
      <c r="L390" s="76">
        <f t="shared" si="65"/>
        <v>0</v>
      </c>
    </row>
    <row r="391" spans="3:12" ht="15.6" hidden="1">
      <c r="C391" s="39" t="str">
        <f t="shared" si="61"/>
        <v>H</v>
      </c>
      <c r="D391" s="45">
        <f>Parameter!E$52</f>
        <v>0</v>
      </c>
      <c r="E391" s="74">
        <f t="shared" si="65"/>
        <v>0</v>
      </c>
      <c r="F391" s="75">
        <f t="shared" si="65"/>
        <v>0</v>
      </c>
      <c r="G391" s="75">
        <f t="shared" si="65"/>
        <v>0</v>
      </c>
      <c r="H391" s="75">
        <f t="shared" si="65"/>
        <v>0</v>
      </c>
      <c r="I391" s="75">
        <f t="shared" si="65"/>
        <v>0</v>
      </c>
      <c r="J391" s="75">
        <f t="shared" si="65"/>
        <v>0</v>
      </c>
      <c r="K391" s="75">
        <f t="shared" si="65"/>
        <v>0</v>
      </c>
      <c r="L391" s="76">
        <f t="shared" si="65"/>
        <v>0</v>
      </c>
    </row>
    <row r="392" spans="3:12" ht="15.6" hidden="1">
      <c r="C392" s="39" t="str">
        <f t="shared" si="61"/>
        <v>H</v>
      </c>
      <c r="D392" s="45">
        <f>Parameter!E$53</f>
        <v>0</v>
      </c>
      <c r="E392" s="74">
        <f t="shared" si="65"/>
        <v>0</v>
      </c>
      <c r="F392" s="75">
        <f t="shared" si="65"/>
        <v>0</v>
      </c>
      <c r="G392" s="75">
        <f t="shared" si="65"/>
        <v>0</v>
      </c>
      <c r="H392" s="75">
        <f t="shared" si="65"/>
        <v>0</v>
      </c>
      <c r="I392" s="75">
        <f t="shared" si="65"/>
        <v>0</v>
      </c>
      <c r="J392" s="75">
        <f t="shared" si="65"/>
        <v>0</v>
      </c>
      <c r="K392" s="75">
        <f t="shared" si="65"/>
        <v>0</v>
      </c>
      <c r="L392" s="76">
        <f t="shared" si="65"/>
        <v>0</v>
      </c>
    </row>
    <row r="393" spans="3:12" ht="15.6" hidden="1">
      <c r="C393" s="39" t="str">
        <f t="shared" si="61"/>
        <v>H</v>
      </c>
      <c r="D393" s="45">
        <f>Parameter!E$54</f>
        <v>0</v>
      </c>
      <c r="E393" s="74">
        <f t="shared" si="65"/>
        <v>0</v>
      </c>
      <c r="F393" s="75">
        <f t="shared" si="65"/>
        <v>0</v>
      </c>
      <c r="G393" s="75">
        <f t="shared" si="65"/>
        <v>0</v>
      </c>
      <c r="H393" s="75">
        <f t="shared" si="65"/>
        <v>0</v>
      </c>
      <c r="I393" s="75">
        <f t="shared" si="65"/>
        <v>0</v>
      </c>
      <c r="J393" s="75">
        <f t="shared" si="65"/>
        <v>0</v>
      </c>
      <c r="K393" s="75">
        <f t="shared" si="65"/>
        <v>0</v>
      </c>
      <c r="L393" s="76">
        <f t="shared" si="65"/>
        <v>0</v>
      </c>
    </row>
    <row r="394" spans="3:12" ht="15.6" hidden="1">
      <c r="C394" s="39" t="str">
        <f t="shared" si="61"/>
        <v>H</v>
      </c>
      <c r="D394" s="45">
        <f>Parameter!E$55</f>
        <v>0</v>
      </c>
      <c r="E394" s="74">
        <f t="shared" si="65"/>
        <v>0</v>
      </c>
      <c r="F394" s="75">
        <f t="shared" si="65"/>
        <v>0</v>
      </c>
      <c r="G394" s="75">
        <f t="shared" si="65"/>
        <v>0</v>
      </c>
      <c r="H394" s="75">
        <f t="shared" si="65"/>
        <v>0</v>
      </c>
      <c r="I394" s="75">
        <f t="shared" si="65"/>
        <v>0</v>
      </c>
      <c r="J394" s="75">
        <f t="shared" si="65"/>
        <v>0</v>
      </c>
      <c r="K394" s="75">
        <f t="shared" si="65"/>
        <v>0</v>
      </c>
      <c r="L394" s="76">
        <f t="shared" si="65"/>
        <v>0</v>
      </c>
    </row>
    <row r="395" spans="3:12" ht="15.6" hidden="1">
      <c r="C395" s="39" t="str">
        <f t="shared" si="61"/>
        <v>H</v>
      </c>
      <c r="D395" s="45">
        <f>Parameter!E$56</f>
        <v>0</v>
      </c>
      <c r="E395" s="74">
        <f t="shared" si="65"/>
        <v>0</v>
      </c>
      <c r="F395" s="75">
        <f t="shared" si="65"/>
        <v>0</v>
      </c>
      <c r="G395" s="75">
        <f t="shared" si="65"/>
        <v>0</v>
      </c>
      <c r="H395" s="75">
        <f t="shared" si="65"/>
        <v>0</v>
      </c>
      <c r="I395" s="75">
        <f t="shared" si="65"/>
        <v>0</v>
      </c>
      <c r="J395" s="75">
        <f t="shared" si="65"/>
        <v>0</v>
      </c>
      <c r="K395" s="75">
        <f t="shared" si="65"/>
        <v>0</v>
      </c>
      <c r="L395" s="76">
        <f t="shared" si="65"/>
        <v>0</v>
      </c>
    </row>
    <row r="396" spans="3:12" ht="16.2" hidden="1" thickBot="1">
      <c r="C396" s="39" t="str">
        <f t="shared" si="61"/>
        <v>H</v>
      </c>
      <c r="D396" s="53" t="str">
        <f>Parameter!E$57</f>
        <v>ALL</v>
      </c>
      <c r="E396" s="77">
        <f t="shared" si="65"/>
        <v>0</v>
      </c>
      <c r="F396" s="78">
        <f t="shared" si="65"/>
        <v>0</v>
      </c>
      <c r="G396" s="78">
        <f t="shared" si="65"/>
        <v>0</v>
      </c>
      <c r="H396" s="78">
        <f t="shared" si="65"/>
        <v>0</v>
      </c>
      <c r="I396" s="78">
        <f t="shared" si="65"/>
        <v>0</v>
      </c>
      <c r="J396" s="78">
        <f t="shared" si="65"/>
        <v>0</v>
      </c>
      <c r="K396" s="78">
        <f t="shared" si="65"/>
        <v>0</v>
      </c>
      <c r="L396" s="79">
        <f t="shared" si="65"/>
        <v>0</v>
      </c>
    </row>
    <row r="397" spans="3:12" ht="15.6">
      <c r="C397" s="39" t="str">
        <f t="shared" si="61"/>
        <v/>
      </c>
      <c r="D397" s="54" t="s">
        <v>87</v>
      </c>
      <c r="E397" s="80">
        <f>SUM(E347:E396)</f>
        <v>0.26038808399999996</v>
      </c>
      <c r="F397" s="81">
        <f t="shared" ref="F397:L397" si="66">SUM(F347:F396)</f>
        <v>2.2688955152079995</v>
      </c>
      <c r="G397" s="81">
        <f t="shared" si="66"/>
        <v>3.4423988341878711</v>
      </c>
      <c r="H397" s="81">
        <f t="shared" si="66"/>
        <v>10.321289728836478</v>
      </c>
      <c r="I397" s="81">
        <f t="shared" si="66"/>
        <v>11.926799912391029</v>
      </c>
      <c r="J397" s="81">
        <f t="shared" si="66"/>
        <v>17.45378741724678</v>
      </c>
      <c r="K397" s="81">
        <f t="shared" si="66"/>
        <v>38.321892373049863</v>
      </c>
      <c r="L397" s="82">
        <f t="shared" si="66"/>
        <v>64.063999999999993</v>
      </c>
    </row>
    <row r="398" spans="3:12" ht="16.2" thickBot="1">
      <c r="C398" s="39" t="str">
        <f t="shared" si="61"/>
        <v/>
      </c>
      <c r="D398" s="46" t="s">
        <v>88</v>
      </c>
      <c r="E398" s="47"/>
      <c r="F398" s="50">
        <f t="shared" ref="F398:G398" si="67">IF(E397*F397=0, "", F397/E397-1)</f>
        <v>7.7135151515151499</v>
      </c>
      <c r="G398" s="50">
        <f t="shared" si="67"/>
        <v>0.51721346845374305</v>
      </c>
      <c r="H398" s="50">
        <f>IF(G397*H397=0, "", H397/G397-1)</f>
        <v>1.9982841111644376</v>
      </c>
      <c r="I398" s="50">
        <f t="shared" ref="I398:L398" si="68">IF(H397*I397=0, "", I397/H397-1)</f>
        <v>0.15555325213562643</v>
      </c>
      <c r="J398" s="50">
        <f t="shared" si="68"/>
        <v>0.46340909090909066</v>
      </c>
      <c r="K398" s="50">
        <f t="shared" si="68"/>
        <v>1.1956204379562045</v>
      </c>
      <c r="L398" s="51">
        <f t="shared" si="68"/>
        <v>0.67173372797877406</v>
      </c>
    </row>
    <row r="399" spans="3:12">
      <c r="C399"/>
    </row>
    <row r="400" spans="3:12" ht="14.4" thickBot="1">
      <c r="C400"/>
    </row>
    <row r="401" spans="3:12" ht="15.6" hidden="1" thickBot="1">
      <c r="C401" s="39" t="str">
        <f t="shared" si="61"/>
        <v>H</v>
      </c>
      <c r="D401" s="52" t="str">
        <f>Parameter!I15</f>
        <v>2x SiOLED</v>
      </c>
    </row>
    <row r="402" spans="3:12" ht="16.2" thickBot="1">
      <c r="C402" s="39" t="str">
        <f t="shared" si="61"/>
        <v/>
      </c>
      <c r="D402" s="40" t="s">
        <v>85</v>
      </c>
      <c r="E402" s="41" t="str">
        <f>E10</f>
        <v>2022</v>
      </c>
      <c r="F402" s="42" t="str">
        <f t="shared" ref="F402:L402" si="69">F10</f>
        <v>2023</v>
      </c>
      <c r="G402" s="42" t="str">
        <f t="shared" si="69"/>
        <v>2024</v>
      </c>
      <c r="H402" s="42">
        <f t="shared" si="69"/>
        <v>2025</v>
      </c>
      <c r="I402" s="42" t="str">
        <f t="shared" si="69"/>
        <v>2026</v>
      </c>
      <c r="J402" s="42" t="str">
        <f t="shared" si="69"/>
        <v>2027</v>
      </c>
      <c r="K402" s="42" t="str">
        <f t="shared" si="69"/>
        <v>2028</v>
      </c>
      <c r="L402" s="43" t="str">
        <f t="shared" si="69"/>
        <v>2029</v>
      </c>
    </row>
    <row r="403" spans="3:12" ht="15.6">
      <c r="C403" s="39" t="str">
        <f t="shared" si="61"/>
        <v/>
      </c>
      <c r="D403" s="44" t="str">
        <f>Parameter!E$8</f>
        <v>Air</v>
      </c>
      <c r="E403" s="74">
        <f t="shared" ref="E403:L412" si="70">SUMIF(ARVR_Y_PC_PR, "AR_"&amp;E$402&amp;"_"&amp;$D$401&amp;"_"&amp;$D403, PanelRev)</f>
        <v>2.2879999999999998</v>
      </c>
      <c r="F403" s="75">
        <f t="shared" si="70"/>
        <v>4.206921728204799</v>
      </c>
      <c r="G403" s="75">
        <f t="shared" si="70"/>
        <v>1.4809692093439994</v>
      </c>
      <c r="H403" s="75">
        <f t="shared" si="70"/>
        <v>0</v>
      </c>
      <c r="I403" s="75">
        <f t="shared" si="70"/>
        <v>0</v>
      </c>
      <c r="J403" s="75">
        <f t="shared" si="70"/>
        <v>0</v>
      </c>
      <c r="K403" s="75">
        <f t="shared" si="70"/>
        <v>0</v>
      </c>
      <c r="L403" s="76">
        <f t="shared" si="70"/>
        <v>0</v>
      </c>
    </row>
    <row r="404" spans="3:12" ht="15.6">
      <c r="C404" s="39" t="str">
        <f t="shared" si="61"/>
        <v/>
      </c>
      <c r="D404" s="44" t="str">
        <f>Parameter!E$9</f>
        <v>Air 2</v>
      </c>
      <c r="E404" s="74">
        <f t="shared" si="70"/>
        <v>0</v>
      </c>
      <c r="F404" s="75">
        <f t="shared" si="70"/>
        <v>19.045400000000001</v>
      </c>
      <c r="G404" s="75">
        <f t="shared" si="70"/>
        <v>9.2868600000000008</v>
      </c>
      <c r="H404" s="75">
        <f t="shared" si="70"/>
        <v>0</v>
      </c>
      <c r="I404" s="75">
        <f t="shared" si="70"/>
        <v>0</v>
      </c>
      <c r="J404" s="75">
        <f t="shared" si="70"/>
        <v>0</v>
      </c>
      <c r="K404" s="75">
        <f t="shared" si="70"/>
        <v>0</v>
      </c>
      <c r="L404" s="76">
        <f t="shared" si="70"/>
        <v>0</v>
      </c>
    </row>
    <row r="405" spans="3:12" ht="15.6">
      <c r="C405" s="39" t="str">
        <f t="shared" si="61"/>
        <v/>
      </c>
      <c r="D405" s="45" t="str">
        <f>Parameter!E$10</f>
        <v>Air 3</v>
      </c>
      <c r="E405" s="74">
        <f t="shared" si="70"/>
        <v>0</v>
      </c>
      <c r="F405" s="75">
        <f t="shared" si="70"/>
        <v>0</v>
      </c>
      <c r="G405" s="75">
        <f t="shared" si="70"/>
        <v>4.875</v>
      </c>
      <c r="H405" s="75">
        <f t="shared" si="70"/>
        <v>11.719999999999999</v>
      </c>
      <c r="I405" s="75">
        <f t="shared" si="70"/>
        <v>0</v>
      </c>
      <c r="J405" s="75">
        <f t="shared" si="70"/>
        <v>0</v>
      </c>
      <c r="K405" s="75">
        <f t="shared" si="70"/>
        <v>0</v>
      </c>
      <c r="L405" s="76">
        <f t="shared" si="70"/>
        <v>0</v>
      </c>
    </row>
    <row r="406" spans="3:12" ht="15.6">
      <c r="C406" s="39" t="str">
        <f t="shared" si="61"/>
        <v/>
      </c>
      <c r="D406" s="45" t="str">
        <f>Parameter!E$11</f>
        <v>Air 3s Pro</v>
      </c>
      <c r="E406" s="74">
        <f t="shared" si="70"/>
        <v>0</v>
      </c>
      <c r="F406" s="75">
        <f t="shared" si="70"/>
        <v>0</v>
      </c>
      <c r="G406" s="75">
        <f t="shared" si="70"/>
        <v>0</v>
      </c>
      <c r="H406" s="75">
        <f t="shared" si="70"/>
        <v>6.24</v>
      </c>
      <c r="I406" s="75">
        <f t="shared" si="70"/>
        <v>0</v>
      </c>
      <c r="J406" s="75">
        <f t="shared" si="70"/>
        <v>0</v>
      </c>
      <c r="K406" s="75">
        <f t="shared" si="70"/>
        <v>0</v>
      </c>
      <c r="L406" s="76">
        <f t="shared" si="70"/>
        <v>0</v>
      </c>
    </row>
    <row r="407" spans="3:12" ht="15.6" hidden="1">
      <c r="C407" s="39" t="str">
        <f t="shared" si="61"/>
        <v>H</v>
      </c>
      <c r="D407" s="45" t="str">
        <f>Parameter!E$12</f>
        <v>Air Glass</v>
      </c>
      <c r="E407" s="74">
        <f t="shared" si="70"/>
        <v>0</v>
      </c>
      <c r="F407" s="75">
        <f t="shared" si="70"/>
        <v>0</v>
      </c>
      <c r="G407" s="75">
        <f t="shared" si="70"/>
        <v>0</v>
      </c>
      <c r="H407" s="75">
        <f t="shared" si="70"/>
        <v>0</v>
      </c>
      <c r="I407" s="75">
        <f t="shared" si="70"/>
        <v>0</v>
      </c>
      <c r="J407" s="75">
        <f t="shared" si="70"/>
        <v>0</v>
      </c>
      <c r="K407" s="75">
        <f t="shared" si="70"/>
        <v>0</v>
      </c>
      <c r="L407" s="76">
        <f t="shared" si="70"/>
        <v>0</v>
      </c>
    </row>
    <row r="408" spans="3:12" ht="15.6" hidden="1">
      <c r="C408" s="39" t="str">
        <f t="shared" si="61"/>
        <v>H</v>
      </c>
      <c r="D408" s="45" t="str">
        <f>Parameter!E$13</f>
        <v>Binocular MicroLED</v>
      </c>
      <c r="E408" s="74">
        <f t="shared" si="70"/>
        <v>0</v>
      </c>
      <c r="F408" s="75">
        <f t="shared" si="70"/>
        <v>0</v>
      </c>
      <c r="G408" s="75">
        <f t="shared" si="70"/>
        <v>0</v>
      </c>
      <c r="H408" s="75">
        <f t="shared" si="70"/>
        <v>0</v>
      </c>
      <c r="I408" s="75">
        <f t="shared" si="70"/>
        <v>0</v>
      </c>
      <c r="J408" s="75">
        <f t="shared" si="70"/>
        <v>0</v>
      </c>
      <c r="K408" s="75">
        <f t="shared" si="70"/>
        <v>0</v>
      </c>
      <c r="L408" s="76">
        <f t="shared" si="70"/>
        <v>0</v>
      </c>
    </row>
    <row r="409" spans="3:12" ht="15.6" hidden="1">
      <c r="C409" s="39" t="str">
        <f t="shared" si="61"/>
        <v>H</v>
      </c>
      <c r="D409" s="45" t="str">
        <f>Parameter!E$14</f>
        <v>Blade</v>
      </c>
      <c r="E409" s="74">
        <f t="shared" si="70"/>
        <v>0</v>
      </c>
      <c r="F409" s="75">
        <f t="shared" si="70"/>
        <v>0</v>
      </c>
      <c r="G409" s="75">
        <f t="shared" si="70"/>
        <v>0</v>
      </c>
      <c r="H409" s="75">
        <f t="shared" si="70"/>
        <v>0</v>
      </c>
      <c r="I409" s="75">
        <f t="shared" si="70"/>
        <v>0</v>
      </c>
      <c r="J409" s="75">
        <f t="shared" si="70"/>
        <v>0</v>
      </c>
      <c r="K409" s="75">
        <f t="shared" si="70"/>
        <v>0</v>
      </c>
      <c r="L409" s="76">
        <f t="shared" si="70"/>
        <v>0</v>
      </c>
    </row>
    <row r="410" spans="3:12" ht="15.6" hidden="1">
      <c r="C410" s="39" t="str">
        <f t="shared" si="61"/>
        <v>H</v>
      </c>
      <c r="D410" s="45" t="str">
        <f>Parameter!E$15</f>
        <v>DLP glasses</v>
      </c>
      <c r="E410" s="74">
        <f t="shared" si="70"/>
        <v>0</v>
      </c>
      <c r="F410" s="75">
        <f t="shared" si="70"/>
        <v>0</v>
      </c>
      <c r="G410" s="75">
        <f t="shared" si="70"/>
        <v>0</v>
      </c>
      <c r="H410" s="75">
        <f t="shared" si="70"/>
        <v>0</v>
      </c>
      <c r="I410" s="75">
        <f t="shared" si="70"/>
        <v>0</v>
      </c>
      <c r="J410" s="75">
        <f t="shared" si="70"/>
        <v>0</v>
      </c>
      <c r="K410" s="75">
        <f t="shared" si="70"/>
        <v>0</v>
      </c>
      <c r="L410" s="76">
        <f t="shared" si="70"/>
        <v>0</v>
      </c>
    </row>
    <row r="411" spans="3:12" ht="15.6" hidden="1">
      <c r="C411" s="39" t="str">
        <f t="shared" si="61"/>
        <v>H</v>
      </c>
      <c r="D411" s="45" t="str">
        <f>Parameter!E$16</f>
        <v>G1</v>
      </c>
      <c r="E411" s="74">
        <f t="shared" si="70"/>
        <v>0</v>
      </c>
      <c r="F411" s="75">
        <f t="shared" si="70"/>
        <v>0</v>
      </c>
      <c r="G411" s="75">
        <f t="shared" si="70"/>
        <v>0</v>
      </c>
      <c r="H411" s="75">
        <f t="shared" si="70"/>
        <v>0</v>
      </c>
      <c r="I411" s="75">
        <f t="shared" si="70"/>
        <v>0</v>
      </c>
      <c r="J411" s="75">
        <f t="shared" si="70"/>
        <v>0</v>
      </c>
      <c r="K411" s="75">
        <f t="shared" si="70"/>
        <v>0</v>
      </c>
      <c r="L411" s="76">
        <f t="shared" si="70"/>
        <v>0</v>
      </c>
    </row>
    <row r="412" spans="3:12" ht="15.6" hidden="1">
      <c r="C412" s="39" t="str">
        <f t="shared" ref="C412:C454" si="71">IF(SUM(E412:L412)=0, "H", "")</f>
        <v>H</v>
      </c>
      <c r="D412" s="45" t="str">
        <f>Parameter!E$17</f>
        <v>Glass</v>
      </c>
      <c r="E412" s="74">
        <f t="shared" si="70"/>
        <v>0</v>
      </c>
      <c r="F412" s="75">
        <f t="shared" si="70"/>
        <v>0</v>
      </c>
      <c r="G412" s="75">
        <f t="shared" si="70"/>
        <v>0</v>
      </c>
      <c r="H412" s="75">
        <f t="shared" si="70"/>
        <v>0</v>
      </c>
      <c r="I412" s="75">
        <f t="shared" si="70"/>
        <v>0</v>
      </c>
      <c r="J412" s="75">
        <f t="shared" si="70"/>
        <v>0</v>
      </c>
      <c r="K412" s="75">
        <f t="shared" si="70"/>
        <v>0</v>
      </c>
      <c r="L412" s="76">
        <f t="shared" si="70"/>
        <v>0</v>
      </c>
    </row>
    <row r="413" spans="3:12" ht="15.6" hidden="1">
      <c r="C413" s="39" t="str">
        <f t="shared" si="71"/>
        <v>H</v>
      </c>
      <c r="D413" s="45" t="str">
        <f>Parameter!E$18</f>
        <v>Glasses</v>
      </c>
      <c r="E413" s="74">
        <f t="shared" ref="E413:L422" si="72">SUMIF(ARVR_Y_PC_PR, "AR_"&amp;E$402&amp;"_"&amp;$D$401&amp;"_"&amp;$D413, PanelRev)</f>
        <v>0</v>
      </c>
      <c r="F413" s="75">
        <f t="shared" si="72"/>
        <v>0</v>
      </c>
      <c r="G413" s="75">
        <f t="shared" si="72"/>
        <v>0</v>
      </c>
      <c r="H413" s="75">
        <f t="shared" si="72"/>
        <v>0</v>
      </c>
      <c r="I413" s="75">
        <f t="shared" si="72"/>
        <v>0</v>
      </c>
      <c r="J413" s="75">
        <f t="shared" si="72"/>
        <v>0</v>
      </c>
      <c r="K413" s="75">
        <f t="shared" si="72"/>
        <v>0</v>
      </c>
      <c r="L413" s="76">
        <f t="shared" si="72"/>
        <v>0</v>
      </c>
    </row>
    <row r="414" spans="3:12" ht="15.6" hidden="1">
      <c r="C414" s="39" t="str">
        <f t="shared" si="71"/>
        <v>H</v>
      </c>
      <c r="D414" s="45" t="str">
        <f>Parameter!E$19</f>
        <v>Go</v>
      </c>
      <c r="E414" s="74">
        <f t="shared" si="72"/>
        <v>0</v>
      </c>
      <c r="F414" s="75">
        <f t="shared" si="72"/>
        <v>0</v>
      </c>
      <c r="G414" s="75">
        <f t="shared" si="72"/>
        <v>0</v>
      </c>
      <c r="H414" s="75">
        <f t="shared" si="72"/>
        <v>0</v>
      </c>
      <c r="I414" s="75">
        <f t="shared" si="72"/>
        <v>0</v>
      </c>
      <c r="J414" s="75">
        <f t="shared" si="72"/>
        <v>0</v>
      </c>
      <c r="K414" s="75">
        <f t="shared" si="72"/>
        <v>0</v>
      </c>
      <c r="L414" s="76">
        <f t="shared" si="72"/>
        <v>0</v>
      </c>
    </row>
    <row r="415" spans="3:12" ht="15.6" hidden="1">
      <c r="C415" s="39" t="str">
        <f t="shared" si="71"/>
        <v>H</v>
      </c>
      <c r="D415" s="45" t="str">
        <f>Parameter!E$20</f>
        <v>Go 2</v>
      </c>
      <c r="E415" s="74">
        <f t="shared" si="72"/>
        <v>0</v>
      </c>
      <c r="F415" s="75">
        <f t="shared" si="72"/>
        <v>0</v>
      </c>
      <c r="G415" s="75">
        <f t="shared" si="72"/>
        <v>0</v>
      </c>
      <c r="H415" s="75">
        <f t="shared" si="72"/>
        <v>0</v>
      </c>
      <c r="I415" s="75">
        <f t="shared" si="72"/>
        <v>0</v>
      </c>
      <c r="J415" s="75">
        <f t="shared" si="72"/>
        <v>0</v>
      </c>
      <c r="K415" s="75">
        <f t="shared" si="72"/>
        <v>0</v>
      </c>
      <c r="L415" s="76">
        <f t="shared" si="72"/>
        <v>0</v>
      </c>
    </row>
    <row r="416" spans="3:12" ht="15.6" hidden="1">
      <c r="C416" s="39" t="str">
        <f t="shared" si="71"/>
        <v>H</v>
      </c>
      <c r="D416" s="45" t="str">
        <f>Parameter!E$21</f>
        <v>HoloLens 2</v>
      </c>
      <c r="E416" s="74">
        <f t="shared" si="72"/>
        <v>0</v>
      </c>
      <c r="F416" s="75">
        <f t="shared" si="72"/>
        <v>0</v>
      </c>
      <c r="G416" s="75">
        <f t="shared" si="72"/>
        <v>0</v>
      </c>
      <c r="H416" s="75">
        <f t="shared" si="72"/>
        <v>0</v>
      </c>
      <c r="I416" s="75">
        <f t="shared" si="72"/>
        <v>0</v>
      </c>
      <c r="J416" s="75">
        <f t="shared" si="72"/>
        <v>0</v>
      </c>
      <c r="K416" s="75">
        <f t="shared" si="72"/>
        <v>0</v>
      </c>
      <c r="L416" s="76">
        <f t="shared" si="72"/>
        <v>0</v>
      </c>
    </row>
    <row r="417" spans="3:12" ht="15.6">
      <c r="C417" s="39" t="str">
        <f t="shared" si="71"/>
        <v/>
      </c>
      <c r="D417" s="45" t="str">
        <f>Parameter!E$22</f>
        <v>INAIR 2</v>
      </c>
      <c r="E417" s="74">
        <f t="shared" si="72"/>
        <v>0</v>
      </c>
      <c r="F417" s="75">
        <f t="shared" si="72"/>
        <v>0</v>
      </c>
      <c r="G417" s="75">
        <f t="shared" si="72"/>
        <v>5.5E-2</v>
      </c>
      <c r="H417" s="75">
        <f t="shared" si="72"/>
        <v>0</v>
      </c>
      <c r="I417" s="75">
        <f t="shared" si="72"/>
        <v>0</v>
      </c>
      <c r="J417" s="75">
        <f t="shared" si="72"/>
        <v>0</v>
      </c>
      <c r="K417" s="75">
        <f t="shared" si="72"/>
        <v>0</v>
      </c>
      <c r="L417" s="76">
        <f t="shared" si="72"/>
        <v>0</v>
      </c>
    </row>
    <row r="418" spans="3:12" ht="15.6">
      <c r="C418" s="39" t="str">
        <f t="shared" si="71"/>
        <v/>
      </c>
      <c r="D418" s="45" t="str">
        <f>Parameter!E$23</f>
        <v>INAIR 2 Pro</v>
      </c>
      <c r="E418" s="74">
        <f t="shared" si="72"/>
        <v>0</v>
      </c>
      <c r="F418" s="75">
        <f t="shared" si="72"/>
        <v>0</v>
      </c>
      <c r="G418" s="75">
        <f t="shared" si="72"/>
        <v>0.11</v>
      </c>
      <c r="H418" s="75">
        <f t="shared" si="72"/>
        <v>0</v>
      </c>
      <c r="I418" s="75">
        <f t="shared" si="72"/>
        <v>0</v>
      </c>
      <c r="J418" s="75">
        <f t="shared" si="72"/>
        <v>0</v>
      </c>
      <c r="K418" s="75">
        <f t="shared" si="72"/>
        <v>0</v>
      </c>
      <c r="L418" s="76">
        <f t="shared" si="72"/>
        <v>0</v>
      </c>
    </row>
    <row r="419" spans="3:12" ht="15.6" hidden="1">
      <c r="C419" s="39" t="str">
        <f t="shared" si="71"/>
        <v>H</v>
      </c>
      <c r="D419" s="45" t="str">
        <f>Parameter!E$24</f>
        <v>LBS glasses</v>
      </c>
      <c r="E419" s="74">
        <f t="shared" si="72"/>
        <v>0</v>
      </c>
      <c r="F419" s="75">
        <f t="shared" si="72"/>
        <v>0</v>
      </c>
      <c r="G419" s="75">
        <f t="shared" si="72"/>
        <v>0</v>
      </c>
      <c r="H419" s="75">
        <f t="shared" si="72"/>
        <v>0</v>
      </c>
      <c r="I419" s="75">
        <f t="shared" si="72"/>
        <v>0</v>
      </c>
      <c r="J419" s="75">
        <f t="shared" si="72"/>
        <v>0</v>
      </c>
      <c r="K419" s="75">
        <f t="shared" si="72"/>
        <v>0</v>
      </c>
      <c r="L419" s="76">
        <f t="shared" si="72"/>
        <v>0</v>
      </c>
    </row>
    <row r="420" spans="3:12" ht="15.6" hidden="1">
      <c r="C420" s="39" t="str">
        <f t="shared" si="71"/>
        <v>H</v>
      </c>
      <c r="D420" s="45" t="str">
        <f>Parameter!E$25</f>
        <v>LCoS glasses</v>
      </c>
      <c r="E420" s="74">
        <f t="shared" si="72"/>
        <v>0</v>
      </c>
      <c r="F420" s="75">
        <f t="shared" si="72"/>
        <v>0</v>
      </c>
      <c r="G420" s="75">
        <f t="shared" si="72"/>
        <v>0</v>
      </c>
      <c r="H420" s="75">
        <f t="shared" si="72"/>
        <v>0</v>
      </c>
      <c r="I420" s="75">
        <f t="shared" si="72"/>
        <v>0</v>
      </c>
      <c r="J420" s="75">
        <f t="shared" si="72"/>
        <v>0</v>
      </c>
      <c r="K420" s="75">
        <f t="shared" si="72"/>
        <v>0</v>
      </c>
      <c r="L420" s="76">
        <f t="shared" si="72"/>
        <v>0</v>
      </c>
    </row>
    <row r="421" spans="3:12" ht="15.6">
      <c r="C421" s="39" t="str">
        <f t="shared" si="71"/>
        <v/>
      </c>
      <c r="D421" s="45" t="str">
        <f>Parameter!E$26</f>
        <v>Lenovo Legion Glasses 2</v>
      </c>
      <c r="E421" s="74">
        <f t="shared" si="72"/>
        <v>0</v>
      </c>
      <c r="F421" s="75">
        <f t="shared" si="72"/>
        <v>0</v>
      </c>
      <c r="G421" s="75">
        <f t="shared" si="72"/>
        <v>0.11</v>
      </c>
      <c r="H421" s="75">
        <f t="shared" si="72"/>
        <v>0.192</v>
      </c>
      <c r="I421" s="75">
        <f t="shared" si="72"/>
        <v>0</v>
      </c>
      <c r="J421" s="75">
        <f t="shared" si="72"/>
        <v>0</v>
      </c>
      <c r="K421" s="75">
        <f t="shared" si="72"/>
        <v>0</v>
      </c>
      <c r="L421" s="76">
        <f t="shared" si="72"/>
        <v>0</v>
      </c>
    </row>
    <row r="422" spans="3:12" ht="15.6">
      <c r="C422" s="39" t="str">
        <f t="shared" si="71"/>
        <v/>
      </c>
      <c r="D422" s="45" t="str">
        <f>Parameter!E$27</f>
        <v>Light</v>
      </c>
      <c r="E422" s="74">
        <f t="shared" si="72"/>
        <v>25.692733439999998</v>
      </c>
      <c r="F422" s="75">
        <f t="shared" si="72"/>
        <v>0</v>
      </c>
      <c r="G422" s="75">
        <f t="shared" si="72"/>
        <v>0</v>
      </c>
      <c r="H422" s="75">
        <f t="shared" si="72"/>
        <v>0</v>
      </c>
      <c r="I422" s="75">
        <f t="shared" si="72"/>
        <v>0</v>
      </c>
      <c r="J422" s="75">
        <f t="shared" si="72"/>
        <v>0</v>
      </c>
      <c r="K422" s="75">
        <f t="shared" si="72"/>
        <v>0</v>
      </c>
      <c r="L422" s="76">
        <f t="shared" si="72"/>
        <v>0</v>
      </c>
    </row>
    <row r="423" spans="3:12" ht="15.6">
      <c r="C423" s="39" t="str">
        <f t="shared" si="71"/>
        <v/>
      </c>
      <c r="D423" s="45" t="str">
        <f>Parameter!E$28</f>
        <v>Max</v>
      </c>
      <c r="E423" s="74">
        <f t="shared" ref="E423:L432" si="73">SUMIF(ARVR_Y_PC_PR, "AR_"&amp;E$402&amp;"_"&amp;$D$401&amp;"_"&amp;$D423, PanelRev)</f>
        <v>0</v>
      </c>
      <c r="F423" s="75">
        <f t="shared" si="73"/>
        <v>3.1931900000000004</v>
      </c>
      <c r="G423" s="75">
        <f t="shared" si="73"/>
        <v>0.85909999999999997</v>
      </c>
      <c r="H423" s="75">
        <f t="shared" si="73"/>
        <v>0</v>
      </c>
      <c r="I423" s="75">
        <f t="shared" si="73"/>
        <v>0</v>
      </c>
      <c r="J423" s="75">
        <f t="shared" si="73"/>
        <v>0</v>
      </c>
      <c r="K423" s="75">
        <f t="shared" si="73"/>
        <v>0</v>
      </c>
      <c r="L423" s="76">
        <f t="shared" si="73"/>
        <v>0</v>
      </c>
    </row>
    <row r="424" spans="3:12" ht="15.6">
      <c r="C424" s="39" t="str">
        <f t="shared" si="71"/>
        <v/>
      </c>
      <c r="D424" s="45" t="str">
        <f>Parameter!E$29</f>
        <v>Max 2</v>
      </c>
      <c r="E424" s="74">
        <f t="shared" si="73"/>
        <v>0</v>
      </c>
      <c r="F424" s="75">
        <f t="shared" si="73"/>
        <v>0</v>
      </c>
      <c r="G424" s="75">
        <f t="shared" si="73"/>
        <v>2.4700000000000002</v>
      </c>
      <c r="H424" s="75">
        <f t="shared" si="73"/>
        <v>0</v>
      </c>
      <c r="I424" s="75">
        <f t="shared" si="73"/>
        <v>0</v>
      </c>
      <c r="J424" s="75">
        <f t="shared" si="73"/>
        <v>0</v>
      </c>
      <c r="K424" s="75">
        <f t="shared" si="73"/>
        <v>0</v>
      </c>
      <c r="L424" s="76">
        <f t="shared" si="73"/>
        <v>0</v>
      </c>
    </row>
    <row r="425" spans="3:12" ht="15.6" hidden="1">
      <c r="C425" s="39" t="str">
        <f t="shared" si="71"/>
        <v>H</v>
      </c>
      <c r="D425" s="45" t="str">
        <f>Parameter!E$30</f>
        <v>Meizu StarV Air 2</v>
      </c>
      <c r="E425" s="74">
        <f t="shared" si="73"/>
        <v>0</v>
      </c>
      <c r="F425" s="75">
        <f t="shared" si="73"/>
        <v>0</v>
      </c>
      <c r="G425" s="75">
        <f t="shared" si="73"/>
        <v>0</v>
      </c>
      <c r="H425" s="75">
        <f t="shared" si="73"/>
        <v>0</v>
      </c>
      <c r="I425" s="75">
        <f t="shared" si="73"/>
        <v>0</v>
      </c>
      <c r="J425" s="75">
        <f t="shared" si="73"/>
        <v>0</v>
      </c>
      <c r="K425" s="75">
        <f t="shared" si="73"/>
        <v>0</v>
      </c>
      <c r="L425" s="76">
        <f t="shared" si="73"/>
        <v>0</v>
      </c>
    </row>
    <row r="426" spans="3:12" ht="15.6">
      <c r="C426" s="39" t="str">
        <f t="shared" si="71"/>
        <v/>
      </c>
      <c r="D426" s="45" t="str">
        <f>Parameter!E$31</f>
        <v>Meizu StarV View</v>
      </c>
      <c r="E426" s="74">
        <f t="shared" si="73"/>
        <v>0</v>
      </c>
      <c r="F426" s="75">
        <f t="shared" si="73"/>
        <v>0</v>
      </c>
      <c r="G426" s="75">
        <f t="shared" si="73"/>
        <v>1.21</v>
      </c>
      <c r="H426" s="75">
        <f t="shared" si="73"/>
        <v>0.70199999999999996</v>
      </c>
      <c r="I426" s="75">
        <f t="shared" si="73"/>
        <v>0</v>
      </c>
      <c r="J426" s="75">
        <f t="shared" si="73"/>
        <v>0</v>
      </c>
      <c r="K426" s="75">
        <f t="shared" si="73"/>
        <v>0</v>
      </c>
      <c r="L426" s="76">
        <f t="shared" si="73"/>
        <v>0</v>
      </c>
    </row>
    <row r="427" spans="3:12" ht="15.6">
      <c r="C427" s="39" t="str">
        <f t="shared" si="71"/>
        <v/>
      </c>
      <c r="D427" s="45" t="str">
        <f>Parameter!E$32</f>
        <v>MiRZA</v>
      </c>
      <c r="E427" s="74">
        <f t="shared" si="73"/>
        <v>0</v>
      </c>
      <c r="F427" s="75">
        <f t="shared" si="73"/>
        <v>0</v>
      </c>
      <c r="G427" s="75">
        <f t="shared" si="73"/>
        <v>2.5000000000000001E-2</v>
      </c>
      <c r="H427" s="75">
        <f t="shared" si="73"/>
        <v>0</v>
      </c>
      <c r="I427" s="75">
        <f t="shared" si="73"/>
        <v>0</v>
      </c>
      <c r="J427" s="75">
        <f t="shared" si="73"/>
        <v>0</v>
      </c>
      <c r="K427" s="75">
        <f t="shared" si="73"/>
        <v>0</v>
      </c>
      <c r="L427" s="76">
        <f t="shared" si="73"/>
        <v>0</v>
      </c>
    </row>
    <row r="428" spans="3:12" ht="15.6" hidden="1">
      <c r="C428" s="39" t="str">
        <f t="shared" si="71"/>
        <v>H</v>
      </c>
      <c r="D428" s="45" t="str">
        <f>Parameter!E$33</f>
        <v>ML 2</v>
      </c>
      <c r="E428" s="74">
        <f t="shared" si="73"/>
        <v>0</v>
      </c>
      <c r="F428" s="75">
        <f t="shared" si="73"/>
        <v>0</v>
      </c>
      <c r="G428" s="75">
        <f t="shared" si="73"/>
        <v>0</v>
      </c>
      <c r="H428" s="75">
        <f t="shared" si="73"/>
        <v>0</v>
      </c>
      <c r="I428" s="75">
        <f t="shared" si="73"/>
        <v>0</v>
      </c>
      <c r="J428" s="75">
        <f t="shared" si="73"/>
        <v>0</v>
      </c>
      <c r="K428" s="75">
        <f t="shared" si="73"/>
        <v>0</v>
      </c>
      <c r="L428" s="76">
        <f t="shared" si="73"/>
        <v>0</v>
      </c>
    </row>
    <row r="429" spans="3:12" ht="15.6" hidden="1">
      <c r="C429" s="39" t="str">
        <f t="shared" si="71"/>
        <v>H</v>
      </c>
      <c r="D429" s="45" t="str">
        <f>Parameter!E$34</f>
        <v>ML One</v>
      </c>
      <c r="E429" s="74">
        <f t="shared" si="73"/>
        <v>0</v>
      </c>
      <c r="F429" s="75">
        <f t="shared" si="73"/>
        <v>0</v>
      </c>
      <c r="G429" s="75">
        <f t="shared" si="73"/>
        <v>0</v>
      </c>
      <c r="H429" s="75">
        <f t="shared" si="73"/>
        <v>0</v>
      </c>
      <c r="I429" s="75">
        <f t="shared" si="73"/>
        <v>0</v>
      </c>
      <c r="J429" s="75">
        <f t="shared" si="73"/>
        <v>0</v>
      </c>
      <c r="K429" s="75">
        <f t="shared" si="73"/>
        <v>0</v>
      </c>
      <c r="L429" s="76">
        <f t="shared" si="73"/>
        <v>0</v>
      </c>
    </row>
    <row r="430" spans="3:12" ht="15.6" hidden="1">
      <c r="C430" s="39" t="str">
        <f t="shared" si="71"/>
        <v>H</v>
      </c>
      <c r="D430" s="45" t="str">
        <f>Parameter!E$35</f>
        <v>Monocular LCoS glasses</v>
      </c>
      <c r="E430" s="74">
        <f t="shared" si="73"/>
        <v>0</v>
      </c>
      <c r="F430" s="75">
        <f t="shared" si="73"/>
        <v>0</v>
      </c>
      <c r="G430" s="75">
        <f t="shared" si="73"/>
        <v>0</v>
      </c>
      <c r="H430" s="75">
        <f t="shared" si="73"/>
        <v>0</v>
      </c>
      <c r="I430" s="75">
        <f t="shared" si="73"/>
        <v>0</v>
      </c>
      <c r="J430" s="75">
        <f t="shared" si="73"/>
        <v>0</v>
      </c>
      <c r="K430" s="75">
        <f t="shared" si="73"/>
        <v>0</v>
      </c>
      <c r="L430" s="76">
        <f t="shared" si="73"/>
        <v>0</v>
      </c>
    </row>
    <row r="431" spans="3:12" ht="15.6" hidden="1">
      <c r="C431" s="39" t="str">
        <f t="shared" si="71"/>
        <v>H</v>
      </c>
      <c r="D431" s="45" t="str">
        <f>Parameter!E$36</f>
        <v>Monocular MicroLED</v>
      </c>
      <c r="E431" s="74">
        <f t="shared" si="73"/>
        <v>0</v>
      </c>
      <c r="F431" s="75">
        <f t="shared" si="73"/>
        <v>0</v>
      </c>
      <c r="G431" s="75">
        <f t="shared" si="73"/>
        <v>0</v>
      </c>
      <c r="H431" s="75">
        <f t="shared" si="73"/>
        <v>0</v>
      </c>
      <c r="I431" s="75">
        <f t="shared" si="73"/>
        <v>0</v>
      </c>
      <c r="J431" s="75">
        <f t="shared" si="73"/>
        <v>0</v>
      </c>
      <c r="K431" s="75">
        <f t="shared" si="73"/>
        <v>0</v>
      </c>
      <c r="L431" s="76">
        <f t="shared" si="73"/>
        <v>0</v>
      </c>
    </row>
    <row r="432" spans="3:12" ht="15.6">
      <c r="C432" s="39" t="str">
        <f t="shared" si="71"/>
        <v/>
      </c>
      <c r="D432" s="45" t="str">
        <f>Parameter!E$37</f>
        <v>Moverio</v>
      </c>
      <c r="E432" s="74">
        <f t="shared" si="73"/>
        <v>6.8513955839999987</v>
      </c>
      <c r="F432" s="75">
        <f t="shared" si="73"/>
        <v>3.4187999999999996</v>
      </c>
      <c r="G432" s="75">
        <f t="shared" si="73"/>
        <v>1.5288000000000002</v>
      </c>
      <c r="H432" s="75">
        <f t="shared" si="73"/>
        <v>0</v>
      </c>
      <c r="I432" s="75">
        <f t="shared" si="73"/>
        <v>0</v>
      </c>
      <c r="J432" s="75">
        <f t="shared" si="73"/>
        <v>0</v>
      </c>
      <c r="K432" s="75">
        <f t="shared" si="73"/>
        <v>0</v>
      </c>
      <c r="L432" s="76">
        <f t="shared" si="73"/>
        <v>0</v>
      </c>
    </row>
    <row r="433" spans="3:12" ht="15.6" hidden="1">
      <c r="C433" s="39" t="str">
        <f t="shared" si="71"/>
        <v>H</v>
      </c>
      <c r="D433" s="45" t="str">
        <f>Parameter!E$38</f>
        <v>MYVU</v>
      </c>
      <c r="E433" s="74">
        <f t="shared" ref="E433:L442" si="74">SUMIF(ARVR_Y_PC_PR, "AR_"&amp;E$402&amp;"_"&amp;$D$401&amp;"_"&amp;$D433, PanelRev)</f>
        <v>0</v>
      </c>
      <c r="F433" s="75">
        <f t="shared" si="74"/>
        <v>0</v>
      </c>
      <c r="G433" s="75">
        <f t="shared" si="74"/>
        <v>0</v>
      </c>
      <c r="H433" s="75">
        <f t="shared" si="74"/>
        <v>0</v>
      </c>
      <c r="I433" s="75">
        <f t="shared" si="74"/>
        <v>0</v>
      </c>
      <c r="J433" s="75">
        <f t="shared" si="74"/>
        <v>0</v>
      </c>
      <c r="K433" s="75">
        <f t="shared" si="74"/>
        <v>0</v>
      </c>
      <c r="L433" s="76">
        <f t="shared" si="74"/>
        <v>0</v>
      </c>
    </row>
    <row r="434" spans="3:12" ht="15.6">
      <c r="C434" s="39" t="str">
        <f t="shared" si="71"/>
        <v/>
      </c>
      <c r="D434" s="45" t="str">
        <f>Parameter!E$39</f>
        <v>NXTWear</v>
      </c>
      <c r="E434" s="74">
        <f t="shared" si="74"/>
        <v>1.9140000000000001</v>
      </c>
      <c r="F434" s="75">
        <f t="shared" si="74"/>
        <v>14.023899999999999</v>
      </c>
      <c r="G434" s="75">
        <f t="shared" si="74"/>
        <v>7.4843999999999991</v>
      </c>
      <c r="H434" s="75">
        <f t="shared" si="74"/>
        <v>0</v>
      </c>
      <c r="I434" s="75">
        <f t="shared" si="74"/>
        <v>0</v>
      </c>
      <c r="J434" s="75">
        <f t="shared" si="74"/>
        <v>0</v>
      </c>
      <c r="K434" s="75">
        <f t="shared" si="74"/>
        <v>0</v>
      </c>
      <c r="L434" s="76">
        <f t="shared" si="74"/>
        <v>0</v>
      </c>
    </row>
    <row r="435" spans="3:12" ht="15.6">
      <c r="C435" s="39" t="str">
        <f t="shared" si="71"/>
        <v/>
      </c>
      <c r="D435" s="45" t="str">
        <f>Parameter!E$40</f>
        <v>One</v>
      </c>
      <c r="E435" s="74">
        <f t="shared" si="74"/>
        <v>0</v>
      </c>
      <c r="F435" s="75">
        <f t="shared" si="74"/>
        <v>0</v>
      </c>
      <c r="G435" s="75">
        <f t="shared" si="74"/>
        <v>6.1750000000000007</v>
      </c>
      <c r="H435" s="75">
        <f t="shared" si="74"/>
        <v>10.75</v>
      </c>
      <c r="I435" s="75">
        <f t="shared" si="74"/>
        <v>0</v>
      </c>
      <c r="J435" s="75">
        <f t="shared" si="74"/>
        <v>0</v>
      </c>
      <c r="K435" s="75">
        <f t="shared" si="74"/>
        <v>0</v>
      </c>
      <c r="L435" s="76">
        <f t="shared" si="74"/>
        <v>0</v>
      </c>
    </row>
    <row r="436" spans="3:12" ht="15.6">
      <c r="C436" s="39" t="str">
        <f t="shared" si="71"/>
        <v/>
      </c>
      <c r="D436" s="45" t="str">
        <f>Parameter!E$41</f>
        <v>One Pro</v>
      </c>
      <c r="E436" s="74">
        <f t="shared" si="74"/>
        <v>0</v>
      </c>
      <c r="F436" s="75">
        <f t="shared" si="74"/>
        <v>0</v>
      </c>
      <c r="G436" s="75">
        <f t="shared" si="74"/>
        <v>0.27500000000000002</v>
      </c>
      <c r="H436" s="75">
        <f t="shared" si="74"/>
        <v>5.0760000000000005</v>
      </c>
      <c r="I436" s="75">
        <f t="shared" si="74"/>
        <v>0</v>
      </c>
      <c r="J436" s="75">
        <f t="shared" si="74"/>
        <v>0</v>
      </c>
      <c r="K436" s="75">
        <f t="shared" si="74"/>
        <v>0</v>
      </c>
      <c r="L436" s="76">
        <f t="shared" si="74"/>
        <v>0</v>
      </c>
    </row>
    <row r="437" spans="3:12" ht="15.6" hidden="1">
      <c r="C437" s="39" t="str">
        <f t="shared" si="71"/>
        <v>H</v>
      </c>
      <c r="D437" s="45" t="str">
        <f>Parameter!E$42</f>
        <v>Quark AI</v>
      </c>
      <c r="E437" s="74">
        <f t="shared" si="74"/>
        <v>0</v>
      </c>
      <c r="F437" s="75">
        <f t="shared" si="74"/>
        <v>0</v>
      </c>
      <c r="G437" s="75">
        <f t="shared" si="74"/>
        <v>0</v>
      </c>
      <c r="H437" s="75">
        <f t="shared" si="74"/>
        <v>0</v>
      </c>
      <c r="I437" s="75">
        <f t="shared" si="74"/>
        <v>0</v>
      </c>
      <c r="J437" s="75">
        <f t="shared" si="74"/>
        <v>0</v>
      </c>
      <c r="K437" s="75">
        <f t="shared" si="74"/>
        <v>0</v>
      </c>
      <c r="L437" s="76">
        <f t="shared" si="74"/>
        <v>0</v>
      </c>
    </row>
    <row r="438" spans="3:12" ht="15.6" hidden="1">
      <c r="C438" s="39" t="str">
        <f t="shared" si="71"/>
        <v>H</v>
      </c>
      <c r="D438" s="45" t="str">
        <f>Parameter!E$43</f>
        <v>Ray-Ban Meta Display</v>
      </c>
      <c r="E438" s="74">
        <f t="shared" si="74"/>
        <v>0</v>
      </c>
      <c r="F438" s="75">
        <f t="shared" si="74"/>
        <v>0</v>
      </c>
      <c r="G438" s="75">
        <f t="shared" si="74"/>
        <v>0</v>
      </c>
      <c r="H438" s="75">
        <f t="shared" si="74"/>
        <v>0</v>
      </c>
      <c r="I438" s="75">
        <f t="shared" si="74"/>
        <v>0</v>
      </c>
      <c r="J438" s="75">
        <f t="shared" si="74"/>
        <v>0</v>
      </c>
      <c r="K438" s="75">
        <f t="shared" si="74"/>
        <v>0</v>
      </c>
      <c r="L438" s="76">
        <f t="shared" si="74"/>
        <v>0</v>
      </c>
    </row>
    <row r="439" spans="3:12" ht="15.6" hidden="1">
      <c r="C439" s="39" t="str">
        <f t="shared" si="71"/>
        <v>H</v>
      </c>
      <c r="D439" s="45" t="str">
        <f>Parameter!E$44</f>
        <v>Shield</v>
      </c>
      <c r="E439" s="74">
        <f t="shared" si="74"/>
        <v>0</v>
      </c>
      <c r="F439" s="75">
        <f t="shared" si="74"/>
        <v>0</v>
      </c>
      <c r="G439" s="75">
        <f t="shared" si="74"/>
        <v>0</v>
      </c>
      <c r="H439" s="75">
        <f t="shared" si="74"/>
        <v>0</v>
      </c>
      <c r="I439" s="75">
        <f t="shared" si="74"/>
        <v>0</v>
      </c>
      <c r="J439" s="75">
        <f t="shared" si="74"/>
        <v>0</v>
      </c>
      <c r="K439" s="75">
        <f t="shared" si="74"/>
        <v>0</v>
      </c>
      <c r="L439" s="76">
        <f t="shared" si="74"/>
        <v>0</v>
      </c>
    </row>
    <row r="440" spans="3:12" ht="15.6">
      <c r="C440" s="39" t="str">
        <f t="shared" si="71"/>
        <v/>
      </c>
      <c r="D440" s="45" t="str">
        <f>Parameter!E$45</f>
        <v>SiOLED glasses</v>
      </c>
      <c r="E440" s="74">
        <f t="shared" si="74"/>
        <v>1.1989942271999998</v>
      </c>
      <c r="F440" s="75">
        <f t="shared" si="74"/>
        <v>6.8830832885759996</v>
      </c>
      <c r="G440" s="75">
        <f t="shared" si="74"/>
        <v>3.4445000000000001</v>
      </c>
      <c r="H440" s="75">
        <f t="shared" si="74"/>
        <v>33.880000000000003</v>
      </c>
      <c r="I440" s="75">
        <f t="shared" si="74"/>
        <v>85.8</v>
      </c>
      <c r="J440" s="75">
        <f t="shared" si="74"/>
        <v>110.517</v>
      </c>
      <c r="K440" s="75">
        <f t="shared" si="74"/>
        <v>156.19999999999999</v>
      </c>
      <c r="L440" s="76">
        <f t="shared" si="74"/>
        <v>216.678</v>
      </c>
    </row>
    <row r="441" spans="3:12" ht="15.6">
      <c r="C441" s="39" t="str">
        <f t="shared" si="71"/>
        <v/>
      </c>
      <c r="D441" s="45" t="str">
        <f>Parameter!E$46</f>
        <v>T1</v>
      </c>
      <c r="E441" s="74">
        <f t="shared" si="74"/>
        <v>2.86</v>
      </c>
      <c r="F441" s="75">
        <f t="shared" si="74"/>
        <v>2.6345000000000001</v>
      </c>
      <c r="G441" s="75">
        <f t="shared" si="74"/>
        <v>0.40700000000000003</v>
      </c>
      <c r="H441" s="75">
        <f t="shared" si="74"/>
        <v>0</v>
      </c>
      <c r="I441" s="75">
        <f t="shared" si="74"/>
        <v>0</v>
      </c>
      <c r="J441" s="75">
        <f t="shared" si="74"/>
        <v>0</v>
      </c>
      <c r="K441" s="75">
        <f t="shared" si="74"/>
        <v>0</v>
      </c>
      <c r="L441" s="76">
        <f t="shared" si="74"/>
        <v>0</v>
      </c>
    </row>
    <row r="442" spans="3:12" ht="15.6">
      <c r="C442" s="39" t="str">
        <f t="shared" si="71"/>
        <v/>
      </c>
      <c r="D442" s="45" t="str">
        <f>Parameter!E$47</f>
        <v>ThinkReality A3</v>
      </c>
      <c r="E442" s="74">
        <f t="shared" si="74"/>
        <v>0.59949711359999991</v>
      </c>
      <c r="F442" s="75">
        <f t="shared" si="74"/>
        <v>0.22130007736319995</v>
      </c>
      <c r="G442" s="75">
        <f t="shared" si="74"/>
        <v>0</v>
      </c>
      <c r="H442" s="75">
        <f t="shared" si="74"/>
        <v>0</v>
      </c>
      <c r="I442" s="75">
        <f t="shared" si="74"/>
        <v>0</v>
      </c>
      <c r="J442" s="75">
        <f t="shared" si="74"/>
        <v>0</v>
      </c>
      <c r="K442" s="75">
        <f t="shared" si="74"/>
        <v>0</v>
      </c>
      <c r="L442" s="76">
        <f t="shared" si="74"/>
        <v>0</v>
      </c>
    </row>
    <row r="443" spans="3:12" ht="16.2" thickBot="1">
      <c r="C443" s="39" t="str">
        <f t="shared" si="71"/>
        <v/>
      </c>
      <c r="D443" s="45" t="str">
        <f>Parameter!E$48</f>
        <v>Viture Pro</v>
      </c>
      <c r="E443" s="74">
        <f t="shared" ref="E443:L452" si="75">SUMIF(ARVR_Y_PC_PR, "AR_"&amp;E$402&amp;"_"&amp;$D$401&amp;"_"&amp;$D443, PanelRev)</f>
        <v>0</v>
      </c>
      <c r="F443" s="75">
        <f t="shared" si="75"/>
        <v>0</v>
      </c>
      <c r="G443" s="75">
        <f t="shared" si="75"/>
        <v>3.3</v>
      </c>
      <c r="H443" s="75">
        <f t="shared" si="75"/>
        <v>0.64800000000000002</v>
      </c>
      <c r="I443" s="75">
        <f t="shared" si="75"/>
        <v>0</v>
      </c>
      <c r="J443" s="75">
        <f t="shared" si="75"/>
        <v>0</v>
      </c>
      <c r="K443" s="75">
        <f t="shared" si="75"/>
        <v>0</v>
      </c>
      <c r="L443" s="76">
        <f t="shared" si="75"/>
        <v>0</v>
      </c>
    </row>
    <row r="444" spans="3:12" ht="15.6" hidden="1">
      <c r="C444" s="39" t="str">
        <f t="shared" si="71"/>
        <v>H</v>
      </c>
      <c r="D444" s="45" t="str">
        <f>Parameter!E$49</f>
        <v>X3 Pro</v>
      </c>
      <c r="E444" s="74">
        <f t="shared" si="75"/>
        <v>0</v>
      </c>
      <c r="F444" s="75">
        <f t="shared" si="75"/>
        <v>0</v>
      </c>
      <c r="G444" s="75">
        <f t="shared" si="75"/>
        <v>0</v>
      </c>
      <c r="H444" s="75">
        <f t="shared" si="75"/>
        <v>0</v>
      </c>
      <c r="I444" s="75">
        <f t="shared" si="75"/>
        <v>0</v>
      </c>
      <c r="J444" s="75">
        <f t="shared" si="75"/>
        <v>0</v>
      </c>
      <c r="K444" s="75">
        <f t="shared" si="75"/>
        <v>0</v>
      </c>
      <c r="L444" s="76">
        <f t="shared" si="75"/>
        <v>0</v>
      </c>
    </row>
    <row r="445" spans="3:12" ht="15.6" hidden="1">
      <c r="C445" s="39" t="str">
        <f t="shared" si="71"/>
        <v>H</v>
      </c>
      <c r="D445" s="45" t="str">
        <f>Parameter!E$50</f>
        <v>Z100</v>
      </c>
      <c r="E445" s="74">
        <f t="shared" si="75"/>
        <v>0</v>
      </c>
      <c r="F445" s="75">
        <f t="shared" si="75"/>
        <v>0</v>
      </c>
      <c r="G445" s="75">
        <f t="shared" si="75"/>
        <v>0</v>
      </c>
      <c r="H445" s="75">
        <f t="shared" si="75"/>
        <v>0</v>
      </c>
      <c r="I445" s="75">
        <f t="shared" si="75"/>
        <v>0</v>
      </c>
      <c r="J445" s="75">
        <f t="shared" si="75"/>
        <v>0</v>
      </c>
      <c r="K445" s="75">
        <f t="shared" si="75"/>
        <v>0</v>
      </c>
      <c r="L445" s="76">
        <f t="shared" si="75"/>
        <v>0</v>
      </c>
    </row>
    <row r="446" spans="3:12" ht="15.6" hidden="1">
      <c r="C446" s="39" t="str">
        <f t="shared" si="71"/>
        <v>H</v>
      </c>
      <c r="D446" s="45">
        <f>Parameter!E$51</f>
        <v>0</v>
      </c>
      <c r="E446" s="74">
        <f t="shared" si="75"/>
        <v>0</v>
      </c>
      <c r="F446" s="75">
        <f t="shared" si="75"/>
        <v>0</v>
      </c>
      <c r="G446" s="75">
        <f t="shared" si="75"/>
        <v>0</v>
      </c>
      <c r="H446" s="75">
        <f t="shared" si="75"/>
        <v>0</v>
      </c>
      <c r="I446" s="75">
        <f t="shared" si="75"/>
        <v>0</v>
      </c>
      <c r="J446" s="75">
        <f t="shared" si="75"/>
        <v>0</v>
      </c>
      <c r="K446" s="75">
        <f t="shared" si="75"/>
        <v>0</v>
      </c>
      <c r="L446" s="76">
        <f t="shared" si="75"/>
        <v>0</v>
      </c>
    </row>
    <row r="447" spans="3:12" ht="15.6" hidden="1">
      <c r="C447" s="39" t="str">
        <f t="shared" si="71"/>
        <v>H</v>
      </c>
      <c r="D447" s="45">
        <f>Parameter!E$52</f>
        <v>0</v>
      </c>
      <c r="E447" s="74">
        <f t="shared" si="75"/>
        <v>0</v>
      </c>
      <c r="F447" s="75">
        <f t="shared" si="75"/>
        <v>0</v>
      </c>
      <c r="G447" s="75">
        <f t="shared" si="75"/>
        <v>0</v>
      </c>
      <c r="H447" s="75">
        <f t="shared" si="75"/>
        <v>0</v>
      </c>
      <c r="I447" s="75">
        <f t="shared" si="75"/>
        <v>0</v>
      </c>
      <c r="J447" s="75">
        <f t="shared" si="75"/>
        <v>0</v>
      </c>
      <c r="K447" s="75">
        <f t="shared" si="75"/>
        <v>0</v>
      </c>
      <c r="L447" s="76">
        <f t="shared" si="75"/>
        <v>0</v>
      </c>
    </row>
    <row r="448" spans="3:12" ht="15.6" hidden="1">
      <c r="C448" s="39" t="str">
        <f t="shared" si="71"/>
        <v>H</v>
      </c>
      <c r="D448" s="45">
        <f>Parameter!E$53</f>
        <v>0</v>
      </c>
      <c r="E448" s="74">
        <f t="shared" si="75"/>
        <v>0</v>
      </c>
      <c r="F448" s="75">
        <f t="shared" si="75"/>
        <v>0</v>
      </c>
      <c r="G448" s="75">
        <f t="shared" si="75"/>
        <v>0</v>
      </c>
      <c r="H448" s="75">
        <f t="shared" si="75"/>
        <v>0</v>
      </c>
      <c r="I448" s="75">
        <f t="shared" si="75"/>
        <v>0</v>
      </c>
      <c r="J448" s="75">
        <f t="shared" si="75"/>
        <v>0</v>
      </c>
      <c r="K448" s="75">
        <f t="shared" si="75"/>
        <v>0</v>
      </c>
      <c r="L448" s="76">
        <f t="shared" si="75"/>
        <v>0</v>
      </c>
    </row>
    <row r="449" spans="3:12" ht="15.6" hidden="1">
      <c r="C449" s="39" t="str">
        <f t="shared" si="71"/>
        <v>H</v>
      </c>
      <c r="D449" s="45">
        <f>Parameter!E$54</f>
        <v>0</v>
      </c>
      <c r="E449" s="74">
        <f t="shared" si="75"/>
        <v>0</v>
      </c>
      <c r="F449" s="75">
        <f t="shared" si="75"/>
        <v>0</v>
      </c>
      <c r="G449" s="75">
        <f t="shared" si="75"/>
        <v>0</v>
      </c>
      <c r="H449" s="75">
        <f t="shared" si="75"/>
        <v>0</v>
      </c>
      <c r="I449" s="75">
        <f t="shared" si="75"/>
        <v>0</v>
      </c>
      <c r="J449" s="75">
        <f t="shared" si="75"/>
        <v>0</v>
      </c>
      <c r="K449" s="75">
        <f t="shared" si="75"/>
        <v>0</v>
      </c>
      <c r="L449" s="76">
        <f t="shared" si="75"/>
        <v>0</v>
      </c>
    </row>
    <row r="450" spans="3:12" ht="15.6" hidden="1">
      <c r="C450" s="39" t="str">
        <f t="shared" si="71"/>
        <v>H</v>
      </c>
      <c r="D450" s="45">
        <f>Parameter!E$55</f>
        <v>0</v>
      </c>
      <c r="E450" s="74">
        <f t="shared" si="75"/>
        <v>0</v>
      </c>
      <c r="F450" s="75">
        <f t="shared" si="75"/>
        <v>0</v>
      </c>
      <c r="G450" s="75">
        <f t="shared" si="75"/>
        <v>0</v>
      </c>
      <c r="H450" s="75">
        <f t="shared" si="75"/>
        <v>0</v>
      </c>
      <c r="I450" s="75">
        <f t="shared" si="75"/>
        <v>0</v>
      </c>
      <c r="J450" s="75">
        <f t="shared" si="75"/>
        <v>0</v>
      </c>
      <c r="K450" s="75">
        <f t="shared" si="75"/>
        <v>0</v>
      </c>
      <c r="L450" s="76">
        <f t="shared" si="75"/>
        <v>0</v>
      </c>
    </row>
    <row r="451" spans="3:12" ht="15.6" hidden="1">
      <c r="C451" s="39" t="str">
        <f t="shared" si="71"/>
        <v>H</v>
      </c>
      <c r="D451" s="45">
        <f>Parameter!E$56</f>
        <v>0</v>
      </c>
      <c r="E451" s="74">
        <f t="shared" si="75"/>
        <v>0</v>
      </c>
      <c r="F451" s="75">
        <f t="shared" si="75"/>
        <v>0</v>
      </c>
      <c r="G451" s="75">
        <f t="shared" si="75"/>
        <v>0</v>
      </c>
      <c r="H451" s="75">
        <f t="shared" si="75"/>
        <v>0</v>
      </c>
      <c r="I451" s="75">
        <f t="shared" si="75"/>
        <v>0</v>
      </c>
      <c r="J451" s="75">
        <f t="shared" si="75"/>
        <v>0</v>
      </c>
      <c r="K451" s="75">
        <f t="shared" si="75"/>
        <v>0</v>
      </c>
      <c r="L451" s="76">
        <f t="shared" si="75"/>
        <v>0</v>
      </c>
    </row>
    <row r="452" spans="3:12" ht="16.2" hidden="1" thickBot="1">
      <c r="C452" s="39" t="str">
        <f t="shared" si="71"/>
        <v>H</v>
      </c>
      <c r="D452" s="53" t="str">
        <f>Parameter!E$57</f>
        <v>ALL</v>
      </c>
      <c r="E452" s="77">
        <f t="shared" si="75"/>
        <v>0</v>
      </c>
      <c r="F452" s="78">
        <f t="shared" si="75"/>
        <v>0</v>
      </c>
      <c r="G452" s="78">
        <f t="shared" si="75"/>
        <v>0</v>
      </c>
      <c r="H452" s="78">
        <f t="shared" si="75"/>
        <v>0</v>
      </c>
      <c r="I452" s="78">
        <f t="shared" si="75"/>
        <v>0</v>
      </c>
      <c r="J452" s="78">
        <f t="shared" si="75"/>
        <v>0</v>
      </c>
      <c r="K452" s="78">
        <f t="shared" si="75"/>
        <v>0</v>
      </c>
      <c r="L452" s="79">
        <f t="shared" si="75"/>
        <v>0</v>
      </c>
    </row>
    <row r="453" spans="3:12" ht="15.6">
      <c r="C453" s="39" t="str">
        <f t="shared" si="71"/>
        <v/>
      </c>
      <c r="D453" s="54" t="s">
        <v>87</v>
      </c>
      <c r="E453" s="80">
        <f>SUM(E403:E452)</f>
        <v>41.404620364799996</v>
      </c>
      <c r="F453" s="81">
        <f t="shared" ref="F453:L453" si="76">SUM(F403:F452)</f>
        <v>53.627095094144003</v>
      </c>
      <c r="G453" s="81">
        <f t="shared" si="76"/>
        <v>43.096629209343988</v>
      </c>
      <c r="H453" s="81">
        <f t="shared" si="76"/>
        <v>69.207999999999998</v>
      </c>
      <c r="I453" s="81">
        <f t="shared" si="76"/>
        <v>85.8</v>
      </c>
      <c r="J453" s="81">
        <f t="shared" si="76"/>
        <v>110.517</v>
      </c>
      <c r="K453" s="81">
        <f t="shared" si="76"/>
        <v>156.19999999999999</v>
      </c>
      <c r="L453" s="82">
        <f t="shared" si="76"/>
        <v>216.678</v>
      </c>
    </row>
    <row r="454" spans="3:12" ht="16.2" thickBot="1">
      <c r="C454" s="39" t="str">
        <f t="shared" si="71"/>
        <v/>
      </c>
      <c r="D454" s="46" t="s">
        <v>88</v>
      </c>
      <c r="E454" s="47"/>
      <c r="F454" s="50">
        <f t="shared" ref="F454:G454" si="77">IF(E453*F453=0, "", F453/E453-1)</f>
        <v>0.29519591344290896</v>
      </c>
      <c r="G454" s="50">
        <f t="shared" si="77"/>
        <v>-0.1963646523518281</v>
      </c>
      <c r="H454" s="50">
        <f>IF(G453*H453=0, "", H453/G453-1)</f>
        <v>0.60587965392417931</v>
      </c>
      <c r="I454" s="50">
        <f t="shared" ref="I454:L454" si="78">IF(H453*I453=0, "", I453/H453-1)</f>
        <v>0.23974107039648596</v>
      </c>
      <c r="J454" s="50">
        <f t="shared" si="78"/>
        <v>0.28807692307692312</v>
      </c>
      <c r="K454" s="50">
        <f t="shared" si="78"/>
        <v>0.41335722106101325</v>
      </c>
      <c r="L454" s="51">
        <f t="shared" si="78"/>
        <v>0.38718309859154942</v>
      </c>
    </row>
    <row r="455" spans="3:12">
      <c r="C455"/>
    </row>
    <row r="456" spans="3:12" ht="14.4" thickBot="1">
      <c r="C456"/>
    </row>
    <row r="457" spans="3:12" ht="15.6" hidden="1" thickBot="1">
      <c r="C457" s="39" t="str">
        <f t="shared" ref="C457:C510" si="79">IF(SUM(E457:L457)=0, "H", "")</f>
        <v>H</v>
      </c>
      <c r="D457" s="52">
        <f>Parameter!I16</f>
        <v>0</v>
      </c>
    </row>
    <row r="458" spans="3:12" ht="16.2" thickBot="1">
      <c r="C458" s="39" t="str">
        <f t="shared" si="79"/>
        <v/>
      </c>
      <c r="D458" s="40" t="s">
        <v>85</v>
      </c>
      <c r="E458" s="41" t="str">
        <f>E10</f>
        <v>2022</v>
      </c>
      <c r="F458" s="42" t="str">
        <f t="shared" ref="F458:L458" si="80">F10</f>
        <v>2023</v>
      </c>
      <c r="G458" s="42" t="str">
        <f t="shared" si="80"/>
        <v>2024</v>
      </c>
      <c r="H458" s="42">
        <f t="shared" si="80"/>
        <v>2025</v>
      </c>
      <c r="I458" s="42" t="str">
        <f t="shared" si="80"/>
        <v>2026</v>
      </c>
      <c r="J458" s="42" t="str">
        <f t="shared" si="80"/>
        <v>2027</v>
      </c>
      <c r="K458" s="42" t="str">
        <f t="shared" si="80"/>
        <v>2028</v>
      </c>
      <c r="L458" s="43" t="str">
        <f t="shared" si="80"/>
        <v>2029</v>
      </c>
    </row>
    <row r="459" spans="3:12" ht="15.6" hidden="1">
      <c r="C459" s="39" t="str">
        <f t="shared" si="79"/>
        <v>H</v>
      </c>
      <c r="D459" s="44" t="str">
        <f>Parameter!E$8</f>
        <v>Air</v>
      </c>
      <c r="E459" s="74">
        <f t="shared" ref="E459:L468" si="81">SUMIF(ARVR_Y_PC_PR, "AR_"&amp;E$458&amp;"_"&amp;$D$457&amp;"_"&amp;$D459, PanelRev)</f>
        <v>0</v>
      </c>
      <c r="F459" s="75">
        <f t="shared" si="81"/>
        <v>0</v>
      </c>
      <c r="G459" s="75">
        <f t="shared" si="81"/>
        <v>0</v>
      </c>
      <c r="H459" s="75">
        <f t="shared" si="81"/>
        <v>0</v>
      </c>
      <c r="I459" s="75">
        <f t="shared" si="81"/>
        <v>0</v>
      </c>
      <c r="J459" s="75">
        <f t="shared" si="81"/>
        <v>0</v>
      </c>
      <c r="K459" s="75">
        <f t="shared" si="81"/>
        <v>0</v>
      </c>
      <c r="L459" s="76">
        <f t="shared" si="81"/>
        <v>0</v>
      </c>
    </row>
    <row r="460" spans="3:12" ht="15.6" hidden="1">
      <c r="C460" s="39" t="str">
        <f t="shared" si="79"/>
        <v>H</v>
      </c>
      <c r="D460" s="44" t="str">
        <f>Parameter!E$9</f>
        <v>Air 2</v>
      </c>
      <c r="E460" s="74">
        <f t="shared" si="81"/>
        <v>0</v>
      </c>
      <c r="F460" s="75">
        <f t="shared" si="81"/>
        <v>0</v>
      </c>
      <c r="G460" s="75">
        <f t="shared" si="81"/>
        <v>0</v>
      </c>
      <c r="H460" s="75">
        <f t="shared" si="81"/>
        <v>0</v>
      </c>
      <c r="I460" s="75">
        <f t="shared" si="81"/>
        <v>0</v>
      </c>
      <c r="J460" s="75">
        <f t="shared" si="81"/>
        <v>0</v>
      </c>
      <c r="K460" s="75">
        <f t="shared" si="81"/>
        <v>0</v>
      </c>
      <c r="L460" s="76">
        <f t="shared" si="81"/>
        <v>0</v>
      </c>
    </row>
    <row r="461" spans="3:12" ht="15.6" hidden="1">
      <c r="C461" s="39" t="str">
        <f t="shared" si="79"/>
        <v>H</v>
      </c>
      <c r="D461" s="45" t="str">
        <f>Parameter!E$10</f>
        <v>Air 3</v>
      </c>
      <c r="E461" s="74">
        <f t="shared" si="81"/>
        <v>0</v>
      </c>
      <c r="F461" s="75">
        <f t="shared" si="81"/>
        <v>0</v>
      </c>
      <c r="G461" s="75">
        <f t="shared" si="81"/>
        <v>0</v>
      </c>
      <c r="H461" s="75">
        <f t="shared" si="81"/>
        <v>0</v>
      </c>
      <c r="I461" s="75">
        <f t="shared" si="81"/>
        <v>0</v>
      </c>
      <c r="J461" s="75">
        <f t="shared" si="81"/>
        <v>0</v>
      </c>
      <c r="K461" s="75">
        <f t="shared" si="81"/>
        <v>0</v>
      </c>
      <c r="L461" s="76">
        <f t="shared" si="81"/>
        <v>0</v>
      </c>
    </row>
    <row r="462" spans="3:12" ht="15.6" hidden="1">
      <c r="C462" s="39" t="str">
        <f t="shared" si="79"/>
        <v>H</v>
      </c>
      <c r="D462" s="45" t="str">
        <f>Parameter!E$11</f>
        <v>Air 3s Pro</v>
      </c>
      <c r="E462" s="74">
        <f t="shared" si="81"/>
        <v>0</v>
      </c>
      <c r="F462" s="75">
        <f t="shared" si="81"/>
        <v>0</v>
      </c>
      <c r="G462" s="75">
        <f t="shared" si="81"/>
        <v>0</v>
      </c>
      <c r="H462" s="75">
        <f t="shared" si="81"/>
        <v>0</v>
      </c>
      <c r="I462" s="75">
        <f t="shared" si="81"/>
        <v>0</v>
      </c>
      <c r="J462" s="75">
        <f t="shared" si="81"/>
        <v>0</v>
      </c>
      <c r="K462" s="75">
        <f t="shared" si="81"/>
        <v>0</v>
      </c>
      <c r="L462" s="76">
        <f t="shared" si="81"/>
        <v>0</v>
      </c>
    </row>
    <row r="463" spans="3:12" ht="15.6" hidden="1">
      <c r="C463" s="39" t="str">
        <f t="shared" si="79"/>
        <v>H</v>
      </c>
      <c r="D463" s="45" t="str">
        <f>Parameter!E$12</f>
        <v>Air Glass</v>
      </c>
      <c r="E463" s="74">
        <f t="shared" si="81"/>
        <v>0</v>
      </c>
      <c r="F463" s="75">
        <f t="shared" si="81"/>
        <v>0</v>
      </c>
      <c r="G463" s="75">
        <f t="shared" si="81"/>
        <v>0</v>
      </c>
      <c r="H463" s="75">
        <f t="shared" si="81"/>
        <v>0</v>
      </c>
      <c r="I463" s="75">
        <f t="shared" si="81"/>
        <v>0</v>
      </c>
      <c r="J463" s="75">
        <f t="shared" si="81"/>
        <v>0</v>
      </c>
      <c r="K463" s="75">
        <f t="shared" si="81"/>
        <v>0</v>
      </c>
      <c r="L463" s="76">
        <f t="shared" si="81"/>
        <v>0</v>
      </c>
    </row>
    <row r="464" spans="3:12" ht="15.6" hidden="1">
      <c r="C464" s="39" t="str">
        <f t="shared" si="79"/>
        <v>H</v>
      </c>
      <c r="D464" s="45" t="str">
        <f>Parameter!E$13</f>
        <v>Binocular MicroLED</v>
      </c>
      <c r="E464" s="74">
        <f t="shared" si="81"/>
        <v>0</v>
      </c>
      <c r="F464" s="75">
        <f t="shared" si="81"/>
        <v>0</v>
      </c>
      <c r="G464" s="75">
        <f t="shared" si="81"/>
        <v>0</v>
      </c>
      <c r="H464" s="75">
        <f t="shared" si="81"/>
        <v>0</v>
      </c>
      <c r="I464" s="75">
        <f t="shared" si="81"/>
        <v>0</v>
      </c>
      <c r="J464" s="75">
        <f t="shared" si="81"/>
        <v>0</v>
      </c>
      <c r="K464" s="75">
        <f t="shared" si="81"/>
        <v>0</v>
      </c>
      <c r="L464" s="76">
        <f t="shared" si="81"/>
        <v>0</v>
      </c>
    </row>
    <row r="465" spans="3:12" ht="15.6" hidden="1">
      <c r="C465" s="39" t="str">
        <f t="shared" si="79"/>
        <v>H</v>
      </c>
      <c r="D465" s="45" t="str">
        <f>Parameter!E$14</f>
        <v>Blade</v>
      </c>
      <c r="E465" s="74">
        <f t="shared" si="81"/>
        <v>0</v>
      </c>
      <c r="F465" s="75">
        <f t="shared" si="81"/>
        <v>0</v>
      </c>
      <c r="G465" s="75">
        <f t="shared" si="81"/>
        <v>0</v>
      </c>
      <c r="H465" s="75">
        <f t="shared" si="81"/>
        <v>0</v>
      </c>
      <c r="I465" s="75">
        <f t="shared" si="81"/>
        <v>0</v>
      </c>
      <c r="J465" s="75">
        <f t="shared" si="81"/>
        <v>0</v>
      </c>
      <c r="K465" s="75">
        <f t="shared" si="81"/>
        <v>0</v>
      </c>
      <c r="L465" s="76">
        <f t="shared" si="81"/>
        <v>0</v>
      </c>
    </row>
    <row r="466" spans="3:12" ht="15.6" hidden="1">
      <c r="C466" s="39" t="str">
        <f t="shared" si="79"/>
        <v>H</v>
      </c>
      <c r="D466" s="45" t="str">
        <f>Parameter!E$15</f>
        <v>DLP glasses</v>
      </c>
      <c r="E466" s="74">
        <f t="shared" si="81"/>
        <v>0</v>
      </c>
      <c r="F466" s="75">
        <f t="shared" si="81"/>
        <v>0</v>
      </c>
      <c r="G466" s="75">
        <f t="shared" si="81"/>
        <v>0</v>
      </c>
      <c r="H466" s="75">
        <f t="shared" si="81"/>
        <v>0</v>
      </c>
      <c r="I466" s="75">
        <f t="shared" si="81"/>
        <v>0</v>
      </c>
      <c r="J466" s="75">
        <f t="shared" si="81"/>
        <v>0</v>
      </c>
      <c r="K466" s="75">
        <f t="shared" si="81"/>
        <v>0</v>
      </c>
      <c r="L466" s="76">
        <f t="shared" si="81"/>
        <v>0</v>
      </c>
    </row>
    <row r="467" spans="3:12" ht="15.6" hidden="1">
      <c r="C467" s="39" t="str">
        <f t="shared" si="79"/>
        <v>H</v>
      </c>
      <c r="D467" s="45" t="str">
        <f>Parameter!E$16</f>
        <v>G1</v>
      </c>
      <c r="E467" s="74">
        <f t="shared" si="81"/>
        <v>0</v>
      </c>
      <c r="F467" s="75">
        <f t="shared" si="81"/>
        <v>0</v>
      </c>
      <c r="G467" s="75">
        <f t="shared" si="81"/>
        <v>0</v>
      </c>
      <c r="H467" s="75">
        <f t="shared" si="81"/>
        <v>0</v>
      </c>
      <c r="I467" s="75">
        <f t="shared" si="81"/>
        <v>0</v>
      </c>
      <c r="J467" s="75">
        <f t="shared" si="81"/>
        <v>0</v>
      </c>
      <c r="K467" s="75">
        <f t="shared" si="81"/>
        <v>0</v>
      </c>
      <c r="L467" s="76">
        <f t="shared" si="81"/>
        <v>0</v>
      </c>
    </row>
    <row r="468" spans="3:12" ht="15.6" hidden="1">
      <c r="C468" s="39" t="str">
        <f t="shared" si="79"/>
        <v>H</v>
      </c>
      <c r="D468" s="45" t="str">
        <f>Parameter!E$17</f>
        <v>Glass</v>
      </c>
      <c r="E468" s="74">
        <f t="shared" si="81"/>
        <v>0</v>
      </c>
      <c r="F468" s="75">
        <f t="shared" si="81"/>
        <v>0</v>
      </c>
      <c r="G468" s="75">
        <f t="shared" si="81"/>
        <v>0</v>
      </c>
      <c r="H468" s="75">
        <f t="shared" si="81"/>
        <v>0</v>
      </c>
      <c r="I468" s="75">
        <f t="shared" si="81"/>
        <v>0</v>
      </c>
      <c r="J468" s="75">
        <f t="shared" si="81"/>
        <v>0</v>
      </c>
      <c r="K468" s="75">
        <f t="shared" si="81"/>
        <v>0</v>
      </c>
      <c r="L468" s="76">
        <f t="shared" si="81"/>
        <v>0</v>
      </c>
    </row>
    <row r="469" spans="3:12" ht="15.6" hidden="1">
      <c r="C469" s="39" t="str">
        <f t="shared" si="79"/>
        <v>H</v>
      </c>
      <c r="D469" s="45" t="str">
        <f>Parameter!E$18</f>
        <v>Glasses</v>
      </c>
      <c r="E469" s="74">
        <f t="shared" ref="E469:L478" si="82">SUMIF(ARVR_Y_PC_PR, "AR_"&amp;E$458&amp;"_"&amp;$D$457&amp;"_"&amp;$D469, PanelRev)</f>
        <v>0</v>
      </c>
      <c r="F469" s="75">
        <f t="shared" si="82"/>
        <v>0</v>
      </c>
      <c r="G469" s="75">
        <f t="shared" si="82"/>
        <v>0</v>
      </c>
      <c r="H469" s="75">
        <f t="shared" si="82"/>
        <v>0</v>
      </c>
      <c r="I469" s="75">
        <f t="shared" si="82"/>
        <v>0</v>
      </c>
      <c r="J469" s="75">
        <f t="shared" si="82"/>
        <v>0</v>
      </c>
      <c r="K469" s="75">
        <f t="shared" si="82"/>
        <v>0</v>
      </c>
      <c r="L469" s="76">
        <f t="shared" si="82"/>
        <v>0</v>
      </c>
    </row>
    <row r="470" spans="3:12" ht="15.6" hidden="1">
      <c r="C470" s="39" t="str">
        <f t="shared" si="79"/>
        <v>H</v>
      </c>
      <c r="D470" s="45" t="str">
        <f>Parameter!E$19</f>
        <v>Go</v>
      </c>
      <c r="E470" s="74">
        <f t="shared" si="82"/>
        <v>0</v>
      </c>
      <c r="F470" s="75">
        <f t="shared" si="82"/>
        <v>0</v>
      </c>
      <c r="G470" s="75">
        <f t="shared" si="82"/>
        <v>0</v>
      </c>
      <c r="H470" s="75">
        <f t="shared" si="82"/>
        <v>0</v>
      </c>
      <c r="I470" s="75">
        <f t="shared" si="82"/>
        <v>0</v>
      </c>
      <c r="J470" s="75">
        <f t="shared" si="82"/>
        <v>0</v>
      </c>
      <c r="K470" s="75">
        <f t="shared" si="82"/>
        <v>0</v>
      </c>
      <c r="L470" s="76">
        <f t="shared" si="82"/>
        <v>0</v>
      </c>
    </row>
    <row r="471" spans="3:12" ht="15.6" hidden="1">
      <c r="C471" s="39" t="str">
        <f t="shared" si="79"/>
        <v>H</v>
      </c>
      <c r="D471" s="45" t="str">
        <f>Parameter!E$20</f>
        <v>Go 2</v>
      </c>
      <c r="E471" s="74">
        <f t="shared" si="82"/>
        <v>0</v>
      </c>
      <c r="F471" s="75">
        <f t="shared" si="82"/>
        <v>0</v>
      </c>
      <c r="G471" s="75">
        <f t="shared" si="82"/>
        <v>0</v>
      </c>
      <c r="H471" s="75">
        <f t="shared" si="82"/>
        <v>0</v>
      </c>
      <c r="I471" s="75">
        <f t="shared" si="82"/>
        <v>0</v>
      </c>
      <c r="J471" s="75">
        <f t="shared" si="82"/>
        <v>0</v>
      </c>
      <c r="K471" s="75">
        <f t="shared" si="82"/>
        <v>0</v>
      </c>
      <c r="L471" s="76">
        <f t="shared" si="82"/>
        <v>0</v>
      </c>
    </row>
    <row r="472" spans="3:12" ht="15.6" hidden="1">
      <c r="C472" s="39" t="str">
        <f t="shared" si="79"/>
        <v>H</v>
      </c>
      <c r="D472" s="45" t="str">
        <f>Parameter!E$21</f>
        <v>HoloLens 2</v>
      </c>
      <c r="E472" s="74">
        <f t="shared" si="82"/>
        <v>0</v>
      </c>
      <c r="F472" s="75">
        <f t="shared" si="82"/>
        <v>0</v>
      </c>
      <c r="G472" s="75">
        <f t="shared" si="82"/>
        <v>0</v>
      </c>
      <c r="H472" s="75">
        <f t="shared" si="82"/>
        <v>0</v>
      </c>
      <c r="I472" s="75">
        <f t="shared" si="82"/>
        <v>0</v>
      </c>
      <c r="J472" s="75">
        <f t="shared" si="82"/>
        <v>0</v>
      </c>
      <c r="K472" s="75">
        <f t="shared" si="82"/>
        <v>0</v>
      </c>
      <c r="L472" s="76">
        <f t="shared" si="82"/>
        <v>0</v>
      </c>
    </row>
    <row r="473" spans="3:12" ht="15.6" hidden="1">
      <c r="C473" s="39" t="str">
        <f t="shared" si="79"/>
        <v>H</v>
      </c>
      <c r="D473" s="45" t="str">
        <f>Parameter!E$22</f>
        <v>INAIR 2</v>
      </c>
      <c r="E473" s="74">
        <f t="shared" si="82"/>
        <v>0</v>
      </c>
      <c r="F473" s="75">
        <f t="shared" si="82"/>
        <v>0</v>
      </c>
      <c r="G473" s="75">
        <f t="shared" si="82"/>
        <v>0</v>
      </c>
      <c r="H473" s="75">
        <f t="shared" si="82"/>
        <v>0</v>
      </c>
      <c r="I473" s="75">
        <f t="shared" si="82"/>
        <v>0</v>
      </c>
      <c r="J473" s="75">
        <f t="shared" si="82"/>
        <v>0</v>
      </c>
      <c r="K473" s="75">
        <f t="shared" si="82"/>
        <v>0</v>
      </c>
      <c r="L473" s="76">
        <f t="shared" si="82"/>
        <v>0</v>
      </c>
    </row>
    <row r="474" spans="3:12" ht="15.6" hidden="1">
      <c r="C474" s="39" t="str">
        <f t="shared" si="79"/>
        <v>H</v>
      </c>
      <c r="D474" s="45" t="str">
        <f>Parameter!E$23</f>
        <v>INAIR 2 Pro</v>
      </c>
      <c r="E474" s="74">
        <f t="shared" si="82"/>
        <v>0</v>
      </c>
      <c r="F474" s="75">
        <f t="shared" si="82"/>
        <v>0</v>
      </c>
      <c r="G474" s="75">
        <f t="shared" si="82"/>
        <v>0</v>
      </c>
      <c r="H474" s="75">
        <f t="shared" si="82"/>
        <v>0</v>
      </c>
      <c r="I474" s="75">
        <f t="shared" si="82"/>
        <v>0</v>
      </c>
      <c r="J474" s="75">
        <f t="shared" si="82"/>
        <v>0</v>
      </c>
      <c r="K474" s="75">
        <f t="shared" si="82"/>
        <v>0</v>
      </c>
      <c r="L474" s="76">
        <f t="shared" si="82"/>
        <v>0</v>
      </c>
    </row>
    <row r="475" spans="3:12" ht="15.6" hidden="1">
      <c r="C475" s="39" t="str">
        <f t="shared" si="79"/>
        <v>H</v>
      </c>
      <c r="D475" s="45" t="str">
        <f>Parameter!E$24</f>
        <v>LBS glasses</v>
      </c>
      <c r="E475" s="74">
        <f t="shared" si="82"/>
        <v>0</v>
      </c>
      <c r="F475" s="75">
        <f t="shared" si="82"/>
        <v>0</v>
      </c>
      <c r="G475" s="75">
        <f t="shared" si="82"/>
        <v>0</v>
      </c>
      <c r="H475" s="75">
        <f t="shared" si="82"/>
        <v>0</v>
      </c>
      <c r="I475" s="75">
        <f t="shared" si="82"/>
        <v>0</v>
      </c>
      <c r="J475" s="75">
        <f t="shared" si="82"/>
        <v>0</v>
      </c>
      <c r="K475" s="75">
        <f t="shared" si="82"/>
        <v>0</v>
      </c>
      <c r="L475" s="76">
        <f t="shared" si="82"/>
        <v>0</v>
      </c>
    </row>
    <row r="476" spans="3:12" ht="15.6" hidden="1">
      <c r="C476" s="39" t="str">
        <f t="shared" si="79"/>
        <v>H</v>
      </c>
      <c r="D476" s="45" t="str">
        <f>Parameter!E$25</f>
        <v>LCoS glasses</v>
      </c>
      <c r="E476" s="74">
        <f t="shared" si="82"/>
        <v>0</v>
      </c>
      <c r="F476" s="75">
        <f t="shared" si="82"/>
        <v>0</v>
      </c>
      <c r="G476" s="75">
        <f t="shared" si="82"/>
        <v>0</v>
      </c>
      <c r="H476" s="75">
        <f t="shared" si="82"/>
        <v>0</v>
      </c>
      <c r="I476" s="75">
        <f t="shared" si="82"/>
        <v>0</v>
      </c>
      <c r="J476" s="75">
        <f t="shared" si="82"/>
        <v>0</v>
      </c>
      <c r="K476" s="75">
        <f t="shared" si="82"/>
        <v>0</v>
      </c>
      <c r="L476" s="76">
        <f t="shared" si="82"/>
        <v>0</v>
      </c>
    </row>
    <row r="477" spans="3:12" ht="15.6" hidden="1">
      <c r="C477" s="39" t="str">
        <f t="shared" si="79"/>
        <v>H</v>
      </c>
      <c r="D477" s="45" t="str">
        <f>Parameter!E$26</f>
        <v>Lenovo Legion Glasses 2</v>
      </c>
      <c r="E477" s="74">
        <f t="shared" si="82"/>
        <v>0</v>
      </c>
      <c r="F477" s="75">
        <f t="shared" si="82"/>
        <v>0</v>
      </c>
      <c r="G477" s="75">
        <f t="shared" si="82"/>
        <v>0</v>
      </c>
      <c r="H477" s="75">
        <f t="shared" si="82"/>
        <v>0</v>
      </c>
      <c r="I477" s="75">
        <f t="shared" si="82"/>
        <v>0</v>
      </c>
      <c r="J477" s="75">
        <f t="shared" si="82"/>
        <v>0</v>
      </c>
      <c r="K477" s="75">
        <f t="shared" si="82"/>
        <v>0</v>
      </c>
      <c r="L477" s="76">
        <f t="shared" si="82"/>
        <v>0</v>
      </c>
    </row>
    <row r="478" spans="3:12" ht="15.6" hidden="1">
      <c r="C478" s="39" t="str">
        <f t="shared" si="79"/>
        <v>H</v>
      </c>
      <c r="D478" s="45" t="str">
        <f>Parameter!E$27</f>
        <v>Light</v>
      </c>
      <c r="E478" s="74">
        <f t="shared" si="82"/>
        <v>0</v>
      </c>
      <c r="F478" s="75">
        <f t="shared" si="82"/>
        <v>0</v>
      </c>
      <c r="G478" s="75">
        <f t="shared" si="82"/>
        <v>0</v>
      </c>
      <c r="H478" s="75">
        <f t="shared" si="82"/>
        <v>0</v>
      </c>
      <c r="I478" s="75">
        <f t="shared" si="82"/>
        <v>0</v>
      </c>
      <c r="J478" s="75">
        <f t="shared" si="82"/>
        <v>0</v>
      </c>
      <c r="K478" s="75">
        <f t="shared" si="82"/>
        <v>0</v>
      </c>
      <c r="L478" s="76">
        <f t="shared" si="82"/>
        <v>0</v>
      </c>
    </row>
    <row r="479" spans="3:12" ht="15.6" hidden="1">
      <c r="C479" s="39" t="str">
        <f t="shared" si="79"/>
        <v>H</v>
      </c>
      <c r="D479" s="45" t="str">
        <f>Parameter!E$28</f>
        <v>Max</v>
      </c>
      <c r="E479" s="74">
        <f t="shared" ref="E479:L488" si="83">SUMIF(ARVR_Y_PC_PR, "AR_"&amp;E$458&amp;"_"&amp;$D$457&amp;"_"&amp;$D479, PanelRev)</f>
        <v>0</v>
      </c>
      <c r="F479" s="75">
        <f t="shared" si="83"/>
        <v>0</v>
      </c>
      <c r="G479" s="75">
        <f t="shared" si="83"/>
        <v>0</v>
      </c>
      <c r="H479" s="75">
        <f t="shared" si="83"/>
        <v>0</v>
      </c>
      <c r="I479" s="75">
        <f t="shared" si="83"/>
        <v>0</v>
      </c>
      <c r="J479" s="75">
        <f t="shared" si="83"/>
        <v>0</v>
      </c>
      <c r="K479" s="75">
        <f t="shared" si="83"/>
        <v>0</v>
      </c>
      <c r="L479" s="76">
        <f t="shared" si="83"/>
        <v>0</v>
      </c>
    </row>
    <row r="480" spans="3:12" ht="15.6" hidden="1">
      <c r="C480" s="39" t="str">
        <f t="shared" si="79"/>
        <v>H</v>
      </c>
      <c r="D480" s="45" t="str">
        <f>Parameter!E$29</f>
        <v>Max 2</v>
      </c>
      <c r="E480" s="74">
        <f t="shared" si="83"/>
        <v>0</v>
      </c>
      <c r="F480" s="75">
        <f t="shared" si="83"/>
        <v>0</v>
      </c>
      <c r="G480" s="75">
        <f t="shared" si="83"/>
        <v>0</v>
      </c>
      <c r="H480" s="75">
        <f t="shared" si="83"/>
        <v>0</v>
      </c>
      <c r="I480" s="75">
        <f t="shared" si="83"/>
        <v>0</v>
      </c>
      <c r="J480" s="75">
        <f t="shared" si="83"/>
        <v>0</v>
      </c>
      <c r="K480" s="75">
        <f t="shared" si="83"/>
        <v>0</v>
      </c>
      <c r="L480" s="76">
        <f t="shared" si="83"/>
        <v>0</v>
      </c>
    </row>
    <row r="481" spans="3:12" ht="15.6" hidden="1">
      <c r="C481" s="39" t="str">
        <f t="shared" si="79"/>
        <v>H</v>
      </c>
      <c r="D481" s="45" t="str">
        <f>Parameter!E$30</f>
        <v>Meizu StarV Air 2</v>
      </c>
      <c r="E481" s="74">
        <f t="shared" si="83"/>
        <v>0</v>
      </c>
      <c r="F481" s="75">
        <f t="shared" si="83"/>
        <v>0</v>
      </c>
      <c r="G481" s="75">
        <f t="shared" si="83"/>
        <v>0</v>
      </c>
      <c r="H481" s="75">
        <f t="shared" si="83"/>
        <v>0</v>
      </c>
      <c r="I481" s="75">
        <f t="shared" si="83"/>
        <v>0</v>
      </c>
      <c r="J481" s="75">
        <f t="shared" si="83"/>
        <v>0</v>
      </c>
      <c r="K481" s="75">
        <f t="shared" si="83"/>
        <v>0</v>
      </c>
      <c r="L481" s="76">
        <f t="shared" si="83"/>
        <v>0</v>
      </c>
    </row>
    <row r="482" spans="3:12" ht="15.6" hidden="1">
      <c r="C482" s="39" t="str">
        <f t="shared" si="79"/>
        <v>H</v>
      </c>
      <c r="D482" s="45" t="str">
        <f>Parameter!E$31</f>
        <v>Meizu StarV View</v>
      </c>
      <c r="E482" s="74">
        <f t="shared" si="83"/>
        <v>0</v>
      </c>
      <c r="F482" s="75">
        <f t="shared" si="83"/>
        <v>0</v>
      </c>
      <c r="G482" s="75">
        <f t="shared" si="83"/>
        <v>0</v>
      </c>
      <c r="H482" s="75">
        <f t="shared" si="83"/>
        <v>0</v>
      </c>
      <c r="I482" s="75">
        <f t="shared" si="83"/>
        <v>0</v>
      </c>
      <c r="J482" s="75">
        <f t="shared" si="83"/>
        <v>0</v>
      </c>
      <c r="K482" s="75">
        <f t="shared" si="83"/>
        <v>0</v>
      </c>
      <c r="L482" s="76">
        <f t="shared" si="83"/>
        <v>0</v>
      </c>
    </row>
    <row r="483" spans="3:12" ht="15.6" hidden="1">
      <c r="C483" s="39" t="str">
        <f t="shared" si="79"/>
        <v>H</v>
      </c>
      <c r="D483" s="45" t="str">
        <f>Parameter!E$32</f>
        <v>MiRZA</v>
      </c>
      <c r="E483" s="74">
        <f t="shared" si="83"/>
        <v>0</v>
      </c>
      <c r="F483" s="75">
        <f t="shared" si="83"/>
        <v>0</v>
      </c>
      <c r="G483" s="75">
        <f t="shared" si="83"/>
        <v>0</v>
      </c>
      <c r="H483" s="75">
        <f t="shared" si="83"/>
        <v>0</v>
      </c>
      <c r="I483" s="75">
        <f t="shared" si="83"/>
        <v>0</v>
      </c>
      <c r="J483" s="75">
        <f t="shared" si="83"/>
        <v>0</v>
      </c>
      <c r="K483" s="75">
        <f t="shared" si="83"/>
        <v>0</v>
      </c>
      <c r="L483" s="76">
        <f t="shared" si="83"/>
        <v>0</v>
      </c>
    </row>
    <row r="484" spans="3:12" ht="15.6" hidden="1">
      <c r="C484" s="39" t="str">
        <f t="shared" si="79"/>
        <v>H</v>
      </c>
      <c r="D484" s="45" t="str">
        <f>Parameter!E$33</f>
        <v>ML 2</v>
      </c>
      <c r="E484" s="74">
        <f t="shared" si="83"/>
        <v>0</v>
      </c>
      <c r="F484" s="75">
        <f t="shared" si="83"/>
        <v>0</v>
      </c>
      <c r="G484" s="75">
        <f t="shared" si="83"/>
        <v>0</v>
      </c>
      <c r="H484" s="75">
        <f t="shared" si="83"/>
        <v>0</v>
      </c>
      <c r="I484" s="75">
        <f t="shared" si="83"/>
        <v>0</v>
      </c>
      <c r="J484" s="75">
        <f t="shared" si="83"/>
        <v>0</v>
      </c>
      <c r="K484" s="75">
        <f t="shared" si="83"/>
        <v>0</v>
      </c>
      <c r="L484" s="76">
        <f t="shared" si="83"/>
        <v>0</v>
      </c>
    </row>
    <row r="485" spans="3:12" ht="15.6" hidden="1">
      <c r="C485" s="39" t="str">
        <f t="shared" si="79"/>
        <v>H</v>
      </c>
      <c r="D485" s="45" t="str">
        <f>Parameter!E$34</f>
        <v>ML One</v>
      </c>
      <c r="E485" s="74">
        <f t="shared" si="83"/>
        <v>0</v>
      </c>
      <c r="F485" s="75">
        <f t="shared" si="83"/>
        <v>0</v>
      </c>
      <c r="G485" s="75">
        <f t="shared" si="83"/>
        <v>0</v>
      </c>
      <c r="H485" s="75">
        <f t="shared" si="83"/>
        <v>0</v>
      </c>
      <c r="I485" s="75">
        <f t="shared" si="83"/>
        <v>0</v>
      </c>
      <c r="J485" s="75">
        <f t="shared" si="83"/>
        <v>0</v>
      </c>
      <c r="K485" s="75">
        <f t="shared" si="83"/>
        <v>0</v>
      </c>
      <c r="L485" s="76">
        <f t="shared" si="83"/>
        <v>0</v>
      </c>
    </row>
    <row r="486" spans="3:12" ht="15.6" hidden="1">
      <c r="C486" s="39" t="str">
        <f t="shared" si="79"/>
        <v>H</v>
      </c>
      <c r="D486" s="45" t="str">
        <f>Parameter!E$35</f>
        <v>Monocular LCoS glasses</v>
      </c>
      <c r="E486" s="74">
        <f t="shared" si="83"/>
        <v>0</v>
      </c>
      <c r="F486" s="75">
        <f t="shared" si="83"/>
        <v>0</v>
      </c>
      <c r="G486" s="75">
        <f t="shared" si="83"/>
        <v>0</v>
      </c>
      <c r="H486" s="75">
        <f t="shared" si="83"/>
        <v>0</v>
      </c>
      <c r="I486" s="75">
        <f t="shared" si="83"/>
        <v>0</v>
      </c>
      <c r="J486" s="75">
        <f t="shared" si="83"/>
        <v>0</v>
      </c>
      <c r="K486" s="75">
        <f t="shared" si="83"/>
        <v>0</v>
      </c>
      <c r="L486" s="76">
        <f t="shared" si="83"/>
        <v>0</v>
      </c>
    </row>
    <row r="487" spans="3:12" ht="15.6" hidden="1">
      <c r="C487" s="39" t="str">
        <f t="shared" si="79"/>
        <v>H</v>
      </c>
      <c r="D487" s="45" t="str">
        <f>Parameter!E$36</f>
        <v>Monocular MicroLED</v>
      </c>
      <c r="E487" s="74">
        <f t="shared" si="83"/>
        <v>0</v>
      </c>
      <c r="F487" s="75">
        <f t="shared" si="83"/>
        <v>0</v>
      </c>
      <c r="G487" s="75">
        <f t="shared" si="83"/>
        <v>0</v>
      </c>
      <c r="H487" s="75">
        <f t="shared" si="83"/>
        <v>0</v>
      </c>
      <c r="I487" s="75">
        <f t="shared" si="83"/>
        <v>0</v>
      </c>
      <c r="J487" s="75">
        <f t="shared" si="83"/>
        <v>0</v>
      </c>
      <c r="K487" s="75">
        <f t="shared" si="83"/>
        <v>0</v>
      </c>
      <c r="L487" s="76">
        <f t="shared" si="83"/>
        <v>0</v>
      </c>
    </row>
    <row r="488" spans="3:12" ht="15.6" hidden="1">
      <c r="C488" s="39" t="str">
        <f t="shared" si="79"/>
        <v>H</v>
      </c>
      <c r="D488" s="45" t="str">
        <f>Parameter!E$37</f>
        <v>Moverio</v>
      </c>
      <c r="E488" s="74">
        <f t="shared" si="83"/>
        <v>0</v>
      </c>
      <c r="F488" s="75">
        <f t="shared" si="83"/>
        <v>0</v>
      </c>
      <c r="G488" s="75">
        <f t="shared" si="83"/>
        <v>0</v>
      </c>
      <c r="H488" s="75">
        <f t="shared" si="83"/>
        <v>0</v>
      </c>
      <c r="I488" s="75">
        <f t="shared" si="83"/>
        <v>0</v>
      </c>
      <c r="J488" s="75">
        <f t="shared" si="83"/>
        <v>0</v>
      </c>
      <c r="K488" s="75">
        <f t="shared" si="83"/>
        <v>0</v>
      </c>
      <c r="L488" s="76">
        <f t="shared" si="83"/>
        <v>0</v>
      </c>
    </row>
    <row r="489" spans="3:12" ht="15.6" hidden="1">
      <c r="C489" s="39" t="str">
        <f t="shared" si="79"/>
        <v>H</v>
      </c>
      <c r="D489" s="45" t="str">
        <f>Parameter!E$38</f>
        <v>MYVU</v>
      </c>
      <c r="E489" s="74">
        <f t="shared" ref="E489:L498" si="84">SUMIF(ARVR_Y_PC_PR, "AR_"&amp;E$458&amp;"_"&amp;$D$457&amp;"_"&amp;$D489, PanelRev)</f>
        <v>0</v>
      </c>
      <c r="F489" s="75">
        <f t="shared" si="84"/>
        <v>0</v>
      </c>
      <c r="G489" s="75">
        <f t="shared" si="84"/>
        <v>0</v>
      </c>
      <c r="H489" s="75">
        <f t="shared" si="84"/>
        <v>0</v>
      </c>
      <c r="I489" s="75">
        <f t="shared" si="84"/>
        <v>0</v>
      </c>
      <c r="J489" s="75">
        <f t="shared" si="84"/>
        <v>0</v>
      </c>
      <c r="K489" s="75">
        <f t="shared" si="84"/>
        <v>0</v>
      </c>
      <c r="L489" s="76">
        <f t="shared" si="84"/>
        <v>0</v>
      </c>
    </row>
    <row r="490" spans="3:12" ht="15.6" hidden="1">
      <c r="C490" s="39" t="str">
        <f t="shared" si="79"/>
        <v>H</v>
      </c>
      <c r="D490" s="45" t="str">
        <f>Parameter!E$39</f>
        <v>NXTWear</v>
      </c>
      <c r="E490" s="74">
        <f t="shared" si="84"/>
        <v>0</v>
      </c>
      <c r="F490" s="75">
        <f t="shared" si="84"/>
        <v>0</v>
      </c>
      <c r="G490" s="75">
        <f t="shared" si="84"/>
        <v>0</v>
      </c>
      <c r="H490" s="75">
        <f t="shared" si="84"/>
        <v>0</v>
      </c>
      <c r="I490" s="75">
        <f t="shared" si="84"/>
        <v>0</v>
      </c>
      <c r="J490" s="75">
        <f t="shared" si="84"/>
        <v>0</v>
      </c>
      <c r="K490" s="75">
        <f t="shared" si="84"/>
        <v>0</v>
      </c>
      <c r="L490" s="76">
        <f t="shared" si="84"/>
        <v>0</v>
      </c>
    </row>
    <row r="491" spans="3:12" ht="15.6" hidden="1">
      <c r="C491" s="39" t="str">
        <f t="shared" si="79"/>
        <v>H</v>
      </c>
      <c r="D491" s="45" t="str">
        <f>Parameter!E$40</f>
        <v>One</v>
      </c>
      <c r="E491" s="74">
        <f t="shared" si="84"/>
        <v>0</v>
      </c>
      <c r="F491" s="75">
        <f t="shared" si="84"/>
        <v>0</v>
      </c>
      <c r="G491" s="75">
        <f t="shared" si="84"/>
        <v>0</v>
      </c>
      <c r="H491" s="75">
        <f t="shared" si="84"/>
        <v>0</v>
      </c>
      <c r="I491" s="75">
        <f t="shared" si="84"/>
        <v>0</v>
      </c>
      <c r="J491" s="75">
        <f t="shared" si="84"/>
        <v>0</v>
      </c>
      <c r="K491" s="75">
        <f t="shared" si="84"/>
        <v>0</v>
      </c>
      <c r="L491" s="76">
        <f t="shared" si="84"/>
        <v>0</v>
      </c>
    </row>
    <row r="492" spans="3:12" ht="15.6" hidden="1">
      <c r="C492" s="39" t="str">
        <f t="shared" si="79"/>
        <v>H</v>
      </c>
      <c r="D492" s="45" t="str">
        <f>Parameter!E$41</f>
        <v>One Pro</v>
      </c>
      <c r="E492" s="74">
        <f t="shared" si="84"/>
        <v>0</v>
      </c>
      <c r="F492" s="75">
        <f t="shared" si="84"/>
        <v>0</v>
      </c>
      <c r="G492" s="75">
        <f t="shared" si="84"/>
        <v>0</v>
      </c>
      <c r="H492" s="75">
        <f t="shared" si="84"/>
        <v>0</v>
      </c>
      <c r="I492" s="75">
        <f t="shared" si="84"/>
        <v>0</v>
      </c>
      <c r="J492" s="75">
        <f t="shared" si="84"/>
        <v>0</v>
      </c>
      <c r="K492" s="75">
        <f t="shared" si="84"/>
        <v>0</v>
      </c>
      <c r="L492" s="76">
        <f t="shared" si="84"/>
        <v>0</v>
      </c>
    </row>
    <row r="493" spans="3:12" ht="15.6" hidden="1">
      <c r="C493" s="39" t="str">
        <f t="shared" si="79"/>
        <v>H</v>
      </c>
      <c r="D493" s="45" t="str">
        <f>Parameter!E$42</f>
        <v>Quark AI</v>
      </c>
      <c r="E493" s="74">
        <f t="shared" si="84"/>
        <v>0</v>
      </c>
      <c r="F493" s="75">
        <f t="shared" si="84"/>
        <v>0</v>
      </c>
      <c r="G493" s="75">
        <f t="shared" si="84"/>
        <v>0</v>
      </c>
      <c r="H493" s="75">
        <f t="shared" si="84"/>
        <v>0</v>
      </c>
      <c r="I493" s="75">
        <f t="shared" si="84"/>
        <v>0</v>
      </c>
      <c r="J493" s="75">
        <f t="shared" si="84"/>
        <v>0</v>
      </c>
      <c r="K493" s="75">
        <f t="shared" si="84"/>
        <v>0</v>
      </c>
      <c r="L493" s="76">
        <f t="shared" si="84"/>
        <v>0</v>
      </c>
    </row>
    <row r="494" spans="3:12" ht="15.6" hidden="1">
      <c r="C494" s="39" t="str">
        <f t="shared" si="79"/>
        <v>H</v>
      </c>
      <c r="D494" s="45" t="str">
        <f>Parameter!E$43</f>
        <v>Ray-Ban Meta Display</v>
      </c>
      <c r="E494" s="74">
        <f t="shared" si="84"/>
        <v>0</v>
      </c>
      <c r="F494" s="75">
        <f t="shared" si="84"/>
        <v>0</v>
      </c>
      <c r="G494" s="75">
        <f t="shared" si="84"/>
        <v>0</v>
      </c>
      <c r="H494" s="75">
        <f t="shared" si="84"/>
        <v>0</v>
      </c>
      <c r="I494" s="75">
        <f t="shared" si="84"/>
        <v>0</v>
      </c>
      <c r="J494" s="75">
        <f t="shared" si="84"/>
        <v>0</v>
      </c>
      <c r="K494" s="75">
        <f t="shared" si="84"/>
        <v>0</v>
      </c>
      <c r="L494" s="76">
        <f t="shared" si="84"/>
        <v>0</v>
      </c>
    </row>
    <row r="495" spans="3:12" ht="15.6" hidden="1">
      <c r="C495" s="39" t="str">
        <f t="shared" si="79"/>
        <v>H</v>
      </c>
      <c r="D495" s="45" t="str">
        <f>Parameter!E$44</f>
        <v>Shield</v>
      </c>
      <c r="E495" s="74">
        <f t="shared" si="84"/>
        <v>0</v>
      </c>
      <c r="F495" s="75">
        <f t="shared" si="84"/>
        <v>0</v>
      </c>
      <c r="G495" s="75">
        <f t="shared" si="84"/>
        <v>0</v>
      </c>
      <c r="H495" s="75">
        <f t="shared" si="84"/>
        <v>0</v>
      </c>
      <c r="I495" s="75">
        <f t="shared" si="84"/>
        <v>0</v>
      </c>
      <c r="J495" s="75">
        <f t="shared" si="84"/>
        <v>0</v>
      </c>
      <c r="K495" s="75">
        <f t="shared" si="84"/>
        <v>0</v>
      </c>
      <c r="L495" s="76">
        <f t="shared" si="84"/>
        <v>0</v>
      </c>
    </row>
    <row r="496" spans="3:12" ht="15.6" hidden="1">
      <c r="C496" s="39" t="str">
        <f t="shared" si="79"/>
        <v>H</v>
      </c>
      <c r="D496" s="45" t="str">
        <f>Parameter!E$45</f>
        <v>SiOLED glasses</v>
      </c>
      <c r="E496" s="74">
        <f t="shared" si="84"/>
        <v>0</v>
      </c>
      <c r="F496" s="75">
        <f t="shared" si="84"/>
        <v>0</v>
      </c>
      <c r="G496" s="75">
        <f t="shared" si="84"/>
        <v>0</v>
      </c>
      <c r="H496" s="75">
        <f t="shared" si="84"/>
        <v>0</v>
      </c>
      <c r="I496" s="75">
        <f t="shared" si="84"/>
        <v>0</v>
      </c>
      <c r="J496" s="75">
        <f t="shared" si="84"/>
        <v>0</v>
      </c>
      <c r="K496" s="75">
        <f t="shared" si="84"/>
        <v>0</v>
      </c>
      <c r="L496" s="76">
        <f t="shared" si="84"/>
        <v>0</v>
      </c>
    </row>
    <row r="497" spans="3:12" ht="15.6" hidden="1">
      <c r="C497" s="39" t="str">
        <f t="shared" si="79"/>
        <v>H</v>
      </c>
      <c r="D497" s="45" t="str">
        <f>Parameter!E$46</f>
        <v>T1</v>
      </c>
      <c r="E497" s="74">
        <f t="shared" si="84"/>
        <v>0</v>
      </c>
      <c r="F497" s="75">
        <f t="shared" si="84"/>
        <v>0</v>
      </c>
      <c r="G497" s="75">
        <f t="shared" si="84"/>
        <v>0</v>
      </c>
      <c r="H497" s="75">
        <f t="shared" si="84"/>
        <v>0</v>
      </c>
      <c r="I497" s="75">
        <f t="shared" si="84"/>
        <v>0</v>
      </c>
      <c r="J497" s="75">
        <f t="shared" si="84"/>
        <v>0</v>
      </c>
      <c r="K497" s="75">
        <f t="shared" si="84"/>
        <v>0</v>
      </c>
      <c r="L497" s="76">
        <f t="shared" si="84"/>
        <v>0</v>
      </c>
    </row>
    <row r="498" spans="3:12" ht="15.6" hidden="1">
      <c r="C498" s="39" t="str">
        <f t="shared" si="79"/>
        <v>H</v>
      </c>
      <c r="D498" s="45" t="str">
        <f>Parameter!E$47</f>
        <v>ThinkReality A3</v>
      </c>
      <c r="E498" s="74">
        <f t="shared" si="84"/>
        <v>0</v>
      </c>
      <c r="F498" s="75">
        <f t="shared" si="84"/>
        <v>0</v>
      </c>
      <c r="G498" s="75">
        <f t="shared" si="84"/>
        <v>0</v>
      </c>
      <c r="H498" s="75">
        <f t="shared" si="84"/>
        <v>0</v>
      </c>
      <c r="I498" s="75">
        <f t="shared" si="84"/>
        <v>0</v>
      </c>
      <c r="J498" s="75">
        <f t="shared" si="84"/>
        <v>0</v>
      </c>
      <c r="K498" s="75">
        <f t="shared" si="84"/>
        <v>0</v>
      </c>
      <c r="L498" s="76">
        <f t="shared" si="84"/>
        <v>0</v>
      </c>
    </row>
    <row r="499" spans="3:12" ht="15.6" hidden="1">
      <c r="C499" s="39" t="str">
        <f t="shared" si="79"/>
        <v>H</v>
      </c>
      <c r="D499" s="45" t="str">
        <f>Parameter!E$48</f>
        <v>Viture Pro</v>
      </c>
      <c r="E499" s="74">
        <f t="shared" ref="E499:L508" si="85">SUMIF(ARVR_Y_PC_PR, "AR_"&amp;E$458&amp;"_"&amp;$D$457&amp;"_"&amp;$D499, PanelRev)</f>
        <v>0</v>
      </c>
      <c r="F499" s="75">
        <f t="shared" si="85"/>
        <v>0</v>
      </c>
      <c r="G499" s="75">
        <f t="shared" si="85"/>
        <v>0</v>
      </c>
      <c r="H499" s="75">
        <f t="shared" si="85"/>
        <v>0</v>
      </c>
      <c r="I499" s="75">
        <f t="shared" si="85"/>
        <v>0</v>
      </c>
      <c r="J499" s="75">
        <f t="shared" si="85"/>
        <v>0</v>
      </c>
      <c r="K499" s="75">
        <f t="shared" si="85"/>
        <v>0</v>
      </c>
      <c r="L499" s="76">
        <f t="shared" si="85"/>
        <v>0</v>
      </c>
    </row>
    <row r="500" spans="3:12" ht="15.6" hidden="1">
      <c r="C500" s="39" t="str">
        <f t="shared" si="79"/>
        <v>H</v>
      </c>
      <c r="D500" s="45" t="str">
        <f>Parameter!E$49</f>
        <v>X3 Pro</v>
      </c>
      <c r="E500" s="74">
        <f t="shared" si="85"/>
        <v>0</v>
      </c>
      <c r="F500" s="75">
        <f t="shared" si="85"/>
        <v>0</v>
      </c>
      <c r="G500" s="75">
        <f t="shared" si="85"/>
        <v>0</v>
      </c>
      <c r="H500" s="75">
        <f t="shared" si="85"/>
        <v>0</v>
      </c>
      <c r="I500" s="75">
        <f t="shared" si="85"/>
        <v>0</v>
      </c>
      <c r="J500" s="75">
        <f t="shared" si="85"/>
        <v>0</v>
      </c>
      <c r="K500" s="75">
        <f t="shared" si="85"/>
        <v>0</v>
      </c>
      <c r="L500" s="76">
        <f t="shared" si="85"/>
        <v>0</v>
      </c>
    </row>
    <row r="501" spans="3:12" ht="15.6" hidden="1">
      <c r="C501" s="39" t="str">
        <f t="shared" si="79"/>
        <v>H</v>
      </c>
      <c r="D501" s="45" t="str">
        <f>Parameter!E$50</f>
        <v>Z100</v>
      </c>
      <c r="E501" s="74">
        <f t="shared" si="85"/>
        <v>0</v>
      </c>
      <c r="F501" s="75">
        <f t="shared" si="85"/>
        <v>0</v>
      </c>
      <c r="G501" s="75">
        <f t="shared" si="85"/>
        <v>0</v>
      </c>
      <c r="H501" s="75">
        <f t="shared" si="85"/>
        <v>0</v>
      </c>
      <c r="I501" s="75">
        <f t="shared" si="85"/>
        <v>0</v>
      </c>
      <c r="J501" s="75">
        <f t="shared" si="85"/>
        <v>0</v>
      </c>
      <c r="K501" s="75">
        <f t="shared" si="85"/>
        <v>0</v>
      </c>
      <c r="L501" s="76">
        <f t="shared" si="85"/>
        <v>0</v>
      </c>
    </row>
    <row r="502" spans="3:12" ht="15.6" hidden="1">
      <c r="C502" s="39" t="str">
        <f t="shared" si="79"/>
        <v>H</v>
      </c>
      <c r="D502" s="45">
        <f>Parameter!E$51</f>
        <v>0</v>
      </c>
      <c r="E502" s="74">
        <f t="shared" si="85"/>
        <v>0</v>
      </c>
      <c r="F502" s="75">
        <f t="shared" si="85"/>
        <v>0</v>
      </c>
      <c r="G502" s="75">
        <f t="shared" si="85"/>
        <v>0</v>
      </c>
      <c r="H502" s="75">
        <f t="shared" si="85"/>
        <v>0</v>
      </c>
      <c r="I502" s="75">
        <f t="shared" si="85"/>
        <v>0</v>
      </c>
      <c r="J502" s="75">
        <f t="shared" si="85"/>
        <v>0</v>
      </c>
      <c r="K502" s="75">
        <f t="shared" si="85"/>
        <v>0</v>
      </c>
      <c r="L502" s="76">
        <f t="shared" si="85"/>
        <v>0</v>
      </c>
    </row>
    <row r="503" spans="3:12" ht="15.6" hidden="1">
      <c r="C503" s="39" t="str">
        <f t="shared" si="79"/>
        <v>H</v>
      </c>
      <c r="D503" s="45">
        <f>Parameter!E$52</f>
        <v>0</v>
      </c>
      <c r="E503" s="74">
        <f t="shared" si="85"/>
        <v>0</v>
      </c>
      <c r="F503" s="75">
        <f t="shared" si="85"/>
        <v>0</v>
      </c>
      <c r="G503" s="75">
        <f t="shared" si="85"/>
        <v>0</v>
      </c>
      <c r="H503" s="75">
        <f t="shared" si="85"/>
        <v>0</v>
      </c>
      <c r="I503" s="75">
        <f t="shared" si="85"/>
        <v>0</v>
      </c>
      <c r="J503" s="75">
        <f t="shared" si="85"/>
        <v>0</v>
      </c>
      <c r="K503" s="75">
        <f t="shared" si="85"/>
        <v>0</v>
      </c>
      <c r="L503" s="76">
        <f t="shared" si="85"/>
        <v>0</v>
      </c>
    </row>
    <row r="504" spans="3:12" ht="15.6" hidden="1">
      <c r="C504" s="39" t="str">
        <f t="shared" si="79"/>
        <v>H</v>
      </c>
      <c r="D504" s="45">
        <f>Parameter!E$53</f>
        <v>0</v>
      </c>
      <c r="E504" s="74">
        <f t="shared" si="85"/>
        <v>0</v>
      </c>
      <c r="F504" s="75">
        <f t="shared" si="85"/>
        <v>0</v>
      </c>
      <c r="G504" s="75">
        <f t="shared" si="85"/>
        <v>0</v>
      </c>
      <c r="H504" s="75">
        <f t="shared" si="85"/>
        <v>0</v>
      </c>
      <c r="I504" s="75">
        <f t="shared" si="85"/>
        <v>0</v>
      </c>
      <c r="J504" s="75">
        <f t="shared" si="85"/>
        <v>0</v>
      </c>
      <c r="K504" s="75">
        <f t="shared" si="85"/>
        <v>0</v>
      </c>
      <c r="L504" s="76">
        <f t="shared" si="85"/>
        <v>0</v>
      </c>
    </row>
    <row r="505" spans="3:12" ht="15.6" hidden="1">
      <c r="C505" s="39" t="str">
        <f t="shared" si="79"/>
        <v>H</v>
      </c>
      <c r="D505" s="45">
        <f>Parameter!E$54</f>
        <v>0</v>
      </c>
      <c r="E505" s="74">
        <f t="shared" si="85"/>
        <v>0</v>
      </c>
      <c r="F505" s="75">
        <f t="shared" si="85"/>
        <v>0</v>
      </c>
      <c r="G505" s="75">
        <f t="shared" si="85"/>
        <v>0</v>
      </c>
      <c r="H505" s="75">
        <f t="shared" si="85"/>
        <v>0</v>
      </c>
      <c r="I505" s="75">
        <f t="shared" si="85"/>
        <v>0</v>
      </c>
      <c r="J505" s="75">
        <f t="shared" si="85"/>
        <v>0</v>
      </c>
      <c r="K505" s="75">
        <f t="shared" si="85"/>
        <v>0</v>
      </c>
      <c r="L505" s="76">
        <f t="shared" si="85"/>
        <v>0</v>
      </c>
    </row>
    <row r="506" spans="3:12" ht="15.6" hidden="1">
      <c r="C506" s="39" t="str">
        <f t="shared" si="79"/>
        <v>H</v>
      </c>
      <c r="D506" s="45">
        <f>Parameter!E$55</f>
        <v>0</v>
      </c>
      <c r="E506" s="74">
        <f t="shared" si="85"/>
        <v>0</v>
      </c>
      <c r="F506" s="75">
        <f t="shared" si="85"/>
        <v>0</v>
      </c>
      <c r="G506" s="75">
        <f t="shared" si="85"/>
        <v>0</v>
      </c>
      <c r="H506" s="75">
        <f t="shared" si="85"/>
        <v>0</v>
      </c>
      <c r="I506" s="75">
        <f t="shared" si="85"/>
        <v>0</v>
      </c>
      <c r="J506" s="75">
        <f t="shared" si="85"/>
        <v>0</v>
      </c>
      <c r="K506" s="75">
        <f t="shared" si="85"/>
        <v>0</v>
      </c>
      <c r="L506" s="76">
        <f t="shared" si="85"/>
        <v>0</v>
      </c>
    </row>
    <row r="507" spans="3:12" ht="15.6" hidden="1">
      <c r="C507" s="39" t="str">
        <f t="shared" si="79"/>
        <v>H</v>
      </c>
      <c r="D507" s="45">
        <f>Parameter!E$56</f>
        <v>0</v>
      </c>
      <c r="E507" s="74">
        <f t="shared" si="85"/>
        <v>0</v>
      </c>
      <c r="F507" s="75">
        <f t="shared" si="85"/>
        <v>0</v>
      </c>
      <c r="G507" s="75">
        <f t="shared" si="85"/>
        <v>0</v>
      </c>
      <c r="H507" s="75">
        <f t="shared" si="85"/>
        <v>0</v>
      </c>
      <c r="I507" s="75">
        <f t="shared" si="85"/>
        <v>0</v>
      </c>
      <c r="J507" s="75">
        <f t="shared" si="85"/>
        <v>0</v>
      </c>
      <c r="K507" s="75">
        <f t="shared" si="85"/>
        <v>0</v>
      </c>
      <c r="L507" s="76">
        <f t="shared" si="85"/>
        <v>0</v>
      </c>
    </row>
    <row r="508" spans="3:12" ht="16.2" hidden="1" thickBot="1">
      <c r="C508" s="39" t="str">
        <f t="shared" si="79"/>
        <v>H</v>
      </c>
      <c r="D508" s="53" t="str">
        <f>Parameter!E$57</f>
        <v>ALL</v>
      </c>
      <c r="E508" s="77">
        <f t="shared" si="85"/>
        <v>0</v>
      </c>
      <c r="F508" s="78">
        <f t="shared" si="85"/>
        <v>0</v>
      </c>
      <c r="G508" s="78">
        <f t="shared" si="85"/>
        <v>0</v>
      </c>
      <c r="H508" s="78">
        <f t="shared" si="85"/>
        <v>0</v>
      </c>
      <c r="I508" s="78">
        <f t="shared" si="85"/>
        <v>0</v>
      </c>
      <c r="J508" s="78">
        <f t="shared" si="85"/>
        <v>0</v>
      </c>
      <c r="K508" s="78">
        <f t="shared" si="85"/>
        <v>0</v>
      </c>
      <c r="L508" s="79">
        <f t="shared" si="85"/>
        <v>0</v>
      </c>
    </row>
    <row r="509" spans="3:12" ht="15.6" hidden="1">
      <c r="C509" s="39" t="str">
        <f t="shared" si="79"/>
        <v>H</v>
      </c>
      <c r="D509" s="54" t="s">
        <v>87</v>
      </c>
      <c r="E509" s="80">
        <f>SUM(E459:E508)</f>
        <v>0</v>
      </c>
      <c r="F509" s="81">
        <f t="shared" ref="F509:L509" si="86">SUM(F459:F508)</f>
        <v>0</v>
      </c>
      <c r="G509" s="81">
        <f t="shared" si="86"/>
        <v>0</v>
      </c>
      <c r="H509" s="81">
        <f t="shared" si="86"/>
        <v>0</v>
      </c>
      <c r="I509" s="81">
        <f t="shared" si="86"/>
        <v>0</v>
      </c>
      <c r="J509" s="81">
        <f t="shared" si="86"/>
        <v>0</v>
      </c>
      <c r="K509" s="81">
        <f t="shared" si="86"/>
        <v>0</v>
      </c>
      <c r="L509" s="82">
        <f t="shared" si="86"/>
        <v>0</v>
      </c>
    </row>
    <row r="510" spans="3:12" ht="16.2" hidden="1" thickBot="1">
      <c r="C510" s="39" t="str">
        <f t="shared" si="79"/>
        <v>H</v>
      </c>
      <c r="D510" s="46" t="s">
        <v>88</v>
      </c>
      <c r="E510" s="47"/>
      <c r="F510" s="50" t="str">
        <f t="shared" ref="F510:G510" si="87">IF(E509*F509=0, "", F509/E509-1)</f>
        <v/>
      </c>
      <c r="G510" s="50" t="str">
        <f t="shared" si="87"/>
        <v/>
      </c>
      <c r="H510" s="50" t="str">
        <f>IF(G509*H509=0, "", H509/G509-1)</f>
        <v/>
      </c>
      <c r="I510" s="50" t="str">
        <f t="shared" ref="I510:L510" si="88">IF(H509*I509=0, "", I509/H509-1)</f>
        <v/>
      </c>
      <c r="J510" s="50" t="str">
        <f t="shared" si="88"/>
        <v/>
      </c>
      <c r="K510" s="50" t="str">
        <f t="shared" si="88"/>
        <v/>
      </c>
      <c r="L510" s="51" t="str">
        <f t="shared" si="88"/>
        <v/>
      </c>
    </row>
    <row r="511" spans="3:12">
      <c r="C511"/>
    </row>
    <row r="512" spans="3:12" ht="14.4" thickBot="1">
      <c r="C512"/>
    </row>
    <row r="513" spans="3:12" ht="15.6" hidden="1" thickBot="1">
      <c r="C513" s="39" t="str">
        <f t="shared" ref="C513:C566" si="89">IF(SUM(E513:L513)=0, "H", "")</f>
        <v>H</v>
      </c>
      <c r="D513" s="52">
        <f>Parameter!I17</f>
        <v>0</v>
      </c>
    </row>
    <row r="514" spans="3:12" ht="16.2" thickBot="1">
      <c r="C514" s="39" t="str">
        <f t="shared" si="89"/>
        <v/>
      </c>
      <c r="D514" s="40" t="s">
        <v>85</v>
      </c>
      <c r="E514" s="41" t="str">
        <f>E10</f>
        <v>2022</v>
      </c>
      <c r="F514" s="42" t="str">
        <f t="shared" ref="F514:L514" si="90">F10</f>
        <v>2023</v>
      </c>
      <c r="G514" s="42" t="str">
        <f t="shared" si="90"/>
        <v>2024</v>
      </c>
      <c r="H514" s="42">
        <f t="shared" si="90"/>
        <v>2025</v>
      </c>
      <c r="I514" s="42" t="str">
        <f t="shared" si="90"/>
        <v>2026</v>
      </c>
      <c r="J514" s="42" t="str">
        <f t="shared" si="90"/>
        <v>2027</v>
      </c>
      <c r="K514" s="42" t="str">
        <f t="shared" si="90"/>
        <v>2028</v>
      </c>
      <c r="L514" s="43" t="str">
        <f t="shared" si="90"/>
        <v>2029</v>
      </c>
    </row>
    <row r="515" spans="3:12" ht="15.6" hidden="1">
      <c r="C515" s="39" t="str">
        <f t="shared" si="89"/>
        <v>H</v>
      </c>
      <c r="D515" s="44" t="str">
        <f>Parameter!E$8</f>
        <v>Air</v>
      </c>
      <c r="E515" s="74">
        <f t="shared" ref="E515:L524" si="91">SUMIF(ARVR_Y_PC_PR, "AR_"&amp;E$514&amp;"_"&amp;$D$513&amp;"_"&amp;$D515, PanelRev)</f>
        <v>0</v>
      </c>
      <c r="F515" s="75">
        <f t="shared" si="91"/>
        <v>0</v>
      </c>
      <c r="G515" s="75">
        <f t="shared" si="91"/>
        <v>0</v>
      </c>
      <c r="H515" s="75">
        <f t="shared" si="91"/>
        <v>0</v>
      </c>
      <c r="I515" s="75">
        <f t="shared" si="91"/>
        <v>0</v>
      </c>
      <c r="J515" s="75">
        <f t="shared" si="91"/>
        <v>0</v>
      </c>
      <c r="K515" s="75">
        <f t="shared" si="91"/>
        <v>0</v>
      </c>
      <c r="L515" s="76">
        <f t="shared" si="91"/>
        <v>0</v>
      </c>
    </row>
    <row r="516" spans="3:12" ht="15.6" hidden="1">
      <c r="C516" s="39" t="str">
        <f t="shared" si="89"/>
        <v>H</v>
      </c>
      <c r="D516" s="44" t="str">
        <f>Parameter!E$9</f>
        <v>Air 2</v>
      </c>
      <c r="E516" s="74">
        <f t="shared" si="91"/>
        <v>0</v>
      </c>
      <c r="F516" s="75">
        <f t="shared" si="91"/>
        <v>0</v>
      </c>
      <c r="G516" s="75">
        <f t="shared" si="91"/>
        <v>0</v>
      </c>
      <c r="H516" s="75">
        <f t="shared" si="91"/>
        <v>0</v>
      </c>
      <c r="I516" s="75">
        <f t="shared" si="91"/>
        <v>0</v>
      </c>
      <c r="J516" s="75">
        <f t="shared" si="91"/>
        <v>0</v>
      </c>
      <c r="K516" s="75">
        <f t="shared" si="91"/>
        <v>0</v>
      </c>
      <c r="L516" s="76">
        <f t="shared" si="91"/>
        <v>0</v>
      </c>
    </row>
    <row r="517" spans="3:12" ht="15.6" hidden="1">
      <c r="C517" s="39" t="str">
        <f t="shared" si="89"/>
        <v>H</v>
      </c>
      <c r="D517" s="45" t="str">
        <f>Parameter!E$10</f>
        <v>Air 3</v>
      </c>
      <c r="E517" s="74">
        <f t="shared" si="91"/>
        <v>0</v>
      </c>
      <c r="F517" s="75">
        <f t="shared" si="91"/>
        <v>0</v>
      </c>
      <c r="G517" s="75">
        <f t="shared" si="91"/>
        <v>0</v>
      </c>
      <c r="H517" s="75">
        <f t="shared" si="91"/>
        <v>0</v>
      </c>
      <c r="I517" s="75">
        <f t="shared" si="91"/>
        <v>0</v>
      </c>
      <c r="J517" s="75">
        <f t="shared" si="91"/>
        <v>0</v>
      </c>
      <c r="K517" s="75">
        <f t="shared" si="91"/>
        <v>0</v>
      </c>
      <c r="L517" s="76">
        <f t="shared" si="91"/>
        <v>0</v>
      </c>
    </row>
    <row r="518" spans="3:12" ht="15.6" hidden="1">
      <c r="C518" s="39" t="str">
        <f t="shared" si="89"/>
        <v>H</v>
      </c>
      <c r="D518" s="45" t="str">
        <f>Parameter!E$11</f>
        <v>Air 3s Pro</v>
      </c>
      <c r="E518" s="74">
        <f t="shared" si="91"/>
        <v>0</v>
      </c>
      <c r="F518" s="75">
        <f t="shared" si="91"/>
        <v>0</v>
      </c>
      <c r="G518" s="75">
        <f t="shared" si="91"/>
        <v>0</v>
      </c>
      <c r="H518" s="75">
        <f t="shared" si="91"/>
        <v>0</v>
      </c>
      <c r="I518" s="75">
        <f t="shared" si="91"/>
        <v>0</v>
      </c>
      <c r="J518" s="75">
        <f t="shared" si="91"/>
        <v>0</v>
      </c>
      <c r="K518" s="75">
        <f t="shared" si="91"/>
        <v>0</v>
      </c>
      <c r="L518" s="76">
        <f t="shared" si="91"/>
        <v>0</v>
      </c>
    </row>
    <row r="519" spans="3:12" ht="15.6" hidden="1">
      <c r="C519" s="39" t="str">
        <f t="shared" si="89"/>
        <v>H</v>
      </c>
      <c r="D519" s="45" t="str">
        <f>Parameter!E$12</f>
        <v>Air Glass</v>
      </c>
      <c r="E519" s="74">
        <f t="shared" si="91"/>
        <v>0</v>
      </c>
      <c r="F519" s="75">
        <f t="shared" si="91"/>
        <v>0</v>
      </c>
      <c r="G519" s="75">
        <f t="shared" si="91"/>
        <v>0</v>
      </c>
      <c r="H519" s="75">
        <f t="shared" si="91"/>
        <v>0</v>
      </c>
      <c r="I519" s="75">
        <f t="shared" si="91"/>
        <v>0</v>
      </c>
      <c r="J519" s="75">
        <f t="shared" si="91"/>
        <v>0</v>
      </c>
      <c r="K519" s="75">
        <f t="shared" si="91"/>
        <v>0</v>
      </c>
      <c r="L519" s="76">
        <f t="shared" si="91"/>
        <v>0</v>
      </c>
    </row>
    <row r="520" spans="3:12" ht="15.6" hidden="1">
      <c r="C520" s="39" t="str">
        <f t="shared" si="89"/>
        <v>H</v>
      </c>
      <c r="D520" s="45" t="str">
        <f>Parameter!E$13</f>
        <v>Binocular MicroLED</v>
      </c>
      <c r="E520" s="74">
        <f t="shared" si="91"/>
        <v>0</v>
      </c>
      <c r="F520" s="75">
        <f t="shared" si="91"/>
        <v>0</v>
      </c>
      <c r="G520" s="75">
        <f t="shared" si="91"/>
        <v>0</v>
      </c>
      <c r="H520" s="75">
        <f t="shared" si="91"/>
        <v>0</v>
      </c>
      <c r="I520" s="75">
        <f t="shared" si="91"/>
        <v>0</v>
      </c>
      <c r="J520" s="75">
        <f t="shared" si="91"/>
        <v>0</v>
      </c>
      <c r="K520" s="75">
        <f t="shared" si="91"/>
        <v>0</v>
      </c>
      <c r="L520" s="76">
        <f t="shared" si="91"/>
        <v>0</v>
      </c>
    </row>
    <row r="521" spans="3:12" ht="15.6" hidden="1">
      <c r="C521" s="39" t="str">
        <f t="shared" si="89"/>
        <v>H</v>
      </c>
      <c r="D521" s="45" t="str">
        <f>Parameter!E$14</f>
        <v>Blade</v>
      </c>
      <c r="E521" s="74">
        <f t="shared" si="91"/>
        <v>0</v>
      </c>
      <c r="F521" s="75">
        <f t="shared" si="91"/>
        <v>0</v>
      </c>
      <c r="G521" s="75">
        <f t="shared" si="91"/>
        <v>0</v>
      </c>
      <c r="H521" s="75">
        <f t="shared" si="91"/>
        <v>0</v>
      </c>
      <c r="I521" s="75">
        <f t="shared" si="91"/>
        <v>0</v>
      </c>
      <c r="J521" s="75">
        <f t="shared" si="91"/>
        <v>0</v>
      </c>
      <c r="K521" s="75">
        <f t="shared" si="91"/>
        <v>0</v>
      </c>
      <c r="L521" s="76">
        <f t="shared" si="91"/>
        <v>0</v>
      </c>
    </row>
    <row r="522" spans="3:12" ht="15.6" hidden="1">
      <c r="C522" s="39" t="str">
        <f t="shared" si="89"/>
        <v>H</v>
      </c>
      <c r="D522" s="45" t="str">
        <f>Parameter!E$15</f>
        <v>DLP glasses</v>
      </c>
      <c r="E522" s="74">
        <f t="shared" si="91"/>
        <v>0</v>
      </c>
      <c r="F522" s="75">
        <f t="shared" si="91"/>
        <v>0</v>
      </c>
      <c r="G522" s="75">
        <f t="shared" si="91"/>
        <v>0</v>
      </c>
      <c r="H522" s="75">
        <f t="shared" si="91"/>
        <v>0</v>
      </c>
      <c r="I522" s="75">
        <f t="shared" si="91"/>
        <v>0</v>
      </c>
      <c r="J522" s="75">
        <f t="shared" si="91"/>
        <v>0</v>
      </c>
      <c r="K522" s="75">
        <f t="shared" si="91"/>
        <v>0</v>
      </c>
      <c r="L522" s="76">
        <f t="shared" si="91"/>
        <v>0</v>
      </c>
    </row>
    <row r="523" spans="3:12" ht="15.6" hidden="1">
      <c r="C523" s="39" t="str">
        <f t="shared" si="89"/>
        <v>H</v>
      </c>
      <c r="D523" s="45" t="str">
        <f>Parameter!E$16</f>
        <v>G1</v>
      </c>
      <c r="E523" s="74">
        <f t="shared" si="91"/>
        <v>0</v>
      </c>
      <c r="F523" s="75">
        <f t="shared" si="91"/>
        <v>0</v>
      </c>
      <c r="G523" s="75">
        <f t="shared" si="91"/>
        <v>0</v>
      </c>
      <c r="H523" s="75">
        <f t="shared" si="91"/>
        <v>0</v>
      </c>
      <c r="I523" s="75">
        <f t="shared" si="91"/>
        <v>0</v>
      </c>
      <c r="J523" s="75">
        <f t="shared" si="91"/>
        <v>0</v>
      </c>
      <c r="K523" s="75">
        <f t="shared" si="91"/>
        <v>0</v>
      </c>
      <c r="L523" s="76">
        <f t="shared" si="91"/>
        <v>0</v>
      </c>
    </row>
    <row r="524" spans="3:12" ht="15.6" hidden="1">
      <c r="C524" s="39" t="str">
        <f t="shared" si="89"/>
        <v>H</v>
      </c>
      <c r="D524" s="45" t="str">
        <f>Parameter!E$17</f>
        <v>Glass</v>
      </c>
      <c r="E524" s="74">
        <f t="shared" si="91"/>
        <v>0</v>
      </c>
      <c r="F524" s="75">
        <f t="shared" si="91"/>
        <v>0</v>
      </c>
      <c r="G524" s="75">
        <f t="shared" si="91"/>
        <v>0</v>
      </c>
      <c r="H524" s="75">
        <f t="shared" si="91"/>
        <v>0</v>
      </c>
      <c r="I524" s="75">
        <f t="shared" si="91"/>
        <v>0</v>
      </c>
      <c r="J524" s="75">
        <f t="shared" si="91"/>
        <v>0</v>
      </c>
      <c r="K524" s="75">
        <f t="shared" si="91"/>
        <v>0</v>
      </c>
      <c r="L524" s="76">
        <f t="shared" si="91"/>
        <v>0</v>
      </c>
    </row>
    <row r="525" spans="3:12" ht="15.6" hidden="1">
      <c r="C525" s="39" t="str">
        <f t="shared" si="89"/>
        <v>H</v>
      </c>
      <c r="D525" s="45" t="str">
        <f>Parameter!E$18</f>
        <v>Glasses</v>
      </c>
      <c r="E525" s="74">
        <f t="shared" ref="E525:L534" si="92">SUMIF(ARVR_Y_PC_PR, "AR_"&amp;E$514&amp;"_"&amp;$D$513&amp;"_"&amp;$D525, PanelRev)</f>
        <v>0</v>
      </c>
      <c r="F525" s="75">
        <f t="shared" si="92"/>
        <v>0</v>
      </c>
      <c r="G525" s="75">
        <f t="shared" si="92"/>
        <v>0</v>
      </c>
      <c r="H525" s="75">
        <f t="shared" si="92"/>
        <v>0</v>
      </c>
      <c r="I525" s="75">
        <f t="shared" si="92"/>
        <v>0</v>
      </c>
      <c r="J525" s="75">
        <f t="shared" si="92"/>
        <v>0</v>
      </c>
      <c r="K525" s="75">
        <f t="shared" si="92"/>
        <v>0</v>
      </c>
      <c r="L525" s="76">
        <f t="shared" si="92"/>
        <v>0</v>
      </c>
    </row>
    <row r="526" spans="3:12" ht="15.6" hidden="1">
      <c r="C526" s="39" t="str">
        <f t="shared" si="89"/>
        <v>H</v>
      </c>
      <c r="D526" s="45" t="str">
        <f>Parameter!E$19</f>
        <v>Go</v>
      </c>
      <c r="E526" s="74">
        <f t="shared" si="92"/>
        <v>0</v>
      </c>
      <c r="F526" s="75">
        <f t="shared" si="92"/>
        <v>0</v>
      </c>
      <c r="G526" s="75">
        <f t="shared" si="92"/>
        <v>0</v>
      </c>
      <c r="H526" s="75">
        <f t="shared" si="92"/>
        <v>0</v>
      </c>
      <c r="I526" s="75">
        <f t="shared" si="92"/>
        <v>0</v>
      </c>
      <c r="J526" s="75">
        <f t="shared" si="92"/>
        <v>0</v>
      </c>
      <c r="K526" s="75">
        <f t="shared" si="92"/>
        <v>0</v>
      </c>
      <c r="L526" s="76">
        <f t="shared" si="92"/>
        <v>0</v>
      </c>
    </row>
    <row r="527" spans="3:12" ht="15.6" hidden="1">
      <c r="C527" s="39" t="str">
        <f t="shared" si="89"/>
        <v>H</v>
      </c>
      <c r="D527" s="45" t="str">
        <f>Parameter!E$20</f>
        <v>Go 2</v>
      </c>
      <c r="E527" s="74">
        <f t="shared" si="92"/>
        <v>0</v>
      </c>
      <c r="F527" s="75">
        <f t="shared" si="92"/>
        <v>0</v>
      </c>
      <c r="G527" s="75">
        <f t="shared" si="92"/>
        <v>0</v>
      </c>
      <c r="H527" s="75">
        <f t="shared" si="92"/>
        <v>0</v>
      </c>
      <c r="I527" s="75">
        <f t="shared" si="92"/>
        <v>0</v>
      </c>
      <c r="J527" s="75">
        <f t="shared" si="92"/>
        <v>0</v>
      </c>
      <c r="K527" s="75">
        <f t="shared" si="92"/>
        <v>0</v>
      </c>
      <c r="L527" s="76">
        <f t="shared" si="92"/>
        <v>0</v>
      </c>
    </row>
    <row r="528" spans="3:12" ht="15.6" hidden="1">
      <c r="C528" s="39" t="str">
        <f t="shared" si="89"/>
        <v>H</v>
      </c>
      <c r="D528" s="45" t="str">
        <f>Parameter!E$21</f>
        <v>HoloLens 2</v>
      </c>
      <c r="E528" s="74">
        <f t="shared" si="92"/>
        <v>0</v>
      </c>
      <c r="F528" s="75">
        <f t="shared" si="92"/>
        <v>0</v>
      </c>
      <c r="G528" s="75">
        <f t="shared" si="92"/>
        <v>0</v>
      </c>
      <c r="H528" s="75">
        <f t="shared" si="92"/>
        <v>0</v>
      </c>
      <c r="I528" s="75">
        <f t="shared" si="92"/>
        <v>0</v>
      </c>
      <c r="J528" s="75">
        <f t="shared" si="92"/>
        <v>0</v>
      </c>
      <c r="K528" s="75">
        <f t="shared" si="92"/>
        <v>0</v>
      </c>
      <c r="L528" s="76">
        <f t="shared" si="92"/>
        <v>0</v>
      </c>
    </row>
    <row r="529" spans="3:12" ht="15.6" hidden="1">
      <c r="C529" s="39" t="str">
        <f t="shared" si="89"/>
        <v>H</v>
      </c>
      <c r="D529" s="45" t="str">
        <f>Parameter!E$22</f>
        <v>INAIR 2</v>
      </c>
      <c r="E529" s="74">
        <f t="shared" si="92"/>
        <v>0</v>
      </c>
      <c r="F529" s="75">
        <f t="shared" si="92"/>
        <v>0</v>
      </c>
      <c r="G529" s="75">
        <f t="shared" si="92"/>
        <v>0</v>
      </c>
      <c r="H529" s="75">
        <f t="shared" si="92"/>
        <v>0</v>
      </c>
      <c r="I529" s="75">
        <f t="shared" si="92"/>
        <v>0</v>
      </c>
      <c r="J529" s="75">
        <f t="shared" si="92"/>
        <v>0</v>
      </c>
      <c r="K529" s="75">
        <f t="shared" si="92"/>
        <v>0</v>
      </c>
      <c r="L529" s="76">
        <f t="shared" si="92"/>
        <v>0</v>
      </c>
    </row>
    <row r="530" spans="3:12" ht="15.6" hidden="1">
      <c r="C530" s="39" t="str">
        <f t="shared" si="89"/>
        <v>H</v>
      </c>
      <c r="D530" s="45" t="str">
        <f>Parameter!E$23</f>
        <v>INAIR 2 Pro</v>
      </c>
      <c r="E530" s="74">
        <f t="shared" si="92"/>
        <v>0</v>
      </c>
      <c r="F530" s="75">
        <f t="shared" si="92"/>
        <v>0</v>
      </c>
      <c r="G530" s="75">
        <f t="shared" si="92"/>
        <v>0</v>
      </c>
      <c r="H530" s="75">
        <f t="shared" si="92"/>
        <v>0</v>
      </c>
      <c r="I530" s="75">
        <f t="shared" si="92"/>
        <v>0</v>
      </c>
      <c r="J530" s="75">
        <f t="shared" si="92"/>
        <v>0</v>
      </c>
      <c r="K530" s="75">
        <f t="shared" si="92"/>
        <v>0</v>
      </c>
      <c r="L530" s="76">
        <f t="shared" si="92"/>
        <v>0</v>
      </c>
    </row>
    <row r="531" spans="3:12" ht="15.6" hidden="1">
      <c r="C531" s="39" t="str">
        <f t="shared" si="89"/>
        <v>H</v>
      </c>
      <c r="D531" s="45" t="str">
        <f>Parameter!E$24</f>
        <v>LBS glasses</v>
      </c>
      <c r="E531" s="74">
        <f t="shared" si="92"/>
        <v>0</v>
      </c>
      <c r="F531" s="75">
        <f t="shared" si="92"/>
        <v>0</v>
      </c>
      <c r="G531" s="75">
        <f t="shared" si="92"/>
        <v>0</v>
      </c>
      <c r="H531" s="75">
        <f t="shared" si="92"/>
        <v>0</v>
      </c>
      <c r="I531" s="75">
        <f t="shared" si="92"/>
        <v>0</v>
      </c>
      <c r="J531" s="75">
        <f t="shared" si="92"/>
        <v>0</v>
      </c>
      <c r="K531" s="75">
        <f t="shared" si="92"/>
        <v>0</v>
      </c>
      <c r="L531" s="76">
        <f t="shared" si="92"/>
        <v>0</v>
      </c>
    </row>
    <row r="532" spans="3:12" ht="15.6" hidden="1">
      <c r="C532" s="39" t="str">
        <f t="shared" si="89"/>
        <v>H</v>
      </c>
      <c r="D532" s="45" t="str">
        <f>Parameter!E$25</f>
        <v>LCoS glasses</v>
      </c>
      <c r="E532" s="74">
        <f t="shared" si="92"/>
        <v>0</v>
      </c>
      <c r="F532" s="75">
        <f t="shared" si="92"/>
        <v>0</v>
      </c>
      <c r="G532" s="75">
        <f t="shared" si="92"/>
        <v>0</v>
      </c>
      <c r="H532" s="75">
        <f t="shared" si="92"/>
        <v>0</v>
      </c>
      <c r="I532" s="75">
        <f t="shared" si="92"/>
        <v>0</v>
      </c>
      <c r="J532" s="75">
        <f t="shared" si="92"/>
        <v>0</v>
      </c>
      <c r="K532" s="75">
        <f t="shared" si="92"/>
        <v>0</v>
      </c>
      <c r="L532" s="76">
        <f t="shared" si="92"/>
        <v>0</v>
      </c>
    </row>
    <row r="533" spans="3:12" ht="15.6" hidden="1">
      <c r="C533" s="39" t="str">
        <f t="shared" si="89"/>
        <v>H</v>
      </c>
      <c r="D533" s="45" t="str">
        <f>Parameter!E$26</f>
        <v>Lenovo Legion Glasses 2</v>
      </c>
      <c r="E533" s="74">
        <f t="shared" si="92"/>
        <v>0</v>
      </c>
      <c r="F533" s="75">
        <f t="shared" si="92"/>
        <v>0</v>
      </c>
      <c r="G533" s="75">
        <f t="shared" si="92"/>
        <v>0</v>
      </c>
      <c r="H533" s="75">
        <f t="shared" si="92"/>
        <v>0</v>
      </c>
      <c r="I533" s="75">
        <f t="shared" si="92"/>
        <v>0</v>
      </c>
      <c r="J533" s="75">
        <f t="shared" si="92"/>
        <v>0</v>
      </c>
      <c r="K533" s="75">
        <f t="shared" si="92"/>
        <v>0</v>
      </c>
      <c r="L533" s="76">
        <f t="shared" si="92"/>
        <v>0</v>
      </c>
    </row>
    <row r="534" spans="3:12" ht="15.6" hidden="1">
      <c r="C534" s="39" t="str">
        <f t="shared" si="89"/>
        <v>H</v>
      </c>
      <c r="D534" s="45" t="str">
        <f>Parameter!E$27</f>
        <v>Light</v>
      </c>
      <c r="E534" s="74">
        <f t="shared" si="92"/>
        <v>0</v>
      </c>
      <c r="F534" s="75">
        <f t="shared" si="92"/>
        <v>0</v>
      </c>
      <c r="G534" s="75">
        <f t="shared" si="92"/>
        <v>0</v>
      </c>
      <c r="H534" s="75">
        <f t="shared" si="92"/>
        <v>0</v>
      </c>
      <c r="I534" s="75">
        <f t="shared" si="92"/>
        <v>0</v>
      </c>
      <c r="J534" s="75">
        <f t="shared" si="92"/>
        <v>0</v>
      </c>
      <c r="K534" s="75">
        <f t="shared" si="92"/>
        <v>0</v>
      </c>
      <c r="L534" s="76">
        <f t="shared" si="92"/>
        <v>0</v>
      </c>
    </row>
    <row r="535" spans="3:12" ht="15.6" hidden="1">
      <c r="C535" s="39" t="str">
        <f t="shared" si="89"/>
        <v>H</v>
      </c>
      <c r="D535" s="45" t="str">
        <f>Parameter!E$28</f>
        <v>Max</v>
      </c>
      <c r="E535" s="74">
        <f t="shared" ref="E535:L544" si="93">SUMIF(ARVR_Y_PC_PR, "AR_"&amp;E$514&amp;"_"&amp;$D$513&amp;"_"&amp;$D535, PanelRev)</f>
        <v>0</v>
      </c>
      <c r="F535" s="75">
        <f t="shared" si="93"/>
        <v>0</v>
      </c>
      <c r="G535" s="75">
        <f t="shared" si="93"/>
        <v>0</v>
      </c>
      <c r="H535" s="75">
        <f t="shared" si="93"/>
        <v>0</v>
      </c>
      <c r="I535" s="75">
        <f t="shared" si="93"/>
        <v>0</v>
      </c>
      <c r="J535" s="75">
        <f t="shared" si="93"/>
        <v>0</v>
      </c>
      <c r="K535" s="75">
        <f t="shared" si="93"/>
        <v>0</v>
      </c>
      <c r="L535" s="76">
        <f t="shared" si="93"/>
        <v>0</v>
      </c>
    </row>
    <row r="536" spans="3:12" ht="15.6" hidden="1">
      <c r="C536" s="39" t="str">
        <f t="shared" si="89"/>
        <v>H</v>
      </c>
      <c r="D536" s="45" t="str">
        <f>Parameter!E$29</f>
        <v>Max 2</v>
      </c>
      <c r="E536" s="74">
        <f t="shared" si="93"/>
        <v>0</v>
      </c>
      <c r="F536" s="75">
        <f t="shared" si="93"/>
        <v>0</v>
      </c>
      <c r="G536" s="75">
        <f t="shared" si="93"/>
        <v>0</v>
      </c>
      <c r="H536" s="75">
        <f t="shared" si="93"/>
        <v>0</v>
      </c>
      <c r="I536" s="75">
        <f t="shared" si="93"/>
        <v>0</v>
      </c>
      <c r="J536" s="75">
        <f t="shared" si="93"/>
        <v>0</v>
      </c>
      <c r="K536" s="75">
        <f t="shared" si="93"/>
        <v>0</v>
      </c>
      <c r="L536" s="76">
        <f t="shared" si="93"/>
        <v>0</v>
      </c>
    </row>
    <row r="537" spans="3:12" ht="15.6" hidden="1">
      <c r="C537" s="39" t="str">
        <f t="shared" si="89"/>
        <v>H</v>
      </c>
      <c r="D537" s="45" t="str">
        <f>Parameter!E$30</f>
        <v>Meizu StarV Air 2</v>
      </c>
      <c r="E537" s="74">
        <f t="shared" si="93"/>
        <v>0</v>
      </c>
      <c r="F537" s="75">
        <f t="shared" si="93"/>
        <v>0</v>
      </c>
      <c r="G537" s="75">
        <f t="shared" si="93"/>
        <v>0</v>
      </c>
      <c r="H537" s="75">
        <f t="shared" si="93"/>
        <v>0</v>
      </c>
      <c r="I537" s="75">
        <f t="shared" si="93"/>
        <v>0</v>
      </c>
      <c r="J537" s="75">
        <f t="shared" si="93"/>
        <v>0</v>
      </c>
      <c r="K537" s="75">
        <f t="shared" si="93"/>
        <v>0</v>
      </c>
      <c r="L537" s="76">
        <f t="shared" si="93"/>
        <v>0</v>
      </c>
    </row>
    <row r="538" spans="3:12" ht="15.6" hidden="1">
      <c r="C538" s="39" t="str">
        <f t="shared" si="89"/>
        <v>H</v>
      </c>
      <c r="D538" s="45" t="str">
        <f>Parameter!E$31</f>
        <v>Meizu StarV View</v>
      </c>
      <c r="E538" s="74">
        <f t="shared" si="93"/>
        <v>0</v>
      </c>
      <c r="F538" s="75">
        <f t="shared" si="93"/>
        <v>0</v>
      </c>
      <c r="G538" s="75">
        <f t="shared" si="93"/>
        <v>0</v>
      </c>
      <c r="H538" s="75">
        <f t="shared" si="93"/>
        <v>0</v>
      </c>
      <c r="I538" s="75">
        <f t="shared" si="93"/>
        <v>0</v>
      </c>
      <c r="J538" s="75">
        <f t="shared" si="93"/>
        <v>0</v>
      </c>
      <c r="K538" s="75">
        <f t="shared" si="93"/>
        <v>0</v>
      </c>
      <c r="L538" s="76">
        <f t="shared" si="93"/>
        <v>0</v>
      </c>
    </row>
    <row r="539" spans="3:12" ht="15.6" hidden="1">
      <c r="C539" s="39" t="str">
        <f t="shared" si="89"/>
        <v>H</v>
      </c>
      <c r="D539" s="45" t="str">
        <f>Parameter!E$32</f>
        <v>MiRZA</v>
      </c>
      <c r="E539" s="74">
        <f t="shared" si="93"/>
        <v>0</v>
      </c>
      <c r="F539" s="75">
        <f t="shared" si="93"/>
        <v>0</v>
      </c>
      <c r="G539" s="75">
        <f t="shared" si="93"/>
        <v>0</v>
      </c>
      <c r="H539" s="75">
        <f t="shared" si="93"/>
        <v>0</v>
      </c>
      <c r="I539" s="75">
        <f t="shared" si="93"/>
        <v>0</v>
      </c>
      <c r="J539" s="75">
        <f t="shared" si="93"/>
        <v>0</v>
      </c>
      <c r="K539" s="75">
        <f t="shared" si="93"/>
        <v>0</v>
      </c>
      <c r="L539" s="76">
        <f t="shared" si="93"/>
        <v>0</v>
      </c>
    </row>
    <row r="540" spans="3:12" ht="15.6" hidden="1">
      <c r="C540" s="39" t="str">
        <f t="shared" si="89"/>
        <v>H</v>
      </c>
      <c r="D540" s="45" t="str">
        <f>Parameter!E$33</f>
        <v>ML 2</v>
      </c>
      <c r="E540" s="74">
        <f t="shared" si="93"/>
        <v>0</v>
      </c>
      <c r="F540" s="75">
        <f t="shared" si="93"/>
        <v>0</v>
      </c>
      <c r="G540" s="75">
        <f t="shared" si="93"/>
        <v>0</v>
      </c>
      <c r="H540" s="75">
        <f t="shared" si="93"/>
        <v>0</v>
      </c>
      <c r="I540" s="75">
        <f t="shared" si="93"/>
        <v>0</v>
      </c>
      <c r="J540" s="75">
        <f t="shared" si="93"/>
        <v>0</v>
      </c>
      <c r="K540" s="75">
        <f t="shared" si="93"/>
        <v>0</v>
      </c>
      <c r="L540" s="76">
        <f t="shared" si="93"/>
        <v>0</v>
      </c>
    </row>
    <row r="541" spans="3:12" ht="15.6" hidden="1">
      <c r="C541" s="39" t="str">
        <f t="shared" si="89"/>
        <v>H</v>
      </c>
      <c r="D541" s="45" t="str">
        <f>Parameter!E$34</f>
        <v>ML One</v>
      </c>
      <c r="E541" s="74">
        <f t="shared" si="93"/>
        <v>0</v>
      </c>
      <c r="F541" s="75">
        <f t="shared" si="93"/>
        <v>0</v>
      </c>
      <c r="G541" s="75">
        <f t="shared" si="93"/>
        <v>0</v>
      </c>
      <c r="H541" s="75">
        <f t="shared" si="93"/>
        <v>0</v>
      </c>
      <c r="I541" s="75">
        <f t="shared" si="93"/>
        <v>0</v>
      </c>
      <c r="J541" s="75">
        <f t="shared" si="93"/>
        <v>0</v>
      </c>
      <c r="K541" s="75">
        <f t="shared" si="93"/>
        <v>0</v>
      </c>
      <c r="L541" s="76">
        <f t="shared" si="93"/>
        <v>0</v>
      </c>
    </row>
    <row r="542" spans="3:12" ht="15.6" hidden="1">
      <c r="C542" s="39" t="str">
        <f t="shared" si="89"/>
        <v>H</v>
      </c>
      <c r="D542" s="45" t="str">
        <f>Parameter!E$35</f>
        <v>Monocular LCoS glasses</v>
      </c>
      <c r="E542" s="74">
        <f t="shared" si="93"/>
        <v>0</v>
      </c>
      <c r="F542" s="75">
        <f t="shared" si="93"/>
        <v>0</v>
      </c>
      <c r="G542" s="75">
        <f t="shared" si="93"/>
        <v>0</v>
      </c>
      <c r="H542" s="75">
        <f t="shared" si="93"/>
        <v>0</v>
      </c>
      <c r="I542" s="75">
        <f t="shared" si="93"/>
        <v>0</v>
      </c>
      <c r="J542" s="75">
        <f t="shared" si="93"/>
        <v>0</v>
      </c>
      <c r="K542" s="75">
        <f t="shared" si="93"/>
        <v>0</v>
      </c>
      <c r="L542" s="76">
        <f t="shared" si="93"/>
        <v>0</v>
      </c>
    </row>
    <row r="543" spans="3:12" ht="15.6" hidden="1">
      <c r="C543" s="39" t="str">
        <f t="shared" si="89"/>
        <v>H</v>
      </c>
      <c r="D543" s="45" t="str">
        <f>Parameter!E$36</f>
        <v>Monocular MicroLED</v>
      </c>
      <c r="E543" s="74">
        <f t="shared" si="93"/>
        <v>0</v>
      </c>
      <c r="F543" s="75">
        <f t="shared" si="93"/>
        <v>0</v>
      </c>
      <c r="G543" s="75">
        <f t="shared" si="93"/>
        <v>0</v>
      </c>
      <c r="H543" s="75">
        <f t="shared" si="93"/>
        <v>0</v>
      </c>
      <c r="I543" s="75">
        <f t="shared" si="93"/>
        <v>0</v>
      </c>
      <c r="J543" s="75">
        <f t="shared" si="93"/>
        <v>0</v>
      </c>
      <c r="K543" s="75">
        <f t="shared" si="93"/>
        <v>0</v>
      </c>
      <c r="L543" s="76">
        <f t="shared" si="93"/>
        <v>0</v>
      </c>
    </row>
    <row r="544" spans="3:12" ht="15.6" hidden="1">
      <c r="C544" s="39" t="str">
        <f t="shared" si="89"/>
        <v>H</v>
      </c>
      <c r="D544" s="45" t="str">
        <f>Parameter!E$37</f>
        <v>Moverio</v>
      </c>
      <c r="E544" s="74">
        <f t="shared" si="93"/>
        <v>0</v>
      </c>
      <c r="F544" s="75">
        <f t="shared" si="93"/>
        <v>0</v>
      </c>
      <c r="G544" s="75">
        <f t="shared" si="93"/>
        <v>0</v>
      </c>
      <c r="H544" s="75">
        <f t="shared" si="93"/>
        <v>0</v>
      </c>
      <c r="I544" s="75">
        <f t="shared" si="93"/>
        <v>0</v>
      </c>
      <c r="J544" s="75">
        <f t="shared" si="93"/>
        <v>0</v>
      </c>
      <c r="K544" s="75">
        <f t="shared" si="93"/>
        <v>0</v>
      </c>
      <c r="L544" s="76">
        <f t="shared" si="93"/>
        <v>0</v>
      </c>
    </row>
    <row r="545" spans="3:12" ht="15.6" hidden="1">
      <c r="C545" s="39" t="str">
        <f t="shared" si="89"/>
        <v>H</v>
      </c>
      <c r="D545" s="45" t="str">
        <f>Parameter!E$38</f>
        <v>MYVU</v>
      </c>
      <c r="E545" s="74">
        <f t="shared" ref="E545:L554" si="94">SUMIF(ARVR_Y_PC_PR, "AR_"&amp;E$514&amp;"_"&amp;$D$513&amp;"_"&amp;$D545, PanelRev)</f>
        <v>0</v>
      </c>
      <c r="F545" s="75">
        <f t="shared" si="94"/>
        <v>0</v>
      </c>
      <c r="G545" s="75">
        <f t="shared" si="94"/>
        <v>0</v>
      </c>
      <c r="H545" s="75">
        <f t="shared" si="94"/>
        <v>0</v>
      </c>
      <c r="I545" s="75">
        <f t="shared" si="94"/>
        <v>0</v>
      </c>
      <c r="J545" s="75">
        <f t="shared" si="94"/>
        <v>0</v>
      </c>
      <c r="K545" s="75">
        <f t="shared" si="94"/>
        <v>0</v>
      </c>
      <c r="L545" s="76">
        <f t="shared" si="94"/>
        <v>0</v>
      </c>
    </row>
    <row r="546" spans="3:12" ht="15.6" hidden="1">
      <c r="C546" s="39" t="str">
        <f t="shared" si="89"/>
        <v>H</v>
      </c>
      <c r="D546" s="45" t="str">
        <f>Parameter!E$39</f>
        <v>NXTWear</v>
      </c>
      <c r="E546" s="74">
        <f t="shared" si="94"/>
        <v>0</v>
      </c>
      <c r="F546" s="75">
        <f t="shared" si="94"/>
        <v>0</v>
      </c>
      <c r="G546" s="75">
        <f t="shared" si="94"/>
        <v>0</v>
      </c>
      <c r="H546" s="75">
        <f t="shared" si="94"/>
        <v>0</v>
      </c>
      <c r="I546" s="75">
        <f t="shared" si="94"/>
        <v>0</v>
      </c>
      <c r="J546" s="75">
        <f t="shared" si="94"/>
        <v>0</v>
      </c>
      <c r="K546" s="75">
        <f t="shared" si="94"/>
        <v>0</v>
      </c>
      <c r="L546" s="76">
        <f t="shared" si="94"/>
        <v>0</v>
      </c>
    </row>
    <row r="547" spans="3:12" ht="15.6" hidden="1">
      <c r="C547" s="39" t="str">
        <f t="shared" si="89"/>
        <v>H</v>
      </c>
      <c r="D547" s="45" t="str">
        <f>Parameter!E$40</f>
        <v>One</v>
      </c>
      <c r="E547" s="74">
        <f t="shared" si="94"/>
        <v>0</v>
      </c>
      <c r="F547" s="75">
        <f t="shared" si="94"/>
        <v>0</v>
      </c>
      <c r="G547" s="75">
        <f t="shared" si="94"/>
        <v>0</v>
      </c>
      <c r="H547" s="75">
        <f t="shared" si="94"/>
        <v>0</v>
      </c>
      <c r="I547" s="75">
        <f t="shared" si="94"/>
        <v>0</v>
      </c>
      <c r="J547" s="75">
        <f t="shared" si="94"/>
        <v>0</v>
      </c>
      <c r="K547" s="75">
        <f t="shared" si="94"/>
        <v>0</v>
      </c>
      <c r="L547" s="76">
        <f t="shared" si="94"/>
        <v>0</v>
      </c>
    </row>
    <row r="548" spans="3:12" ht="15.6" hidden="1">
      <c r="C548" s="39" t="str">
        <f t="shared" si="89"/>
        <v>H</v>
      </c>
      <c r="D548" s="45" t="str">
        <f>Parameter!E$41</f>
        <v>One Pro</v>
      </c>
      <c r="E548" s="74">
        <f t="shared" si="94"/>
        <v>0</v>
      </c>
      <c r="F548" s="75">
        <f t="shared" si="94"/>
        <v>0</v>
      </c>
      <c r="G548" s="75">
        <f t="shared" si="94"/>
        <v>0</v>
      </c>
      <c r="H548" s="75">
        <f t="shared" si="94"/>
        <v>0</v>
      </c>
      <c r="I548" s="75">
        <f t="shared" si="94"/>
        <v>0</v>
      </c>
      <c r="J548" s="75">
        <f t="shared" si="94"/>
        <v>0</v>
      </c>
      <c r="K548" s="75">
        <f t="shared" si="94"/>
        <v>0</v>
      </c>
      <c r="L548" s="76">
        <f t="shared" si="94"/>
        <v>0</v>
      </c>
    </row>
    <row r="549" spans="3:12" ht="15.6" hidden="1">
      <c r="C549" s="39" t="str">
        <f t="shared" si="89"/>
        <v>H</v>
      </c>
      <c r="D549" s="45" t="str">
        <f>Parameter!E$42</f>
        <v>Quark AI</v>
      </c>
      <c r="E549" s="74">
        <f t="shared" si="94"/>
        <v>0</v>
      </c>
      <c r="F549" s="75">
        <f t="shared" si="94"/>
        <v>0</v>
      </c>
      <c r="G549" s="75">
        <f t="shared" si="94"/>
        <v>0</v>
      </c>
      <c r="H549" s="75">
        <f t="shared" si="94"/>
        <v>0</v>
      </c>
      <c r="I549" s="75">
        <f t="shared" si="94"/>
        <v>0</v>
      </c>
      <c r="J549" s="75">
        <f t="shared" si="94"/>
        <v>0</v>
      </c>
      <c r="K549" s="75">
        <f t="shared" si="94"/>
        <v>0</v>
      </c>
      <c r="L549" s="76">
        <f t="shared" si="94"/>
        <v>0</v>
      </c>
    </row>
    <row r="550" spans="3:12" ht="15.6" hidden="1">
      <c r="C550" s="39" t="str">
        <f t="shared" si="89"/>
        <v>H</v>
      </c>
      <c r="D550" s="45" t="str">
        <f>Parameter!E$43</f>
        <v>Ray-Ban Meta Display</v>
      </c>
      <c r="E550" s="74">
        <f t="shared" si="94"/>
        <v>0</v>
      </c>
      <c r="F550" s="75">
        <f t="shared" si="94"/>
        <v>0</v>
      </c>
      <c r="G550" s="75">
        <f t="shared" si="94"/>
        <v>0</v>
      </c>
      <c r="H550" s="75">
        <f t="shared" si="94"/>
        <v>0</v>
      </c>
      <c r="I550" s="75">
        <f t="shared" si="94"/>
        <v>0</v>
      </c>
      <c r="J550" s="75">
        <f t="shared" si="94"/>
        <v>0</v>
      </c>
      <c r="K550" s="75">
        <f t="shared" si="94"/>
        <v>0</v>
      </c>
      <c r="L550" s="76">
        <f t="shared" si="94"/>
        <v>0</v>
      </c>
    </row>
    <row r="551" spans="3:12" ht="15.6" hidden="1">
      <c r="C551" s="39" t="str">
        <f t="shared" si="89"/>
        <v>H</v>
      </c>
      <c r="D551" s="45" t="str">
        <f>Parameter!E$44</f>
        <v>Shield</v>
      </c>
      <c r="E551" s="74">
        <f t="shared" si="94"/>
        <v>0</v>
      </c>
      <c r="F551" s="75">
        <f t="shared" si="94"/>
        <v>0</v>
      </c>
      <c r="G551" s="75">
        <f t="shared" si="94"/>
        <v>0</v>
      </c>
      <c r="H551" s="75">
        <f t="shared" si="94"/>
        <v>0</v>
      </c>
      <c r="I551" s="75">
        <f t="shared" si="94"/>
        <v>0</v>
      </c>
      <c r="J551" s="75">
        <f t="shared" si="94"/>
        <v>0</v>
      </c>
      <c r="K551" s="75">
        <f t="shared" si="94"/>
        <v>0</v>
      </c>
      <c r="L551" s="76">
        <f t="shared" si="94"/>
        <v>0</v>
      </c>
    </row>
    <row r="552" spans="3:12" ht="15.6" hidden="1">
      <c r="C552" s="39" t="str">
        <f t="shared" si="89"/>
        <v>H</v>
      </c>
      <c r="D552" s="45" t="str">
        <f>Parameter!E$45</f>
        <v>SiOLED glasses</v>
      </c>
      <c r="E552" s="74">
        <f t="shared" si="94"/>
        <v>0</v>
      </c>
      <c r="F552" s="75">
        <f t="shared" si="94"/>
        <v>0</v>
      </c>
      <c r="G552" s="75">
        <f t="shared" si="94"/>
        <v>0</v>
      </c>
      <c r="H552" s="75">
        <f t="shared" si="94"/>
        <v>0</v>
      </c>
      <c r="I552" s="75">
        <f t="shared" si="94"/>
        <v>0</v>
      </c>
      <c r="J552" s="75">
        <f t="shared" si="94"/>
        <v>0</v>
      </c>
      <c r="K552" s="75">
        <f t="shared" si="94"/>
        <v>0</v>
      </c>
      <c r="L552" s="76">
        <f t="shared" si="94"/>
        <v>0</v>
      </c>
    </row>
    <row r="553" spans="3:12" ht="15.6" hidden="1">
      <c r="C553" s="39" t="str">
        <f t="shared" si="89"/>
        <v>H</v>
      </c>
      <c r="D553" s="45" t="str">
        <f>Parameter!E$46</f>
        <v>T1</v>
      </c>
      <c r="E553" s="74">
        <f t="shared" si="94"/>
        <v>0</v>
      </c>
      <c r="F553" s="75">
        <f t="shared" si="94"/>
        <v>0</v>
      </c>
      <c r="G553" s="75">
        <f t="shared" si="94"/>
        <v>0</v>
      </c>
      <c r="H553" s="75">
        <f t="shared" si="94"/>
        <v>0</v>
      </c>
      <c r="I553" s="75">
        <f t="shared" si="94"/>
        <v>0</v>
      </c>
      <c r="J553" s="75">
        <f t="shared" si="94"/>
        <v>0</v>
      </c>
      <c r="K553" s="75">
        <f t="shared" si="94"/>
        <v>0</v>
      </c>
      <c r="L553" s="76">
        <f t="shared" si="94"/>
        <v>0</v>
      </c>
    </row>
    <row r="554" spans="3:12" ht="15.6" hidden="1">
      <c r="C554" s="39" t="str">
        <f t="shared" si="89"/>
        <v>H</v>
      </c>
      <c r="D554" s="45" t="str">
        <f>Parameter!E$47</f>
        <v>ThinkReality A3</v>
      </c>
      <c r="E554" s="74">
        <f t="shared" si="94"/>
        <v>0</v>
      </c>
      <c r="F554" s="75">
        <f t="shared" si="94"/>
        <v>0</v>
      </c>
      <c r="G554" s="75">
        <f t="shared" si="94"/>
        <v>0</v>
      </c>
      <c r="H554" s="75">
        <f t="shared" si="94"/>
        <v>0</v>
      </c>
      <c r="I554" s="75">
        <f t="shared" si="94"/>
        <v>0</v>
      </c>
      <c r="J554" s="75">
        <f t="shared" si="94"/>
        <v>0</v>
      </c>
      <c r="K554" s="75">
        <f t="shared" si="94"/>
        <v>0</v>
      </c>
      <c r="L554" s="76">
        <f t="shared" si="94"/>
        <v>0</v>
      </c>
    </row>
    <row r="555" spans="3:12" ht="15.6" hidden="1">
      <c r="C555" s="39" t="str">
        <f t="shared" si="89"/>
        <v>H</v>
      </c>
      <c r="D555" s="45" t="str">
        <f>Parameter!E$48</f>
        <v>Viture Pro</v>
      </c>
      <c r="E555" s="74">
        <f t="shared" ref="E555:L564" si="95">SUMIF(ARVR_Y_PC_PR, "AR_"&amp;E$514&amp;"_"&amp;$D$513&amp;"_"&amp;$D555, PanelRev)</f>
        <v>0</v>
      </c>
      <c r="F555" s="75">
        <f t="shared" si="95"/>
        <v>0</v>
      </c>
      <c r="G555" s="75">
        <f t="shared" si="95"/>
        <v>0</v>
      </c>
      <c r="H555" s="75">
        <f t="shared" si="95"/>
        <v>0</v>
      </c>
      <c r="I555" s="75">
        <f t="shared" si="95"/>
        <v>0</v>
      </c>
      <c r="J555" s="75">
        <f t="shared" si="95"/>
        <v>0</v>
      </c>
      <c r="K555" s="75">
        <f t="shared" si="95"/>
        <v>0</v>
      </c>
      <c r="L555" s="76">
        <f t="shared" si="95"/>
        <v>0</v>
      </c>
    </row>
    <row r="556" spans="3:12" ht="15.6" hidden="1">
      <c r="C556" s="39" t="str">
        <f t="shared" si="89"/>
        <v>H</v>
      </c>
      <c r="D556" s="45" t="str">
        <f>Parameter!E$49</f>
        <v>X3 Pro</v>
      </c>
      <c r="E556" s="74">
        <f t="shared" si="95"/>
        <v>0</v>
      </c>
      <c r="F556" s="75">
        <f t="shared" si="95"/>
        <v>0</v>
      </c>
      <c r="G556" s="75">
        <f t="shared" si="95"/>
        <v>0</v>
      </c>
      <c r="H556" s="75">
        <f t="shared" si="95"/>
        <v>0</v>
      </c>
      <c r="I556" s="75">
        <f t="shared" si="95"/>
        <v>0</v>
      </c>
      <c r="J556" s="75">
        <f t="shared" si="95"/>
        <v>0</v>
      </c>
      <c r="K556" s="75">
        <f t="shared" si="95"/>
        <v>0</v>
      </c>
      <c r="L556" s="76">
        <f t="shared" si="95"/>
        <v>0</v>
      </c>
    </row>
    <row r="557" spans="3:12" ht="15.6" hidden="1">
      <c r="C557" s="39" t="str">
        <f t="shared" si="89"/>
        <v>H</v>
      </c>
      <c r="D557" s="45" t="str">
        <f>Parameter!E$50</f>
        <v>Z100</v>
      </c>
      <c r="E557" s="74">
        <f t="shared" si="95"/>
        <v>0</v>
      </c>
      <c r="F557" s="75">
        <f t="shared" si="95"/>
        <v>0</v>
      </c>
      <c r="G557" s="75">
        <f t="shared" si="95"/>
        <v>0</v>
      </c>
      <c r="H557" s="75">
        <f t="shared" si="95"/>
        <v>0</v>
      </c>
      <c r="I557" s="75">
        <f t="shared" si="95"/>
        <v>0</v>
      </c>
      <c r="J557" s="75">
        <f t="shared" si="95"/>
        <v>0</v>
      </c>
      <c r="K557" s="75">
        <f t="shared" si="95"/>
        <v>0</v>
      </c>
      <c r="L557" s="76">
        <f t="shared" si="95"/>
        <v>0</v>
      </c>
    </row>
    <row r="558" spans="3:12" ht="15.6" hidden="1">
      <c r="C558" s="39" t="str">
        <f t="shared" si="89"/>
        <v>H</v>
      </c>
      <c r="D558" s="45">
        <f>Parameter!E$51</f>
        <v>0</v>
      </c>
      <c r="E558" s="74">
        <f t="shared" si="95"/>
        <v>0</v>
      </c>
      <c r="F558" s="75">
        <f t="shared" si="95"/>
        <v>0</v>
      </c>
      <c r="G558" s="75">
        <f t="shared" si="95"/>
        <v>0</v>
      </c>
      <c r="H558" s="75">
        <f t="shared" si="95"/>
        <v>0</v>
      </c>
      <c r="I558" s="75">
        <f t="shared" si="95"/>
        <v>0</v>
      </c>
      <c r="J558" s="75">
        <f t="shared" si="95"/>
        <v>0</v>
      </c>
      <c r="K558" s="75">
        <f t="shared" si="95"/>
        <v>0</v>
      </c>
      <c r="L558" s="76">
        <f t="shared" si="95"/>
        <v>0</v>
      </c>
    </row>
    <row r="559" spans="3:12" ht="15.6" hidden="1">
      <c r="C559" s="39" t="str">
        <f t="shared" si="89"/>
        <v>H</v>
      </c>
      <c r="D559" s="45">
        <f>Parameter!E$52</f>
        <v>0</v>
      </c>
      <c r="E559" s="74">
        <f t="shared" si="95"/>
        <v>0</v>
      </c>
      <c r="F559" s="75">
        <f t="shared" si="95"/>
        <v>0</v>
      </c>
      <c r="G559" s="75">
        <f t="shared" si="95"/>
        <v>0</v>
      </c>
      <c r="H559" s="75">
        <f t="shared" si="95"/>
        <v>0</v>
      </c>
      <c r="I559" s="75">
        <f t="shared" si="95"/>
        <v>0</v>
      </c>
      <c r="J559" s="75">
        <f t="shared" si="95"/>
        <v>0</v>
      </c>
      <c r="K559" s="75">
        <f t="shared" si="95"/>
        <v>0</v>
      </c>
      <c r="L559" s="76">
        <f t="shared" si="95"/>
        <v>0</v>
      </c>
    </row>
    <row r="560" spans="3:12" ht="15.6" hidden="1">
      <c r="C560" s="39" t="str">
        <f t="shared" si="89"/>
        <v>H</v>
      </c>
      <c r="D560" s="45">
        <f>Parameter!E$53</f>
        <v>0</v>
      </c>
      <c r="E560" s="74">
        <f t="shared" si="95"/>
        <v>0</v>
      </c>
      <c r="F560" s="75">
        <f t="shared" si="95"/>
        <v>0</v>
      </c>
      <c r="G560" s="75">
        <f t="shared" si="95"/>
        <v>0</v>
      </c>
      <c r="H560" s="75">
        <f t="shared" si="95"/>
        <v>0</v>
      </c>
      <c r="I560" s="75">
        <f t="shared" si="95"/>
        <v>0</v>
      </c>
      <c r="J560" s="75">
        <f t="shared" si="95"/>
        <v>0</v>
      </c>
      <c r="K560" s="75">
        <f t="shared" si="95"/>
        <v>0</v>
      </c>
      <c r="L560" s="76">
        <f t="shared" si="95"/>
        <v>0</v>
      </c>
    </row>
    <row r="561" spans="3:12" ht="15.6" hidden="1">
      <c r="C561" s="39" t="str">
        <f t="shared" si="89"/>
        <v>H</v>
      </c>
      <c r="D561" s="45">
        <f>Parameter!E$54</f>
        <v>0</v>
      </c>
      <c r="E561" s="74">
        <f t="shared" si="95"/>
        <v>0</v>
      </c>
      <c r="F561" s="75">
        <f t="shared" si="95"/>
        <v>0</v>
      </c>
      <c r="G561" s="75">
        <f t="shared" si="95"/>
        <v>0</v>
      </c>
      <c r="H561" s="75">
        <f t="shared" si="95"/>
        <v>0</v>
      </c>
      <c r="I561" s="75">
        <f t="shared" si="95"/>
        <v>0</v>
      </c>
      <c r="J561" s="75">
        <f t="shared" si="95"/>
        <v>0</v>
      </c>
      <c r="K561" s="75">
        <f t="shared" si="95"/>
        <v>0</v>
      </c>
      <c r="L561" s="76">
        <f t="shared" si="95"/>
        <v>0</v>
      </c>
    </row>
    <row r="562" spans="3:12" ht="15.6" hidden="1">
      <c r="C562" s="39" t="str">
        <f t="shared" si="89"/>
        <v>H</v>
      </c>
      <c r="D562" s="45">
        <f>Parameter!E$55</f>
        <v>0</v>
      </c>
      <c r="E562" s="74">
        <f t="shared" si="95"/>
        <v>0</v>
      </c>
      <c r="F562" s="75">
        <f t="shared" si="95"/>
        <v>0</v>
      </c>
      <c r="G562" s="75">
        <f t="shared" si="95"/>
        <v>0</v>
      </c>
      <c r="H562" s="75">
        <f t="shared" si="95"/>
        <v>0</v>
      </c>
      <c r="I562" s="75">
        <f t="shared" si="95"/>
        <v>0</v>
      </c>
      <c r="J562" s="75">
        <f t="shared" si="95"/>
        <v>0</v>
      </c>
      <c r="K562" s="75">
        <f t="shared" si="95"/>
        <v>0</v>
      </c>
      <c r="L562" s="76">
        <f t="shared" si="95"/>
        <v>0</v>
      </c>
    </row>
    <row r="563" spans="3:12" ht="15.6" hidden="1">
      <c r="C563" s="39" t="str">
        <f t="shared" si="89"/>
        <v>H</v>
      </c>
      <c r="D563" s="45">
        <f>Parameter!E$56</f>
        <v>0</v>
      </c>
      <c r="E563" s="74">
        <f t="shared" si="95"/>
        <v>0</v>
      </c>
      <c r="F563" s="75">
        <f t="shared" si="95"/>
        <v>0</v>
      </c>
      <c r="G563" s="75">
        <f t="shared" si="95"/>
        <v>0</v>
      </c>
      <c r="H563" s="75">
        <f t="shared" si="95"/>
        <v>0</v>
      </c>
      <c r="I563" s="75">
        <f t="shared" si="95"/>
        <v>0</v>
      </c>
      <c r="J563" s="75">
        <f t="shared" si="95"/>
        <v>0</v>
      </c>
      <c r="K563" s="75">
        <f t="shared" si="95"/>
        <v>0</v>
      </c>
      <c r="L563" s="76">
        <f t="shared" si="95"/>
        <v>0</v>
      </c>
    </row>
    <row r="564" spans="3:12" ht="16.2" hidden="1" thickBot="1">
      <c r="C564" s="39" t="str">
        <f t="shared" si="89"/>
        <v>H</v>
      </c>
      <c r="D564" s="53" t="str">
        <f>Parameter!E$57</f>
        <v>ALL</v>
      </c>
      <c r="E564" s="77">
        <f t="shared" si="95"/>
        <v>0</v>
      </c>
      <c r="F564" s="78">
        <f t="shared" si="95"/>
        <v>0</v>
      </c>
      <c r="G564" s="78">
        <f t="shared" si="95"/>
        <v>0</v>
      </c>
      <c r="H564" s="78">
        <f t="shared" si="95"/>
        <v>0</v>
      </c>
      <c r="I564" s="78">
        <f t="shared" si="95"/>
        <v>0</v>
      </c>
      <c r="J564" s="78">
        <f t="shared" si="95"/>
        <v>0</v>
      </c>
      <c r="K564" s="78">
        <f t="shared" si="95"/>
        <v>0</v>
      </c>
      <c r="L564" s="79">
        <f t="shared" si="95"/>
        <v>0</v>
      </c>
    </row>
    <row r="565" spans="3:12" ht="15.6" hidden="1">
      <c r="C565" s="39" t="str">
        <f t="shared" si="89"/>
        <v>H</v>
      </c>
      <c r="D565" s="54" t="s">
        <v>87</v>
      </c>
      <c r="E565" s="80">
        <f>SUM(E515:E564)</f>
        <v>0</v>
      </c>
      <c r="F565" s="81">
        <f t="shared" ref="F565:L565" si="96">SUM(F515:F564)</f>
        <v>0</v>
      </c>
      <c r="G565" s="81">
        <f t="shared" si="96"/>
        <v>0</v>
      </c>
      <c r="H565" s="81">
        <f t="shared" si="96"/>
        <v>0</v>
      </c>
      <c r="I565" s="81">
        <f t="shared" si="96"/>
        <v>0</v>
      </c>
      <c r="J565" s="81">
        <f t="shared" si="96"/>
        <v>0</v>
      </c>
      <c r="K565" s="81">
        <f t="shared" si="96"/>
        <v>0</v>
      </c>
      <c r="L565" s="82">
        <f t="shared" si="96"/>
        <v>0</v>
      </c>
    </row>
    <row r="566" spans="3:12" ht="16.2" hidden="1" thickBot="1">
      <c r="C566" s="39" t="str">
        <f t="shared" si="89"/>
        <v>H</v>
      </c>
      <c r="D566" s="46" t="s">
        <v>88</v>
      </c>
      <c r="E566" s="47"/>
      <c r="F566" s="50" t="str">
        <f t="shared" ref="F566:G566" si="97">IF(E565*F565=0, "", F565/E565-1)</f>
        <v/>
      </c>
      <c r="G566" s="50" t="str">
        <f t="shared" si="97"/>
        <v/>
      </c>
      <c r="H566" s="50" t="str">
        <f>IF(G565*H565=0, "", H565/G565-1)</f>
        <v/>
      </c>
      <c r="I566" s="50" t="str">
        <f t="shared" ref="I566:L566" si="98">IF(H565*I565=0, "", I565/H565-1)</f>
        <v/>
      </c>
      <c r="J566" s="50" t="str">
        <f t="shared" si="98"/>
        <v/>
      </c>
      <c r="K566" s="50" t="str">
        <f t="shared" si="98"/>
        <v/>
      </c>
      <c r="L566" s="51" t="str">
        <f t="shared" si="98"/>
        <v/>
      </c>
    </row>
    <row r="567" spans="3:12">
      <c r="C567"/>
    </row>
    <row r="568" spans="3:12" ht="14.4" thickBot="1">
      <c r="C568"/>
    </row>
    <row r="569" spans="3:12" ht="15" thickBot="1">
      <c r="C569"/>
      <c r="D569" s="52" t="s">
        <v>87</v>
      </c>
    </row>
    <row r="570" spans="3:12" ht="16.2" thickBot="1">
      <c r="C570"/>
      <c r="D570" s="40" t="s">
        <v>98</v>
      </c>
      <c r="E570" s="41" t="str">
        <f t="shared" ref="E570:L570" si="99">E10</f>
        <v>2022</v>
      </c>
      <c r="F570" s="42" t="str">
        <f t="shared" si="99"/>
        <v>2023</v>
      </c>
      <c r="G570" s="42" t="str">
        <f t="shared" si="99"/>
        <v>2024</v>
      </c>
      <c r="H570" s="42">
        <f t="shared" si="99"/>
        <v>2025</v>
      </c>
      <c r="I570" s="42" t="str">
        <f t="shared" si="99"/>
        <v>2026</v>
      </c>
      <c r="J570" s="42" t="str">
        <f t="shared" si="99"/>
        <v>2027</v>
      </c>
      <c r="K570" s="42" t="str">
        <f t="shared" si="99"/>
        <v>2028</v>
      </c>
      <c r="L570" s="43" t="str">
        <f t="shared" si="99"/>
        <v>2029</v>
      </c>
    </row>
    <row r="571" spans="3:12" ht="15.6">
      <c r="C571" s="39" t="str">
        <f>IF(SUM(E571:L571)=0, "H", "")</f>
        <v/>
      </c>
      <c r="D571" s="44" t="str">
        <f>Parameter!I8</f>
        <v>1x DLP</v>
      </c>
      <c r="E571" s="74">
        <f t="shared" ref="E571:L580" si="100">SUMIF(ARVR_Y_PC, "AR_"&amp;E$10&amp;"_"&amp;$D571, PanelRev)</f>
        <v>0.22163181638399992</v>
      </c>
      <c r="F571" s="75">
        <f t="shared" si="100"/>
        <v>5.6129546056319993E-2</v>
      </c>
      <c r="G571" s="75">
        <f t="shared" si="100"/>
        <v>3.4730156622347998E-2</v>
      </c>
      <c r="H571" s="75">
        <f t="shared" si="100"/>
        <v>3.4382855056124519E-2</v>
      </c>
      <c r="I571" s="75">
        <f t="shared" si="100"/>
        <v>3.4039026505563272E-2</v>
      </c>
      <c r="J571" s="75">
        <f t="shared" si="100"/>
        <v>3.3698636240507639E-2</v>
      </c>
      <c r="K571" s="75">
        <f t="shared" si="100"/>
        <v>3.3361649878102556E-2</v>
      </c>
      <c r="L571" s="76">
        <f t="shared" si="100"/>
        <v>3.3000000000000002E-2</v>
      </c>
    </row>
    <row r="572" spans="3:12" ht="15.6">
      <c r="C572" s="39" t="str">
        <f t="shared" ref="C572:C580" si="101">IF(SUM(E572:L572)=0, "H", "")</f>
        <v/>
      </c>
      <c r="D572" s="44" t="str">
        <f>Parameter!I9</f>
        <v>1x LCoS</v>
      </c>
      <c r="E572" s="74">
        <f t="shared" si="100"/>
        <v>0</v>
      </c>
      <c r="F572" s="75">
        <f t="shared" si="100"/>
        <v>0</v>
      </c>
      <c r="G572" s="75">
        <f t="shared" si="100"/>
        <v>0</v>
      </c>
      <c r="H572" s="75">
        <f t="shared" si="100"/>
        <v>6.88194477798453</v>
      </c>
      <c r="I572" s="75">
        <f t="shared" si="100"/>
        <v>10.375751452900612</v>
      </c>
      <c r="J572" s="75">
        <f t="shared" si="100"/>
        <v>15.641445315247669</v>
      </c>
      <c r="K572" s="75">
        <f t="shared" si="100"/>
        <v>20.800787725202504</v>
      </c>
      <c r="L572" s="76">
        <f t="shared" si="100"/>
        <v>36.08</v>
      </c>
    </row>
    <row r="573" spans="3:12" ht="15.6">
      <c r="C573" s="39" t="str">
        <f t="shared" si="101"/>
        <v/>
      </c>
      <c r="D573" s="45" t="str">
        <f>Parameter!I10</f>
        <v>1x Micro LCD</v>
      </c>
      <c r="E573" s="74">
        <f t="shared" si="100"/>
        <v>0.51560136381599997</v>
      </c>
      <c r="F573" s="75">
        <f t="shared" si="100"/>
        <v>0</v>
      </c>
      <c r="G573" s="75">
        <f t="shared" si="100"/>
        <v>0</v>
      </c>
      <c r="H573" s="75">
        <f t="shared" si="100"/>
        <v>0</v>
      </c>
      <c r="I573" s="75">
        <f t="shared" si="100"/>
        <v>0</v>
      </c>
      <c r="J573" s="75">
        <f t="shared" si="100"/>
        <v>0</v>
      </c>
      <c r="K573" s="75">
        <f t="shared" si="100"/>
        <v>0</v>
      </c>
      <c r="L573" s="76">
        <f t="shared" si="100"/>
        <v>0</v>
      </c>
    </row>
    <row r="574" spans="3:12" ht="15.6">
      <c r="C574" s="39" t="str">
        <f t="shared" si="101"/>
        <v/>
      </c>
      <c r="D574" s="45" t="str">
        <f>Parameter!I11</f>
        <v>1x MicroLED</v>
      </c>
      <c r="E574" s="74">
        <f t="shared" si="100"/>
        <v>0.26070370591999992</v>
      </c>
      <c r="F574" s="75">
        <f t="shared" si="100"/>
        <v>2.2599949770640002</v>
      </c>
      <c r="G574" s="75">
        <f t="shared" si="100"/>
        <v>2.7567636793411197</v>
      </c>
      <c r="H574" s="75">
        <f t="shared" si="100"/>
        <v>13.848101050027614</v>
      </c>
      <c r="I574" s="75">
        <f t="shared" si="100"/>
        <v>12.536693089729209</v>
      </c>
      <c r="J574" s="75">
        <f t="shared" si="100"/>
        <v>40.767970609627518</v>
      </c>
      <c r="K574" s="75">
        <f t="shared" si="100"/>
        <v>55.686499854588092</v>
      </c>
      <c r="L574" s="76">
        <f t="shared" si="100"/>
        <v>70.355999999999995</v>
      </c>
    </row>
    <row r="575" spans="3:12" ht="15.6">
      <c r="C575" s="39" t="str">
        <f t="shared" si="101"/>
        <v/>
      </c>
      <c r="D575" s="45" t="str">
        <f>Parameter!I12</f>
        <v>2x LBS</v>
      </c>
      <c r="E575" s="74">
        <f t="shared" si="100"/>
        <v>3.1483567807999995</v>
      </c>
      <c r="F575" s="75">
        <f t="shared" si="100"/>
        <v>0</v>
      </c>
      <c r="G575" s="75">
        <f t="shared" si="100"/>
        <v>0</v>
      </c>
      <c r="H575" s="75">
        <f t="shared" si="100"/>
        <v>0</v>
      </c>
      <c r="I575" s="75">
        <f t="shared" si="100"/>
        <v>0</v>
      </c>
      <c r="J575" s="75">
        <f t="shared" si="100"/>
        <v>0</v>
      </c>
      <c r="K575" s="75">
        <f t="shared" si="100"/>
        <v>0</v>
      </c>
      <c r="L575" s="76">
        <f t="shared" si="100"/>
        <v>0</v>
      </c>
    </row>
    <row r="576" spans="3:12" ht="15.6">
      <c r="C576" s="39" t="str">
        <f t="shared" si="101"/>
        <v/>
      </c>
      <c r="D576" s="45" t="str">
        <f>Parameter!I13</f>
        <v>2x LCoS</v>
      </c>
      <c r="E576" s="74">
        <f t="shared" si="100"/>
        <v>1.718399529</v>
      </c>
      <c r="F576" s="75">
        <f t="shared" si="100"/>
        <v>0.93518248195944009</v>
      </c>
      <c r="G576" s="75">
        <f t="shared" si="100"/>
        <v>0.21172842470973602</v>
      </c>
      <c r="H576" s="75">
        <f t="shared" si="100"/>
        <v>1.5244446579100992</v>
      </c>
      <c r="I576" s="75">
        <f t="shared" si="100"/>
        <v>8.017626122695928</v>
      </c>
      <c r="J576" s="75">
        <f t="shared" si="100"/>
        <v>7.9374498614689672</v>
      </c>
      <c r="K576" s="75">
        <f t="shared" si="100"/>
        <v>44.375013813765349</v>
      </c>
      <c r="L576" s="76">
        <f t="shared" si="100"/>
        <v>50.511999999999993</v>
      </c>
    </row>
    <row r="577" spans="3:12" ht="15.6">
      <c r="C577" s="39" t="str">
        <f t="shared" si="101"/>
        <v/>
      </c>
      <c r="D577" s="45" t="str">
        <f>Parameter!I14</f>
        <v>2x MicroLED</v>
      </c>
      <c r="E577" s="74">
        <f t="shared" si="100"/>
        <v>0.26038808399999996</v>
      </c>
      <c r="F577" s="75">
        <f t="shared" si="100"/>
        <v>2.2688955152079999</v>
      </c>
      <c r="G577" s="75">
        <f t="shared" si="100"/>
        <v>3.4423988341878706</v>
      </c>
      <c r="H577" s="75">
        <f t="shared" si="100"/>
        <v>10.321289728836479</v>
      </c>
      <c r="I577" s="75">
        <f t="shared" si="100"/>
        <v>11.926799912391029</v>
      </c>
      <c r="J577" s="75">
        <f t="shared" si="100"/>
        <v>17.45378741724678</v>
      </c>
      <c r="K577" s="75">
        <f t="shared" si="100"/>
        <v>38.321892373049863</v>
      </c>
      <c r="L577" s="76">
        <f t="shared" si="100"/>
        <v>64.063999999999993</v>
      </c>
    </row>
    <row r="578" spans="3:12" ht="16.2" thickBot="1">
      <c r="C578" s="39" t="str">
        <f t="shared" si="101"/>
        <v/>
      </c>
      <c r="D578" s="45" t="str">
        <f>Parameter!I15</f>
        <v>2x SiOLED</v>
      </c>
      <c r="E578" s="74">
        <f t="shared" si="100"/>
        <v>41.404620364799996</v>
      </c>
      <c r="F578" s="75">
        <f t="shared" si="100"/>
        <v>53.627095094143996</v>
      </c>
      <c r="G578" s="75">
        <f t="shared" si="100"/>
        <v>43.096629209344002</v>
      </c>
      <c r="H578" s="75">
        <f t="shared" si="100"/>
        <v>69.208000000000013</v>
      </c>
      <c r="I578" s="75">
        <f t="shared" si="100"/>
        <v>85.8</v>
      </c>
      <c r="J578" s="75">
        <f t="shared" si="100"/>
        <v>110.517</v>
      </c>
      <c r="K578" s="75">
        <f t="shared" si="100"/>
        <v>156.19999999999999</v>
      </c>
      <c r="L578" s="76">
        <f t="shared" si="100"/>
        <v>216.678</v>
      </c>
    </row>
    <row r="579" spans="3:12" ht="15.6" hidden="1">
      <c r="C579" s="39" t="str">
        <f t="shared" si="101"/>
        <v>H</v>
      </c>
      <c r="D579" s="45">
        <f>Parameter!I16</f>
        <v>0</v>
      </c>
      <c r="E579" s="74">
        <f t="shared" si="100"/>
        <v>0</v>
      </c>
      <c r="F579" s="75">
        <f t="shared" si="100"/>
        <v>0</v>
      </c>
      <c r="G579" s="75">
        <f t="shared" si="100"/>
        <v>0</v>
      </c>
      <c r="H579" s="75">
        <f t="shared" si="100"/>
        <v>0</v>
      </c>
      <c r="I579" s="75">
        <f t="shared" si="100"/>
        <v>0</v>
      </c>
      <c r="J579" s="75">
        <f t="shared" si="100"/>
        <v>0</v>
      </c>
      <c r="K579" s="75">
        <f t="shared" si="100"/>
        <v>0</v>
      </c>
      <c r="L579" s="76">
        <f t="shared" si="100"/>
        <v>0</v>
      </c>
    </row>
    <row r="580" spans="3:12" ht="16.2" hidden="1" thickBot="1">
      <c r="C580" s="39" t="str">
        <f t="shared" si="101"/>
        <v>H</v>
      </c>
      <c r="D580" s="45">
        <f>Parameter!I17</f>
        <v>0</v>
      </c>
      <c r="E580" s="74">
        <f t="shared" si="100"/>
        <v>0</v>
      </c>
      <c r="F580" s="75">
        <f t="shared" si="100"/>
        <v>0</v>
      </c>
      <c r="G580" s="75">
        <f t="shared" si="100"/>
        <v>0</v>
      </c>
      <c r="H580" s="75">
        <f t="shared" si="100"/>
        <v>0</v>
      </c>
      <c r="I580" s="75">
        <f t="shared" si="100"/>
        <v>0</v>
      </c>
      <c r="J580" s="75">
        <f t="shared" si="100"/>
        <v>0</v>
      </c>
      <c r="K580" s="75">
        <f t="shared" si="100"/>
        <v>0</v>
      </c>
      <c r="L580" s="76">
        <f t="shared" si="100"/>
        <v>0</v>
      </c>
    </row>
    <row r="581" spans="3:12" ht="15.6">
      <c r="C581"/>
      <c r="D581" s="54" t="s">
        <v>87</v>
      </c>
      <c r="E581" s="80">
        <f t="shared" ref="E581:K581" si="102">SUM(E571:E580)</f>
        <v>47.529701644719992</v>
      </c>
      <c r="F581" s="81">
        <f t="shared" si="102"/>
        <v>59.147297614431757</v>
      </c>
      <c r="G581" s="81">
        <f t="shared" si="102"/>
        <v>49.542250304205076</v>
      </c>
      <c r="H581" s="81">
        <f t="shared" si="102"/>
        <v>101.81816306981486</v>
      </c>
      <c r="I581" s="81">
        <f t="shared" si="102"/>
        <v>128.69090960422233</v>
      </c>
      <c r="J581" s="81">
        <f t="shared" si="102"/>
        <v>192.35135183983144</v>
      </c>
      <c r="K581" s="81">
        <f t="shared" si="102"/>
        <v>315.41755541648388</v>
      </c>
      <c r="L581" s="82">
        <f>SUM(L571:L580)</f>
        <v>437.72299999999996</v>
      </c>
    </row>
    <row r="582" spans="3:12" ht="16.2" thickBot="1">
      <c r="C582"/>
      <c r="D582" s="46" t="s">
        <v>88</v>
      </c>
      <c r="E582" s="47"/>
      <c r="F582" s="50">
        <f t="shared" ref="F582:G582" si="103">IF(E581*F581=0, "", F581/E581-1)</f>
        <v>0.24442812741708742</v>
      </c>
      <c r="G582" s="50">
        <f t="shared" si="103"/>
        <v>-0.16239198911233232</v>
      </c>
      <c r="H582" s="50">
        <f>IF(G581*H581=0, "", H581/G581-1)</f>
        <v>1.055178407210394</v>
      </c>
      <c r="I582" s="50">
        <f t="shared" ref="I582:L582" si="104">IF(H581*I581=0, "", I581/H581-1)</f>
        <v>0.263928809204516</v>
      </c>
      <c r="J582" s="50">
        <f t="shared" si="104"/>
        <v>0.49467707106423631</v>
      </c>
      <c r="K582" s="50">
        <f t="shared" si="104"/>
        <v>0.63979900530737166</v>
      </c>
      <c r="L582" s="51">
        <f t="shared" si="104"/>
        <v>0.38775725219866541</v>
      </c>
    </row>
    <row r="583" spans="3:12">
      <c r="C583"/>
    </row>
    <row r="584" spans="3:12">
      <c r="C584"/>
    </row>
    <row r="585" spans="3:12">
      <c r="C585"/>
    </row>
    <row r="586" spans="3:12">
      <c r="C586"/>
    </row>
    <row r="587" spans="3:12">
      <c r="C587"/>
    </row>
    <row r="588" spans="3:12">
      <c r="C588"/>
    </row>
    <row r="589" spans="3:12">
      <c r="C589"/>
    </row>
    <row r="590" spans="3:12">
      <c r="C590"/>
    </row>
    <row r="591" spans="3:12">
      <c r="C591"/>
    </row>
    <row r="592" spans="3:12">
      <c r="C592"/>
    </row>
    <row r="593" spans="3:3">
      <c r="C593"/>
    </row>
    <row r="594" spans="3:3">
      <c r="C594"/>
    </row>
    <row r="595" spans="3:3">
      <c r="C595"/>
    </row>
    <row r="596" spans="3:3">
      <c r="C596"/>
    </row>
    <row r="597" spans="3:3">
      <c r="C597"/>
    </row>
    <row r="598" spans="3:3">
      <c r="C598"/>
    </row>
    <row r="599" spans="3:3">
      <c r="C599"/>
    </row>
    <row r="600" spans="3:3">
      <c r="C600"/>
    </row>
    <row r="601" spans="3:3">
      <c r="C601"/>
    </row>
    <row r="602" spans="3:3">
      <c r="C602"/>
    </row>
    <row r="603" spans="3:3">
      <c r="C603"/>
    </row>
    <row r="604" spans="3:3">
      <c r="C604"/>
    </row>
    <row r="605" spans="3:3">
      <c r="C605"/>
    </row>
    <row r="606" spans="3:3">
      <c r="C606"/>
    </row>
    <row r="607" spans="3:3">
      <c r="C607"/>
    </row>
    <row r="608" spans="3:3">
      <c r="C608"/>
    </row>
    <row r="609" spans="3:3">
      <c r="C609"/>
    </row>
    <row r="610" spans="3:3">
      <c r="C610"/>
    </row>
    <row r="611" spans="3:3">
      <c r="C611"/>
    </row>
    <row r="612" spans="3:3">
      <c r="C612"/>
    </row>
    <row r="613" spans="3:3">
      <c r="C613"/>
    </row>
    <row r="614" spans="3:3">
      <c r="C614"/>
    </row>
    <row r="615" spans="3:3">
      <c r="C615"/>
    </row>
    <row r="616" spans="3:3">
      <c r="C616"/>
    </row>
    <row r="617" spans="3:3">
      <c r="C617"/>
    </row>
    <row r="618" spans="3:3">
      <c r="C618"/>
    </row>
    <row r="619" spans="3:3">
      <c r="C619"/>
    </row>
    <row r="620" spans="3:3">
      <c r="C620"/>
    </row>
    <row r="621" spans="3:3">
      <c r="C621"/>
    </row>
    <row r="622" spans="3:3">
      <c r="C622"/>
    </row>
    <row r="623" spans="3:3">
      <c r="C623"/>
    </row>
    <row r="624" spans="3:3">
      <c r="C624"/>
    </row>
    <row r="625" spans="3:3">
      <c r="C625"/>
    </row>
    <row r="626" spans="3:3">
      <c r="C626"/>
    </row>
    <row r="627" spans="3:3">
      <c r="C627"/>
    </row>
    <row r="628" spans="3:3">
      <c r="C628"/>
    </row>
    <row r="629" spans="3:3">
      <c r="C629"/>
    </row>
    <row r="630" spans="3:3">
      <c r="C630"/>
    </row>
    <row r="631" spans="3:3">
      <c r="C631"/>
    </row>
    <row r="632" spans="3:3">
      <c r="C632"/>
    </row>
    <row r="633" spans="3:3">
      <c r="C633"/>
    </row>
    <row r="634" spans="3:3">
      <c r="C634"/>
    </row>
    <row r="635" spans="3:3">
      <c r="C635"/>
    </row>
    <row r="636" spans="3:3">
      <c r="C636"/>
    </row>
    <row r="637" spans="3:3">
      <c r="C637"/>
    </row>
    <row r="638" spans="3:3">
      <c r="C638"/>
    </row>
    <row r="639" spans="3:3">
      <c r="C639"/>
    </row>
    <row r="640" spans="3:3">
      <c r="C640"/>
    </row>
    <row r="641" spans="3:3">
      <c r="C641"/>
    </row>
    <row r="642" spans="3:3">
      <c r="C642"/>
    </row>
    <row r="643" spans="3:3">
      <c r="C643"/>
    </row>
    <row r="644" spans="3:3">
      <c r="C644"/>
    </row>
    <row r="645" spans="3:3">
      <c r="C645"/>
    </row>
    <row r="646" spans="3:3">
      <c r="C646"/>
    </row>
    <row r="647" spans="3:3">
      <c r="C647"/>
    </row>
    <row r="648" spans="3:3">
      <c r="C648"/>
    </row>
    <row r="649" spans="3:3">
      <c r="C649"/>
    </row>
    <row r="650" spans="3:3">
      <c r="C650"/>
    </row>
    <row r="651" spans="3:3">
      <c r="C651"/>
    </row>
    <row r="652" spans="3:3">
      <c r="C652"/>
    </row>
    <row r="653" spans="3:3">
      <c r="C653"/>
    </row>
    <row r="654" spans="3:3">
      <c r="C654"/>
    </row>
    <row r="655" spans="3:3">
      <c r="C655"/>
    </row>
    <row r="656" spans="3:3">
      <c r="C656"/>
    </row>
    <row r="657" spans="3:3">
      <c r="C657"/>
    </row>
    <row r="658" spans="3:3">
      <c r="C658"/>
    </row>
    <row r="659" spans="3:3">
      <c r="C659"/>
    </row>
    <row r="660" spans="3:3">
      <c r="C660"/>
    </row>
    <row r="661" spans="3:3">
      <c r="C661"/>
    </row>
    <row r="662" spans="3:3">
      <c r="C662"/>
    </row>
    <row r="663" spans="3:3">
      <c r="C663"/>
    </row>
    <row r="664" spans="3:3">
      <c r="C664"/>
    </row>
    <row r="665" spans="3:3">
      <c r="C665"/>
    </row>
    <row r="666" spans="3:3">
      <c r="C666"/>
    </row>
    <row r="667" spans="3:3">
      <c r="C667"/>
    </row>
    <row r="668" spans="3:3">
      <c r="C668"/>
    </row>
    <row r="669" spans="3:3">
      <c r="C669"/>
    </row>
    <row r="670" spans="3:3">
      <c r="C670"/>
    </row>
    <row r="671" spans="3:3">
      <c r="C671"/>
    </row>
    <row r="672" spans="3:3">
      <c r="C672"/>
    </row>
    <row r="673" spans="3:3">
      <c r="C673"/>
    </row>
    <row r="674" spans="3:3">
      <c r="C674"/>
    </row>
    <row r="675" spans="3:3">
      <c r="C675"/>
    </row>
    <row r="676" spans="3:3">
      <c r="C676"/>
    </row>
    <row r="677" spans="3:3">
      <c r="C677"/>
    </row>
    <row r="678" spans="3:3">
      <c r="C678"/>
    </row>
    <row r="679" spans="3:3">
      <c r="C679"/>
    </row>
    <row r="680" spans="3:3">
      <c r="C680"/>
    </row>
    <row r="681" spans="3:3">
      <c r="C681"/>
    </row>
    <row r="682" spans="3:3">
      <c r="C682"/>
    </row>
    <row r="683" spans="3:3">
      <c r="C683"/>
    </row>
    <row r="684" spans="3:3">
      <c r="C684"/>
    </row>
    <row r="685" spans="3:3">
      <c r="C685"/>
    </row>
    <row r="686" spans="3:3">
      <c r="C686"/>
    </row>
    <row r="687" spans="3:3">
      <c r="C687"/>
    </row>
    <row r="688" spans="3:3">
      <c r="C688"/>
    </row>
    <row r="689" spans="3:3">
      <c r="C689"/>
    </row>
    <row r="690" spans="3:3">
      <c r="C690"/>
    </row>
    <row r="691" spans="3:3">
      <c r="C691"/>
    </row>
    <row r="692" spans="3:3">
      <c r="C692"/>
    </row>
    <row r="693" spans="3:3">
      <c r="C693"/>
    </row>
    <row r="694" spans="3:3">
      <c r="C694"/>
    </row>
    <row r="695" spans="3:3">
      <c r="C695"/>
    </row>
    <row r="696" spans="3:3">
      <c r="C696"/>
    </row>
    <row r="697" spans="3:3">
      <c r="C697"/>
    </row>
    <row r="698" spans="3:3">
      <c r="C698"/>
    </row>
    <row r="699" spans="3:3">
      <c r="C699"/>
    </row>
    <row r="700" spans="3:3">
      <c r="C700"/>
    </row>
    <row r="701" spans="3:3">
      <c r="C701"/>
    </row>
    <row r="702" spans="3:3">
      <c r="C702"/>
    </row>
    <row r="703" spans="3:3">
      <c r="C703"/>
    </row>
    <row r="704" spans="3:3">
      <c r="C704"/>
    </row>
    <row r="705" spans="3:3">
      <c r="C705"/>
    </row>
    <row r="706" spans="3:3">
      <c r="C706"/>
    </row>
    <row r="707" spans="3:3">
      <c r="C707"/>
    </row>
    <row r="708" spans="3:3">
      <c r="C708"/>
    </row>
    <row r="709" spans="3:3">
      <c r="C709"/>
    </row>
    <row r="710" spans="3:3">
      <c r="C710"/>
    </row>
    <row r="711" spans="3:3">
      <c r="C711"/>
    </row>
    <row r="712" spans="3:3">
      <c r="C712"/>
    </row>
    <row r="713" spans="3:3">
      <c r="C713"/>
    </row>
    <row r="714" spans="3:3">
      <c r="C714"/>
    </row>
    <row r="715" spans="3:3">
      <c r="C715"/>
    </row>
    <row r="716" spans="3:3">
      <c r="C716"/>
    </row>
    <row r="717" spans="3:3">
      <c r="C717"/>
    </row>
    <row r="718" spans="3:3">
      <c r="C718"/>
    </row>
    <row r="719" spans="3:3">
      <c r="C719"/>
    </row>
    <row r="720" spans="3:3">
      <c r="C720"/>
    </row>
    <row r="721" spans="3:3">
      <c r="C721"/>
    </row>
    <row r="722" spans="3:3">
      <c r="C722"/>
    </row>
    <row r="723" spans="3:3">
      <c r="C723"/>
    </row>
    <row r="724" spans="3:3">
      <c r="C724"/>
    </row>
    <row r="725" spans="3:3">
      <c r="C725"/>
    </row>
    <row r="726" spans="3:3">
      <c r="C726"/>
    </row>
    <row r="727" spans="3:3">
      <c r="C727"/>
    </row>
    <row r="728" spans="3:3">
      <c r="C728"/>
    </row>
    <row r="729" spans="3:3">
      <c r="C729"/>
    </row>
    <row r="730" spans="3:3">
      <c r="C730"/>
    </row>
    <row r="731" spans="3:3">
      <c r="C731"/>
    </row>
    <row r="732" spans="3:3">
      <c r="C732"/>
    </row>
    <row r="733" spans="3:3">
      <c r="C733"/>
    </row>
    <row r="734" spans="3:3">
      <c r="C734"/>
    </row>
    <row r="735" spans="3:3">
      <c r="C735"/>
    </row>
    <row r="736" spans="3:3">
      <c r="C736"/>
    </row>
    <row r="737" spans="3:3">
      <c r="C737"/>
    </row>
    <row r="738" spans="3:3">
      <c r="C738"/>
    </row>
    <row r="739" spans="3:3">
      <c r="C739"/>
    </row>
    <row r="740" spans="3:3">
      <c r="C740"/>
    </row>
    <row r="741" spans="3:3">
      <c r="C741"/>
    </row>
    <row r="742" spans="3:3">
      <c r="C742"/>
    </row>
    <row r="743" spans="3:3">
      <c r="C743"/>
    </row>
    <row r="744" spans="3:3">
      <c r="C744"/>
    </row>
    <row r="745" spans="3:3">
      <c r="C745"/>
    </row>
    <row r="746" spans="3:3">
      <c r="C746"/>
    </row>
    <row r="747" spans="3:3">
      <c r="C747"/>
    </row>
  </sheetData>
  <sheetProtection algorithmName="SHA-512" hashValue="CLSwuk58ZQFaoanzYAaSIhNfidrzQq0OrVP6g9yCS4wqulZvmYSrz0USAqYjaeEG7iCeGd/1u3e513cC7YzCsQ==" saltValue="XxmJBn1I9I9/jHjm8cQaBA==" spinCount="100000" sheet="1" objects="1" scenarios="1"/>
  <phoneticPr fontId="4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Cover</vt:lpstr>
      <vt:lpstr>Notice</vt:lpstr>
      <vt:lpstr>VR_PanelShipments</vt:lpstr>
      <vt:lpstr>VR_PanelRevenues</vt:lpstr>
      <vt:lpstr>&lt;-VR Pivot Tables_Flat Sheets-&gt;</vt:lpstr>
      <vt:lpstr>VR_Panel_Shipments</vt:lpstr>
      <vt:lpstr>VR_Panel_Revenues</vt:lpstr>
      <vt:lpstr>&lt;--VR____AR--&gt;</vt:lpstr>
      <vt:lpstr>AR_PanelShipments</vt:lpstr>
      <vt:lpstr>AR_PanelRevenues</vt:lpstr>
      <vt:lpstr>&lt;-AR Pivot Tables_Flat Sheets-&gt;</vt:lpstr>
      <vt:lpstr>AR_Panel_Shipments</vt:lpstr>
      <vt:lpstr>AR_Panel_Revenues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Matsuno</dc:creator>
  <cp:lastModifiedBy>Sam Matsuno</cp:lastModifiedBy>
  <dcterms:created xsi:type="dcterms:W3CDTF">2021-03-29T00:49:41Z</dcterms:created>
  <dcterms:modified xsi:type="dcterms:W3CDTF">2025-12-16T00:40:52Z</dcterms:modified>
</cp:coreProperties>
</file>